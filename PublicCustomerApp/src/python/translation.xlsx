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<sst xmlns="http://schemas.openxmlformats.org/spreadsheetml/2006/main" count="2718" uniqueCount="2605">
  <si>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</si>
  <si>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</si>
  <si>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</si>
  <si>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</si>
  <si>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</si>
  <si>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</si>
  <si>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</si>
  <si>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</si>
  <si>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</si>
  <si>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</si>
  <si>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</si>
  <si>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</si>
  <si>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</si>
  <si>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</si>
  <si>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</si>
  <si>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</si>
  <si>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</si>
  <si>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</si>
  <si>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</si>
  <si>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</si>
  <si>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</si>
  <si>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</si>
  <si>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</si>
  <si>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</si>
  <si>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</si>
  <si>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</si>
  <si>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</si>
  <si>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</si>
  <si>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</si>
  <si>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</si>
  <si>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</si>
  <si>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</si>
  <si>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</si>
  <si>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</si>
  <si>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</si>
  <si>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</si>
  <si>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</si>
  <si>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</si>
  <si>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</si>
  <si>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</si>
  <si>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</si>
  <si>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</si>
  <si>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</si>
  <si>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</si>
  <si>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</si>
  <si>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</si>
  <si>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</si>
  <si>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</si>
  <si>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</si>
  <si>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</si>
  <si>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</si>
  <si>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</si>
  <si>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</si>
  <si>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please_enter_a_valid_pan_number</t>
  </si>
  <si>
    <t>Please enter a valid PAN Number</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</si>
  <si>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</si>
  <si>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</si>
  <si>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</si>
  <si>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</si>
  <si>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</si>
  <si>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</si>
  <si>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</si>
  <si>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</si>
  <si>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</si>
  <si>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</si>
  <si>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</si>
  <si>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</si>
  <si>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</si>
  <si>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</si>
  <si>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</si>
  <si>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</si>
  <si>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</si>
  <si>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</si>
  <si>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</si>
  <si>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</si>
  <si>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</si>
  <si>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</si>
  <si>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</si>
  <si>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</si>
  <si>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</si>
  <si>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</si>
  <si>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</si>
  <si>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</si>
  <si>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</si>
  <si>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</si>
  <si>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</si>
  <si>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</si>
  <si>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</si>
  <si>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</si>
  <si>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</si>
  <si>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</si>
  <si>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</si>
  <si>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</si>
  <si>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</si>
  <si>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</si>
  <si>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</si>
  <si>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</si>
  <si>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</si>
  <si>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</si>
  <si>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</si>
  <si>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</si>
  <si>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</si>
  <si>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</si>
  <si>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</si>
  <si>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</si>
  <si>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</si>
  <si>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</si>
  <si>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</si>
  <si>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</si>
  <si>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</si>
  <si>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</si>
  <si>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</si>
  <si>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</si>
  <si>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</si>
  <si>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</si>
  <si>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</si>
  <si>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</si>
  <si>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</si>
  <si>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</si>
  <si>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</si>
  <si>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</si>
  <si>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</si>
  <si>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</si>
  <si>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</si>
  <si>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</si>
  <si>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</si>
  <si>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</si>
  <si>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</si>
  <si>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</si>
  <si>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</si>
  <si>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</si>
  <si>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</si>
  <si>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</si>
  <si>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</si>
  <si>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</si>
  <si>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</si>
  <si>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</si>
  <si>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</si>
  <si>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</si>
  <si>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</si>
  <si>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</si>
  <si>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</si>
  <si>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</si>
  <si>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</si>
  <si>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</si>
  <si>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</si>
  <si>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</si>
  <si>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</si>
  <si>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</si>
  <si>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</si>
  <si>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</si>
  <si>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</si>
  <si>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</si>
  <si>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</si>
  <si>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</si>
  <si>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</si>
  <si>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</si>
  <si>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</si>
  <si>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</si>
  <si>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</si>
  <si>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</si>
  <si>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</si>
  <si>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</si>
  <si>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</si>
  <si>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</si>
  <si>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</si>
  <si>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</si>
  <si>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</si>
  <si>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</si>
  <si>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</si>
  <si>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</si>
  <si>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</si>
  <si>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</si>
  <si>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</si>
  <si>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</si>
  <si>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</si>
  <si>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</si>
  <si>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</si>
  <si>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</si>
  <si>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</si>
  <si>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</si>
  <si>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</si>
  <si>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</si>
  <si>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</si>
  <si>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</si>
  <si>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</si>
  <si>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</si>
  <si>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</si>
  <si>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</si>
  <si>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</si>
  <si>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</si>
  <si>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</si>
  <si>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</si>
  <si>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</si>
  <si>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</si>
  <si>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</si>
  <si>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</si>
  <si>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</si>
  <si>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</si>
  <si>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</si>
  <si>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</si>
  <si>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</si>
  <si>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</si>
  <si>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</si>
  <si>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</si>
  <si>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</si>
  <si>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</si>
  <si>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</si>
  <si>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</si>
  <si>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</si>
  <si>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</si>
  <si>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</si>
  <si>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</si>
  <si>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</si>
  <si>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</si>
  <si>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</si>
  <si>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</si>
  <si>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</si>
  <si>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</si>
  <si>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</si>
  <si>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</si>
  <si>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</si>
  <si>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</si>
  <si>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</si>
  <si>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</si>
  <si>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</si>
  <si>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</si>
  <si>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</si>
  <si>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</si>
  <si>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</si>
  <si>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</si>
  <si>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</si>
  <si>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</si>
  <si>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</si>
  <si>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</si>
  <si>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</si>
  <si>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</si>
  <si>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</si>
  <si>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</si>
  <si>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</si>
  <si>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</si>
  <si>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</si>
  <si>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</si>
  <si>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</si>
  <si>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</si>
  <si>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</si>
  <si>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</si>
  <si>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</si>
  <si>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</si>
  <si>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</si>
  <si>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</si>
  <si>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</si>
  <si>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</si>
  <si>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</si>
  <si>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</si>
  <si>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</si>
  <si>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</si>
  <si>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</si>
  <si>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</si>
  <si>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</si>
  <si>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</si>
  <si>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</si>
  <si>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</si>
  <si>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</si>
  <si>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</si>
  <si>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</si>
  <si>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</si>
  <si>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</si>
  <si>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</si>
  <si>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</si>
  <si>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</si>
  <si>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</si>
  <si>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</si>
  <si>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</si>
  <si>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</si>
  <si>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</si>
  <si>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</si>
  <si>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</si>
  <si>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</si>
  <si>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</si>
  <si>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</si>
  <si>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</si>
  <si>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</si>
  <si>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</si>
  <si>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</si>
  <si>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</si>
  <si>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</si>
  <si>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</si>
  <si>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</si>
  <si>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</si>
  <si>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</si>
  <si>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</si>
  <si>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</si>
  <si>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</si>
  <si>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</si>
  <si>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</si>
  <si>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</si>
  <si>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</si>
  <si>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</si>
  <si>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</si>
  <si>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</si>
  <si>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</si>
  <si>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</si>
  <si>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</si>
  <si>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</si>
  <si>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</si>
  <si>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</si>
  <si>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</si>
  <si>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</si>
  <si>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</si>
  <si>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</si>
  <si>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</si>
  <si>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</si>
  <si>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</si>
  <si>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</si>
  <si>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</si>
  <si>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</si>
  <si>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</si>
  <si>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</si>
  <si>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</si>
  <si>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</si>
  <si>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</si>
  <si>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</si>
  <si>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</si>
  <si>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</si>
  <si>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</si>
  <si>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</si>
  <si>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</si>
  <si>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</si>
  <si>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</si>
  <si>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</si>
  <si>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</si>
  <si>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</si>
  <si>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</si>
  <si>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</si>
  <si>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</si>
  <si>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</si>
  <si>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</si>
  <si>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</si>
  <si>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</si>
  <si>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</si>
  <si>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</si>
  <si>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</si>
  <si>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</si>
  <si>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</si>
  <si>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</si>
  <si>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</si>
  <si>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</si>
  <si>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</si>
  <si>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</si>
  <si>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</si>
  <si>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</si>
  <si>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</si>
  <si>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</si>
  <si>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</si>
  <si>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</si>
  <si>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</si>
  <si>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</si>
  <si>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</si>
  <si>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</si>
  <si>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</si>
  <si>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</si>
  <si>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</si>
  <si>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</si>
  <si>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</si>
  <si>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</si>
  <si>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</si>
  <si>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</si>
  <si>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</si>
  <si>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</si>
  <si>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</si>
  <si>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</si>
  <si>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</si>
  <si>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</si>
  <si>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</si>
  <si>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</si>
  <si>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</si>
  <si>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</si>
  <si>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</si>
  <si>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</si>
  <si>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</si>
  <si>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</si>
  <si>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</si>
  <si>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</si>
  <si>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</si>
  <si>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</si>
  <si>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</si>
  <si>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</si>
  <si>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</si>
  <si>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</si>
  <si>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</si>
  <si>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</si>
  <si>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</si>
  <si>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</si>
  <si>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</si>
  <si>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</si>
  <si>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</si>
  <si>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</si>
  <si>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</si>
  <si>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</si>
  <si>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</si>
  <si>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</si>
  <si>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</si>
  <si>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</si>
  <si>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</si>
  <si>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</si>
  <si>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</si>
  <si>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</si>
  <si>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</si>
  <si>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</si>
  <si>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</si>
  <si>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</si>
  <si>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</si>
  <si>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</si>
  <si>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</si>
  <si>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</si>
  <si>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</si>
  <si>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</si>
  <si>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</si>
  <si>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</si>
  <si>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</si>
  <si>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</si>
  <si>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</si>
  <si>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</si>
  <si>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</si>
  <si>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</si>
  <si>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</si>
  <si>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</si>
  <si>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</si>
  <si>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</si>
  <si>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</si>
  <si>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</si>
  <si>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</si>
  <si>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</si>
  <si>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</si>
  <si>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</si>
  <si>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</si>
  <si>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</si>
  <si>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</si>
  <si>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</si>
  <si>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</si>
  <si>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</si>
  <si>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</si>
  <si>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</si>
  <si>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</si>
  <si>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</si>
  <si>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</si>
  <si>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</si>
  <si>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</si>
  <si>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</si>
  <si>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</si>
  <si>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</si>
  <si>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</si>
  <si>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</si>
  <si>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</si>
  <si>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</si>
  <si>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</si>
  <si>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</si>
  <si>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</si>
  <si>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</si>
  <si>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</si>
  <si>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</si>
  <si>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</si>
  <si>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</si>
  <si>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</si>
  <si>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</si>
  <si>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</si>
  <si>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</si>
  <si>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</si>
  <si>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</si>
  <si>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</si>
  <si>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</si>
  <si>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</si>
  <si>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</si>
  <si>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</si>
  <si>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</si>
  <si>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</si>
  <si>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</si>
  <si>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</si>
  <si>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</si>
  <si>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</si>
  <si>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</si>
  <si>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</si>
  <si>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</si>
  <si>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</si>
  <si>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</si>
  <si>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</si>
  <si>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</si>
  <si>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</si>
  <si>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</si>
  <si>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</si>
  <si>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</si>
  <si>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</si>
  <si>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</si>
  <si>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</si>
  <si>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</si>
  <si>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</si>
  <si>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</si>
  <si>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</si>
  <si>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</si>
  <si>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</si>
  <si>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</si>
  <si>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</si>
  <si>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</si>
  <si>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</si>
  <si>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</si>
  <si>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</si>
  <si>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</si>
  <si>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</si>
  <si>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</si>
  <si>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</si>
  <si>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</si>
  <si>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</si>
  <si>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</si>
  <si>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</si>
  <si>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</si>
  <si>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</si>
  <si>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</si>
  <si>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</si>
  <si>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</si>
  <si>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</si>
  <si>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</si>
  <si>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</si>
  <si>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</si>
  <si>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</si>
  <si>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</si>
  <si>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</si>
  <si>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</si>
  <si>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</si>
  <si>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</si>
  <si>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</si>
  <si>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</si>
  <si>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</si>
  <si>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</si>
  <si>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</si>
  <si>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</si>
  <si>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</si>
  <si>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</si>
  <si>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</si>
  <si>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</si>
  <si>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</si>
  <si>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</si>
  <si>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</si>
  <si>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</si>
  <si>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</si>
  <si>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</si>
  <si>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</si>
  <si>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</si>
  <si>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</si>
  <si>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</si>
  <si>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</si>
  <si>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</si>
  <si>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</si>
  <si>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</si>
  <si>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</si>
  <si>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</si>
  <si>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</si>
  <si>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</si>
  <si>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</si>
  <si>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</si>
  <si>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</si>
  <si>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</si>
  <si>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</si>
  <si>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</si>
  <si>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</si>
  <si>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</si>
  <si>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</si>
  <si>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</si>
  <si>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</si>
  <si>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</si>
  <si>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</si>
  <si>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</si>
  <si>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</si>
  <si>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</si>
  <si>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</si>
  <si>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</si>
  <si>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</si>
  <si>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</si>
  <si>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</si>
  <si>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</si>
  <si>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</si>
  <si>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</si>
  <si>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</si>
  <si>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</si>
  <si>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</si>
  <si>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</si>
  <si>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</si>
  <si>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</si>
  <si>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</si>
  <si>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</si>
  <si>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</si>
  <si>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</si>
  <si>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</si>
  <si>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</si>
  <si>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</si>
  <si>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</si>
  <si>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</si>
  <si>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</si>
  <si>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</si>
  <si>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</si>
  <si>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</si>
  <si>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</si>
  <si>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</si>
  <si>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</si>
  <si>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</si>
  <si>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</si>
  <si>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</si>
  <si>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</si>
  <si>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</si>
  <si>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</si>
  <si>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</si>
  <si>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</si>
  <si>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</si>
  <si>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</si>
  <si>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</si>
  <si>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</si>
  <si>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</si>
  <si>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</si>
  <si>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</si>
  <si>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</si>
  <si>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</si>
  <si>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</si>
  <si>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</si>
  <si>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</si>
  <si>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</si>
  <si>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</si>
  <si>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</si>
  <si>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</si>
  <si>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</si>
  <si>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</si>
  <si>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</si>
  <si>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</si>
  <si>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</si>
  <si>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</si>
  <si>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</si>
  <si>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</si>
  <si>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</si>
  <si>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</si>
  <si>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</si>
  <si>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</si>
  <si>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</si>
  <si>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</si>
  <si>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</si>
  <si>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</si>
  <si>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</si>
  <si>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</si>
  <si>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</si>
  <si>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</si>
  <si>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</si>
  <si>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</si>
  <si>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</si>
  <si>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</si>
  <si>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</si>
  <si>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</si>
  <si>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</si>
  <si>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</si>
  <si>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</si>
  <si>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</si>
  <si>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</si>
  <si>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</si>
  <si>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</si>
  <si>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</si>
  <si>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</si>
  <si>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</si>
  <si>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</si>
  <si>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</si>
  <si>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</si>
  <si>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</si>
  <si>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</si>
  <si>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</si>
  <si>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</si>
  <si>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</si>
  <si>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</si>
  <si>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</si>
  <si>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</si>
  <si>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</si>
  <si>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</si>
  <si>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</si>
  <si>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</si>
  <si>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</si>
  <si>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</si>
  <si>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</si>
  <si>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</si>
  <si>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</si>
  <si>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</si>
  <si>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</si>
  <si>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</si>
  <si>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</si>
  <si>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</si>
  <si>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</si>
  <si>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</si>
  <si>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</si>
  <si>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</si>
  <si>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</si>
  <si>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</si>
  <si>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</si>
  <si>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</si>
  <si>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</si>
  <si>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</si>
  <si>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</si>
  <si>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</si>
  <si>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</si>
  <si>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</si>
  <si>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</si>
  <si>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</si>
  <si>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</si>
  <si>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</si>
  <si>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</si>
  <si>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</si>
  <si>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</si>
  <si>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</si>
  <si>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</si>
  <si>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</si>
  <si>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</si>
  <si>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</si>
  <si>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</si>
  <si>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</si>
  <si>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</si>
  <si>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</si>
  <si>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</si>
  <si>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</si>
  <si>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</si>
  <si>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</si>
  <si>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</si>
  <si>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</si>
  <si>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</si>
  <si>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</si>
  <si>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</si>
  <si>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</si>
  <si>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</si>
  <si>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</si>
  <si>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</si>
  <si>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</si>
  <si>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</si>
  <si>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</si>
  <si>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</si>
  <si>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</si>
  <si>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</si>
  <si>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</si>
  <si>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</si>
  <si>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</si>
  <si>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</si>
  <si>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</si>
  <si>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</si>
  <si>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</si>
  <si>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</si>
  <si>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</si>
  <si>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</si>
  <si>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</si>
  <si>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</si>
  <si>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</si>
  <si>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</si>
  <si>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</si>
  <si>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</si>
  <si>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</si>
  <si>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</si>
  <si>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</si>
  <si>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</si>
  <si>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</si>
  <si>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</si>
  <si>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</si>
  <si>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</si>
  <si>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</si>
  <si>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</si>
  <si>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</si>
  <si>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</si>
  <si>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</si>
  <si>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</si>
  <si>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</si>
  <si>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</si>
  <si>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</si>
  <si>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</si>
  <si>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</si>
  <si>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</si>
  <si>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</si>
  <si>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</si>
  <si>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</si>
  <si>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</si>
  <si>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</si>
  <si>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</si>
  <si>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</si>
  <si>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</si>
  <si>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</si>
  <si>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</si>
  <si>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</si>
  <si>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</si>
  <si>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</si>
  <si>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</si>
  <si>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</si>
  <si>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</si>
  <si>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</si>
  <si>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</si>
  <si>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</si>
  <si>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</si>
  <si>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</si>
  <si>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</si>
  <si>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</si>
  <si>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</si>
  <si>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</si>
  <si>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</si>
  <si>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</si>
  <si>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</si>
  <si>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</si>
  <si>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</si>
  <si>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</si>
  <si>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</si>
  <si>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</si>
  <si>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</si>
  <si>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</si>
  <si>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</si>
  <si>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</si>
  <si>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</si>
  <si>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</si>
  <si>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</si>
  <si>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</si>
  <si>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</si>
  <si>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</si>
  <si>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</si>
  <si>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</si>
  <si>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</si>
  <si>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</si>
  <si>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</si>
  <si>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</si>
  <si>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</si>
  <si>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</si>
  <si>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</si>
  <si>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</si>
  <si>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</si>
  <si>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</si>
  <si>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</si>
  <si>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</si>
  <si>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</si>
  <si>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</si>
  <si>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</si>
  <si>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</si>
  <si>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</si>
  <si>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</si>
  <si>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</si>
  <si>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</si>
  <si>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</si>
  <si>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</si>
  <si>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</si>
  <si>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</si>
  <si>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</si>
  <si>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</si>
  <si>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</si>
  <si>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</si>
  <si>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</si>
  <si>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</si>
  <si>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</si>
  <si>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</si>
  <si>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</si>
  <si>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</si>
  <si>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</si>
  <si>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</si>
  <si>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</si>
  <si>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</si>
  <si>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</si>
  <si>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</si>
  <si>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</si>
  <si>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</si>
  <si>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</si>
  <si>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</si>
  <si>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</si>
  <si>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</si>
  <si>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</si>
  <si>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</si>
  <si>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</si>
  <si>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</si>
  <si>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</si>
  <si>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</si>
  <si>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</si>
  <si>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</si>
  <si>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</si>
  <si>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</si>
  <si>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</si>
  <si>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</si>
  <si>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</si>
  <si>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</si>
  <si>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</si>
  <si>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</si>
  <si>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</si>
  <si>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</si>
  <si>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</si>
  <si>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</si>
  <si>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</si>
  <si>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</si>
  <si>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</si>
  <si>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</si>
  <si>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</si>
  <si>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</si>
  <si>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</si>
  <si>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</si>
  <si>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</si>
  <si>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</si>
  <si>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</si>
  <si>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</si>
  <si>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</si>
  <si>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</si>
  <si>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</si>
  <si>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</si>
  <si>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</si>
  <si>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</si>
  <si>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</si>
  <si>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</si>
  <si>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</si>
  <si>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</si>
  <si>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</si>
  <si>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</si>
  <si>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</si>
  <si>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</si>
  <si>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</si>
  <si>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</si>
  <si>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</si>
  <si>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</si>
  <si>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</si>
  <si>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</si>
  <si>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</si>
  <si>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</si>
  <si>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</si>
  <si>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</si>
  <si>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</si>
  <si>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</si>
  <si>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</si>
  <si>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</si>
  <si>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</si>
  <si>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</si>
  <si>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</si>
  <si>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</si>
  <si>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</si>
  <si>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</si>
  <si>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</si>
  <si>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</si>
  <si>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</si>
  <si>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</si>
  <si>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</si>
  <si>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</si>
  <si>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</si>
  <si>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</si>
  <si>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</si>
  <si>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</si>
  <si>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</si>
  <si>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</si>
  <si>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</si>
  <si>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</si>
  <si>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</si>
  <si>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</si>
  <si>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</si>
  <si>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</si>
  <si>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</si>
  <si>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</si>
  <si>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</si>
  <si>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</si>
  <si>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</si>
  <si>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</si>
  <si>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</si>
  <si>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</si>
  <si>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</si>
  <si>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</si>
  <si>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</si>
  <si>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</si>
  <si>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</si>
  <si>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</si>
  <si>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</si>
  <si>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</si>
  <si>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</si>
  <si>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</si>
  <si>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</si>
  <si>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</si>
  <si>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</si>
  <si>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</si>
  <si>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</si>
  <si>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</si>
  <si>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</si>
  <si>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</si>
  <si>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</si>
  <si>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</si>
  <si>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</si>
  <si>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</si>
  <si>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</si>
  <si>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</si>
  <si>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</si>
  <si>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</si>
  <si>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</si>
  <si>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</si>
  <si>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</si>
  <si>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</si>
  <si>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</si>
  <si>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</si>
  <si>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</si>
  <si>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</si>
  <si>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</si>
  <si>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</si>
  <si>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</si>
  <si>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</si>
  <si>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</si>
  <si>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</si>
  <si>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</si>
  <si>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</si>
  <si>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</si>
  <si>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</si>
  <si>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</si>
  <si>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</si>
  <si>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</si>
  <si>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</si>
  <si>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</si>
  <si>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</si>
  <si>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</si>
  <si>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</si>
  <si>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</si>
  <si>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</si>
  <si>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</si>
  <si>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</si>
  <si>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</si>
  <si>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</si>
  <si>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</si>
  <si>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</si>
  <si>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</si>
  <si>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</si>
  <si>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</si>
  <si>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</si>
  <si>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</si>
  <si>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</si>
  <si>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</si>
  <si>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</si>
  <si>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</si>
  <si>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</si>
  <si>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</si>
  <si>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</si>
  <si>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</si>
  <si>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</si>
  <si>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</si>
  <si>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</si>
  <si>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</si>
  <si>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</si>
  <si>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</si>
  <si>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</si>
  <si>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</si>
  <si>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</si>
  <si>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</si>
  <si>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</si>
  <si>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</si>
  <si>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</si>
  <si>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</si>
  <si>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</si>
  <si>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</si>
  <si>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</si>
  <si>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</si>
  <si>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</si>
  <si>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</si>
  <si>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</si>
  <si>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</si>
  <si>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</si>
  <si>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</si>
  <si>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</si>
  <si>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</si>
  <si>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</si>
  <si>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</si>
  <si>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</si>
  <si>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</si>
  <si>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</si>
  <si>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</si>
  <si>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</si>
  <si>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</si>
  <si>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</si>
  <si>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</si>
  <si>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</si>
  <si>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</si>
  <si>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</si>
  <si>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</si>
  <si>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</si>
  <si>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</si>
  <si>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</si>
  <si>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</si>
  <si>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</si>
  <si>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</si>
  <si>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</si>
  <si>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</si>
  <si>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</si>
  <si>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</si>
  <si>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</si>
  <si>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</si>
  <si>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</si>
  <si>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</si>
  <si>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</si>
  <si>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</si>
  <si>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</si>
  <si>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</si>
  <si>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</si>
  <si>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</si>
  <si>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</si>
  <si>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</si>
  <si>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</si>
  <si>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</si>
  <si>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</si>
  <si>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</si>
  <si>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</si>
  <si>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</si>
  <si>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</si>
  <si>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</si>
  <si>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</si>
  <si>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</si>
  <si>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</si>
  <si>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</si>
  <si>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</si>
  <si>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</si>
  <si>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</si>
  <si>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</si>
  <si>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</si>
  <si>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</si>
  <si>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</si>
  <si>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</si>
  <si>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</si>
  <si>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</si>
  <si>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</si>
  <si>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</si>
  <si>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</si>
  <si>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</si>
  <si>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</si>
  <si>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</si>
  <si>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</si>
  <si>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</si>
  <si>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</si>
  <si>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</si>
  <si>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</si>
  <si>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</si>
  <si>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</si>
  <si>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</si>
  <si>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</si>
  <si>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</si>
  <si>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</si>
  <si>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</si>
  <si>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</si>
  <si>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</si>
  <si>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</si>
  <si>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</si>
  <si>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</si>
  <si>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</si>
  <si>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</si>
  <si>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</si>
  <si>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</si>
  <si>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</si>
  <si>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</si>
  <si>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</si>
  <si>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</si>
  <si>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</si>
  <si>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</si>
  <si>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</si>
  <si>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</si>
  <si>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</si>
  <si>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</si>
  <si>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</si>
  <si>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</si>
  <si>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</si>
  <si>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</si>
  <si>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</si>
  <si>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</si>
  <si>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</si>
  <si>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</si>
  <si>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</si>
  <si>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</si>
  <si>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</si>
  <si>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</si>
  <si>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</si>
  <si>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</si>
  <si>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</si>
  <si>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</si>
  <si>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</si>
  <si>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</si>
  <si>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</si>
  <si>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</si>
  <si>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</si>
  <si>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</si>
  <si>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</si>
  <si>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</si>
  <si>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</si>
  <si>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</si>
  <si>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</si>
  <si>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</si>
  <si>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</si>
  <si>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</si>
  <si>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</si>
  <si>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</si>
  <si>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</si>
  <si>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</si>
  <si>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</si>
  <si>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</si>
  <si>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VMtracker</t>
  </si>
  <si>
    <t>VMtracker உடன் ஓட்டுங்கள்</t>
  </si>
  <si>
    <t>driver_access_download_driver_app</t>
  </si>
  <si>
    <t>Download VMtracker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</si>
  <si>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</si>
  <si>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</si>
  <si>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</si>
  <si>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</si>
  <si>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</si>
  <si>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</si>
  <si>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</si>
  <si>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</si>
  <si>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</si>
  <si>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</si>
  <si>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</si>
  <si>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</si>
  <si>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</si>
  <si>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</si>
  <si>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</si>
  <si>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</si>
  <si>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</si>
  <si>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</si>
  <si>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</si>
  <si>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</si>
  <si>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</si>
  <si>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</si>
  <si>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</si>
  <si>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Download VM Tracker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</si>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</sst>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0" fontId="2" numFmtId="0" xfId="0" applyAlignment="1" applyFont="1">
      <alignment horizontal="center" readingOrder="0" shrinkToFit="0" vertical="bottom" wrapText="1"/>
    </xf>
    <xf borderId="0" fillId="3" fontId="5" numFmtId="0" xfId="0" applyAlignment="1" applyFont="1">
      <alignment shrinkToFit="0" vertical="bottom" wrapText="1"/>
    </xf>
    <xf borderId="0" fillId="0" fontId="2" numFmtId="0" xfId="0" applyAlignment="1" applyFont="1">
      <alignment horizontal="center"/>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लें और उनसे Namma Ooru Taxi ® ऐप के ज़रिए पिकअप लोकेशन शेयर करने के लिए कहें। नोटिफिकेशन के ज़रिए पिकअप लोकेशन मिलने पर उसे स्वीकार करके यात्रा शुरू करें।")</f>
        <v>किराया तय कर लें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పొందారని నిర్ధారించుకోండి.")</f>
        <v>మరింత నిబద్ధతకు రేటింగ్‌లు కీలకం. మీరు మంచి రేటింగ్ పొందారని నిర్ధారించుకోండి.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6" t="str">
        <f>IFERROR(__xludf.DUMMYFUNCTION("GOOGLETRANSLATE(B24, ""en"", ""ta"")"),"தயவுசெய்து PAN எண்ணை உள்ளிடவும்.")</f>
        <v>தயவுசெய்து PAN எண்ணை உள்ளிடவும்.</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53</v>
      </c>
      <c r="B25" s="5" t="s">
        <v>54</v>
      </c>
      <c r="C25" s="6" t="str">
        <f>IFERROR(__xludf.DUMMYFUNCTION("GOOGLETRANSLATE(B25, ""en"", ""ta"")"),"தயவுசெய்து செல்லுபடியாகும் PAN எண்ணை உள்ளிடவும்.")</f>
        <v>தயவுசெய்து செல்லுபடியாகும் PAN எண்ணை உள்ளிடவும்.</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55</v>
      </c>
      <c r="B26" s="5" t="s">
        <v>56</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57</v>
      </c>
      <c r="B27" s="5" t="s">
        <v>58</v>
      </c>
      <c r="C27" s="6" t="str">
        <f>IFERROR(__xludf.DUMMYFUNCTION("GOOGLETRANSLATE(B27, ""en"", ""ta"")"),"தயவுசெய்து செல்லுபடியாகும் உரிம எண்ணை உள்ளிடவும் (TN01 20110012345)")</f>
        <v>தயவுசெய்து செல்லுபடியாகும் உரிம எண்ணை உள்ளிடவும் (TN01 20110012345)</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59</v>
      </c>
      <c r="B28" s="5" t="s">
        <v>60</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61</v>
      </c>
      <c r="B29" s="5" t="s">
        <v>62</v>
      </c>
      <c r="C29" s="6" t="str">
        <f>IFERROR(__xludf.DUMMYFUNCTION("GOOGLETRANSLATE(B29, ""en"", ""ta"")"),"இருப்பிட அனுமதி மறுக்கப்பட்டது")</f>
        <v>இருப்பிட அனுமதி மறுக்கப்பட்டது</v>
      </c>
      <c r="D29" s="6" t="str">
        <f>IFERROR(__xludf.DUMMYFUNCTION("GOOGLETRANSLATE(B29, ""en"", ""hi"")"),"स्थान की अनुमति अस्वीकृत")</f>
        <v>स्थान की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63</v>
      </c>
      <c r="B30" s="5" t="s">
        <v>64</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65</v>
      </c>
      <c r="B31" s="5" t="s">
        <v>66</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67</v>
      </c>
      <c r="B32" s="5" t="s">
        <v>68</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69</v>
      </c>
      <c r="B33" s="5" t="s">
        <v>70</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71</v>
      </c>
      <c r="B34" s="5" t="s">
        <v>72</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 സ്ഥലം")</f>
        <v>ഇഷ്ടപ്പെട്ട ജോലി സ്ഥലം</v>
      </c>
      <c r="G34" s="7" t="str">
        <f>IFERROR(__xludf.DUMMYFUNCTION("GOOGLETRANSLATE(B34, ""en"", ""te"")"),"ఇష్టపడే పని స్థానం")</f>
        <v>ఇష్టపడే పని స్థానం</v>
      </c>
    </row>
    <row r="35">
      <c r="A35" s="4" t="s">
        <v>73</v>
      </c>
      <c r="B35" s="5" t="s">
        <v>74</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75</v>
      </c>
      <c r="B36" s="5" t="s">
        <v>76</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77</v>
      </c>
      <c r="B37" s="5" t="s">
        <v>78</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79</v>
      </c>
      <c r="B38" s="5" t="s">
        <v>80</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81</v>
      </c>
      <c r="B39" s="5" t="s">
        <v>82</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83</v>
      </c>
      <c r="B40" s="5" t="s">
        <v>84</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85</v>
      </c>
      <c r="B41" s="5" t="s">
        <v>86</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87</v>
      </c>
      <c r="B42" s="5" t="s">
        <v>88</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89</v>
      </c>
      <c r="B43" s="5" t="s">
        <v>90</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91</v>
      </c>
      <c r="B44" s="5" t="s">
        <v>92</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93</v>
      </c>
      <c r="B45" s="5" t="s">
        <v>94</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""ml"")"),"ദയവായി വാഹന മോഡൽ നൽകുക.")</f>
        <v>ദയവായി വാഹന മോഡൽ നൽകുക.</v>
      </c>
      <c r="G45" s="7" t="str">
        <f>IFERROR(__xludf.DUMMYFUNCTION("GOOGLETRANSLATE(B45, ""en"", ""te"")"),"దయచేసి వాహన నమూనాను నమోదు చేయండి.")</f>
        <v>దయచేసి వాహన నమూనాను నమోదు చేయండి.</v>
      </c>
    </row>
    <row r="46">
      <c r="A46" s="4" t="s">
        <v>95</v>
      </c>
      <c r="B46" s="5" t="s">
        <v>96</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97</v>
      </c>
      <c r="B47" s="5" t="s">
        <v>98</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99</v>
      </c>
      <c r="B48" s="5" t="s">
        <v>100</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101</v>
      </c>
      <c r="B49" s="5" t="s">
        <v>102</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103</v>
      </c>
      <c r="B50" s="5" t="s">
        <v>104</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105</v>
      </c>
      <c r="B51" s="5" t="s">
        <v>106</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107</v>
      </c>
      <c r="B52" s="5" t="s">
        <v>108</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109</v>
      </c>
      <c r="B53" s="5" t="s">
        <v>110</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111</v>
      </c>
      <c r="B54" s="5" t="s">
        <v>112</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113</v>
      </c>
      <c r="B55" s="5" t="s">
        <v>114</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115</v>
      </c>
      <c r="B56" s="5" t="s">
        <v>116</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117</v>
      </c>
      <c r="B57" s="5" t="s">
        <v>118</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119</v>
      </c>
      <c r="B58" s="5" t="s">
        <v>120</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121</v>
      </c>
      <c r="B59" s="5" t="s">
        <v>122</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123</v>
      </c>
      <c r="B60" s="5" t="s">
        <v>124</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125</v>
      </c>
      <c r="B61" s="5" t="s">
        <v>126</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127</v>
      </c>
      <c r="B62" s="5" t="s">
        <v>128</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129</v>
      </c>
      <c r="B63" s="5" t="s">
        <v>130</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131</v>
      </c>
      <c r="B64" s="5" t="s">
        <v>132</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133</v>
      </c>
      <c r="B65" s="5" t="s">
        <v>134</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135</v>
      </c>
      <c r="B66" s="5" t="s">
        <v>136</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137</v>
      </c>
      <c r="B67" s="5" t="s">
        <v>138</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139</v>
      </c>
      <c r="B68" s="5" t="s">
        <v>140</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141</v>
      </c>
      <c r="B69" s="5" t="s">
        <v>142</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143</v>
      </c>
      <c r="B70" s="5" t="s">
        <v>144</v>
      </c>
      <c r="C70" s="6" t="str">
        <f>IFERROR(__xludf.DUMMYFUNCTION("GOOGLETRANSLATE(B70, ""en"", ""ta"")"),"வண்ணத்தைத் தேர்ந்தெடுக்கவும்")</f>
        <v>வண்ணத்தைத்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145</v>
      </c>
      <c r="B71" s="5" t="s">
        <v>146</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147</v>
      </c>
      <c r="B72" s="5" t="s">
        <v>148</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149</v>
      </c>
      <c r="B73" s="5" t="s">
        <v>150</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151</v>
      </c>
      <c r="B74" s="5" t="s">
        <v>152</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153</v>
      </c>
      <c r="B75" s="5" t="s">
        <v>154</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155</v>
      </c>
      <c r="B76" s="5" t="s">
        <v>156</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157</v>
      </c>
      <c r="B77" s="5" t="s">
        <v>158</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159</v>
      </c>
      <c r="B78" s="5" t="s">
        <v>160</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161</v>
      </c>
      <c r="B79" s="5" t="s">
        <v>162</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163</v>
      </c>
      <c r="B80" s="5" t="s">
        <v>164</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165</v>
      </c>
      <c r="B81" s="5" t="s">
        <v>166</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167</v>
      </c>
      <c r="B82" s="5" t="s">
        <v>168</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169</v>
      </c>
      <c r="B83" s="5" t="s">
        <v>170</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171</v>
      </c>
      <c r="B84" s="5" t="s">
        <v>172</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173</v>
      </c>
      <c r="B85" s="5" t="s">
        <v>174</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175</v>
      </c>
      <c r="B86" s="5" t="s">
        <v>176</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177</v>
      </c>
      <c r="B87" s="5" t="s">
        <v>178</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179</v>
      </c>
      <c r="B88" s="5" t="s">
        <v>180</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181</v>
      </c>
      <c r="B89" s="5" t="s">
        <v>182</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183</v>
      </c>
      <c r="B90" s="5" t="s">
        <v>184</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185</v>
      </c>
      <c r="B91" s="5" t="s">
        <v>186</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187</v>
      </c>
      <c r="B92" s="5" t="s">
        <v>188</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189</v>
      </c>
      <c r="B93" s="5" t="s">
        <v>190</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191</v>
      </c>
      <c r="B94" s="5" t="s">
        <v>192</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193</v>
      </c>
      <c r="B95" s="5" t="s">
        <v>194</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195</v>
      </c>
      <c r="B96" s="5" t="s">
        <v>196</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197</v>
      </c>
      <c r="B97" s="5" t="s">
        <v>198</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199</v>
      </c>
      <c r="B98" s="5" t="s">
        <v>200</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201</v>
      </c>
      <c r="B99" s="5" t="s">
        <v>202</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203</v>
      </c>
      <c r="B100" s="5" t="s">
        <v>204</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205</v>
      </c>
      <c r="B101" s="5" t="s">
        <v>206</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207</v>
      </c>
      <c r="B102" s="5" t="s">
        <v>208</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209</v>
      </c>
      <c r="B103" s="5" t="s">
        <v>210</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211</v>
      </c>
      <c r="B104" s="5" t="s">
        <v>212</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213</v>
      </c>
      <c r="B105" s="5" t="s">
        <v>214</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215</v>
      </c>
      <c r="B106" s="5" t="s">
        <v>216</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217</v>
      </c>
      <c r="B107" s="5" t="s">
        <v>218</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219</v>
      </c>
      <c r="B108" s="5" t="s">
        <v>220</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221</v>
      </c>
      <c r="B109" s="5" t="s">
        <v>222</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223</v>
      </c>
      <c r="B110" s="5" t="s">
        <v>224</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- 99999999999@upi")</f>
        <v>దయచేసి చెల్లుబాటు అయ్యే UPI IDని నమోదు చేయండి - 99999999999@upi</v>
      </c>
    </row>
    <row r="111">
      <c r="A111" s="4" t="s">
        <v>225</v>
      </c>
      <c r="B111" s="5" t="s">
        <v>226</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227</v>
      </c>
      <c r="B112" s="5" t="s">
        <v>228</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229</v>
      </c>
      <c r="B113" s="5" t="s">
        <v>230</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231</v>
      </c>
      <c r="B114" s="5" t="s">
        <v>232</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233</v>
      </c>
      <c r="B115" s="5" t="s">
        <v>234</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235</v>
      </c>
      <c r="B116" s="5" t="s">
        <v>236</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237</v>
      </c>
      <c r="B117" s="5" t="s">
        <v>238</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239</v>
      </c>
      <c r="B118" s="5" t="s">
        <v>240</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241</v>
      </c>
      <c r="B119" s="5" t="s">
        <v>242</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243</v>
      </c>
      <c r="B120" s="5" t="s">
        <v>244</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8" t="s">
        <v>245</v>
      </c>
      <c r="B121" s="9" t="s">
        <v>246</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8" t="s">
        <v>247</v>
      </c>
      <c r="B122" s="6" t="s">
        <v>248</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8" t="s">
        <v>249</v>
      </c>
      <c r="B123" s="6" t="s">
        <v>250</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8" t="s">
        <v>251</v>
      </c>
      <c r="B124" s="6" t="s">
        <v>252</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8" t="s">
        <v>253</v>
      </c>
      <c r="B125" s="6" t="s">
        <v>254</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0" t="s">
        <v>255</v>
      </c>
      <c r="B126" s="6" t="s">
        <v>256</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8" t="s">
        <v>257</v>
      </c>
      <c r="B127" s="6" t="s">
        <v>258</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8" t="s">
        <v>259</v>
      </c>
      <c r="B128" s="6" t="s">
        <v>260</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8" t="s">
        <v>261</v>
      </c>
      <c r="B129" s="6" t="s">
        <v>262</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8" t="s">
        <v>263</v>
      </c>
      <c r="B130" s="6" t="s">
        <v>264</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8" t="s">
        <v>265</v>
      </c>
      <c r="B131" s="6" t="s">
        <v>266</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8" t="s">
        <v>267</v>
      </c>
      <c r="B132" s="6" t="s">
        <v>268</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269</v>
      </c>
      <c r="B133" s="5" t="s">
        <v>270</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0" t="s">
        <v>271</v>
      </c>
      <c r="B134" s="5" t="s">
        <v>272</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0" t="s">
        <v>273</v>
      </c>
      <c r="B135" s="5" t="s">
        <v>274</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0" t="s">
        <v>275</v>
      </c>
      <c r="B136" s="5" t="s">
        <v>276</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0" t="s">
        <v>277</v>
      </c>
      <c r="B137" s="5" t="s">
        <v>278</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0" t="s">
        <v>279</v>
      </c>
      <c r="B138" s="5" t="s">
        <v>280</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0" t="s">
        <v>281</v>
      </c>
      <c r="B139" s="5" t="s">
        <v>282</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0" t="s">
        <v>283</v>
      </c>
      <c r="B140" s="5" t="s">
        <v>284</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0" t="s">
        <v>285</v>
      </c>
      <c r="B141" s="5" t="s">
        <v>286</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0" t="s">
        <v>287</v>
      </c>
      <c r="B142" s="5" t="s">
        <v>288</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0" t="s">
        <v>289</v>
      </c>
      <c r="B143" s="5" t="s">
        <v>290</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0" t="s">
        <v>291</v>
      </c>
      <c r="B144" s="5" t="s">
        <v>292</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0" t="s">
        <v>293</v>
      </c>
      <c r="B145" s="5" t="s">
        <v>294</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295</v>
      </c>
      <c r="B146" s="5" t="s">
        <v>296</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297</v>
      </c>
      <c r="B147" s="5" t="s">
        <v>298</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299</v>
      </c>
      <c r="B148" s="5" t="s">
        <v>300</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301</v>
      </c>
      <c r="B149" s="5" t="s">
        <v>302</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303</v>
      </c>
      <c r="B150" s="5" t="s">
        <v>304</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305</v>
      </c>
      <c r="B151" s="5" t="s">
        <v>306</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307</v>
      </c>
      <c r="B152" s="5" t="s">
        <v>308</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309</v>
      </c>
      <c r="B153" s="5" t="s">
        <v>310</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311</v>
      </c>
      <c r="B154" s="5" t="s">
        <v>312</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313</v>
      </c>
      <c r="B155" s="5" t="s">
        <v>314</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315</v>
      </c>
      <c r="B156" s="5" t="s">
        <v>316</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317</v>
      </c>
      <c r="B157" s="5" t="s">
        <v>318</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319</v>
      </c>
      <c r="B158" s="5" t="s">
        <v>320</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321</v>
      </c>
      <c r="B159" s="5" t="s">
        <v>322</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323</v>
      </c>
      <c r="B160" s="5" t="s">
        <v>324</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വിജയകരമായി വീണ്ടും അയച്ചു.")</f>
        <v>രജിസ്റ്റർ ചെയ്ത ഫോൺ നമ്പറിലേക്ക് OTP വിജയകരമായി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325</v>
      </c>
      <c r="B161" s="5" t="s">
        <v>326</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327</v>
      </c>
      <c r="B162" s="5" t="s">
        <v>328</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329</v>
      </c>
      <c r="B163" s="5" t="s">
        <v>330</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281</v>
      </c>
      <c r="B164" s="5" t="s">
        <v>282</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283</v>
      </c>
      <c r="B165" s="5" t="s">
        <v>284</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277</v>
      </c>
      <c r="B166" s="5" t="s">
        <v>278</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275</v>
      </c>
      <c r="B167" s="5" t="s">
        <v>276</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273</v>
      </c>
      <c r="B168" s="5" t="s">
        <v>331</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271</v>
      </c>
      <c r="B169" s="5" t="s">
        <v>272</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332</v>
      </c>
      <c r="B170" s="5" t="s">
        <v>333</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285</v>
      </c>
      <c r="B171" s="5" t="s">
        <v>334</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335</v>
      </c>
      <c r="B172" s="5" t="s">
        <v>336</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337</v>
      </c>
      <c r="B173" s="5" t="s">
        <v>338</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339</v>
      </c>
      <c r="B174" s="5" t="s">
        <v>340</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341</v>
      </c>
      <c r="B175" s="5" t="s">
        <v>342</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ഓൺലൈനാകൂ")</f>
        <v>വേണ്ട, ഓൺലൈനാകൂ</v>
      </c>
      <c r="G175" s="7" t="str">
        <f>IFERROR(__xludf.DUMMYFUNCTION("GOOGLETRANSLATE(B175, ""en"", ""te"")"),"వద్దు, ఆన్‌లైన్‌లో ఉండు")</f>
        <v>వద్దు, ఆన్‌లైన్‌లో ఉండు</v>
      </c>
    </row>
    <row r="176">
      <c r="A176" s="4" t="s">
        <v>343</v>
      </c>
      <c r="B176" s="5" t="s">
        <v>344</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345</v>
      </c>
      <c r="B177" s="5" t="s">
        <v>346</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347</v>
      </c>
      <c r="B178" s="5" t="s">
        <v>348</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349</v>
      </c>
      <c r="B179" s="5" t="s">
        <v>350</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351</v>
      </c>
      <c r="B180" s="5" t="s">
        <v>352</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353</v>
      </c>
      <c r="B181" s="5" t="s">
        <v>354</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355</v>
      </c>
      <c r="B182" s="5" t="s">
        <v>356</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357</v>
      </c>
      <c r="B183" s="5" t="s">
        <v>358</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359</v>
      </c>
      <c r="B184" s="5" t="s">
        <v>360</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361</v>
      </c>
      <c r="B185" s="5" t="s">
        <v>362</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363</v>
      </c>
      <c r="B186" s="5" t="s">
        <v>364</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365</v>
      </c>
      <c r="B187" s="5" t="s">
        <v>366</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367</v>
      </c>
      <c r="B188" s="5" t="s">
        <v>368</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369</v>
      </c>
      <c r="B189" s="5" t="s">
        <v>370</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371</v>
      </c>
      <c r="B190" s="5" t="s">
        <v>372</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373</v>
      </c>
      <c r="B191" s="5" t="s">
        <v>374</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375</v>
      </c>
      <c r="B192" s="5" t="s">
        <v>376</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377</v>
      </c>
      <c r="B193" s="5" t="s">
        <v>378</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379</v>
      </c>
      <c r="B194" s="5" t="s">
        <v>380</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381</v>
      </c>
      <c r="B195" s="5" t="s">
        <v>382</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383</v>
      </c>
      <c r="B196" s="5" t="s">
        <v>384</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ಹೆಚ್ಚಿನ ಸಮಯ ತೆಗೆದುಕೊಂಡರೆ ಬೆಂಬಲವನ್ನು ಸಂಪರ್ಕಿಸಿ")</f>
        <v>ಪರಿಶೀಲನೆಗೆ ಹೆಚ್ಚಿನ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385</v>
      </c>
      <c r="B197" s="5" t="s">
        <v>386</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387</v>
      </c>
      <c r="B198" s="5" t="s">
        <v>388</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389</v>
      </c>
      <c r="B199" s="5" t="s">
        <v>390</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""ml"")"),"ഓൺലൈനിൽ പോകുക")</f>
        <v>ഓൺലൈനിൽ പോകുക</v>
      </c>
      <c r="G199" s="7" t="str">
        <f>IFERROR(__xludf.DUMMYFUNCTION("GOOGLETRANSLATE(B199, ""en"", ""te"")"),"ఆన్‌లైన్‌లోకి వెళ్లండి")</f>
        <v>ఆన్‌లైన్‌లోకి వెళ్లండి</v>
      </c>
    </row>
    <row r="200">
      <c r="A200" s="4" t="s">
        <v>391</v>
      </c>
      <c r="B200" s="5" t="s">
        <v>392</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393</v>
      </c>
      <c r="B201" s="5" t="s">
        <v>394</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395</v>
      </c>
      <c r="B202" s="5" t="s">
        <v>396</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397</v>
      </c>
      <c r="B203" s="5" t="s">
        <v>398</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399</v>
      </c>
      <c r="B204" s="5" t="s">
        <v>400</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401</v>
      </c>
      <c r="B205" s="5" t="s">
        <v>402</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403</v>
      </c>
      <c r="B206" s="5" t="s">
        <v>404</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405</v>
      </c>
      <c r="B207" s="5" t="s">
        <v>406</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407</v>
      </c>
      <c r="B208" s="5" t="s">
        <v>408</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409</v>
      </c>
      <c r="B209" s="5" t="s">
        <v>410</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411</v>
      </c>
      <c r="B210" s="5" t="s">
        <v>412</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413</v>
      </c>
      <c r="B211" s="5" t="s">
        <v>414</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241</v>
      </c>
      <c r="B212" s="5" t="s">
        <v>242</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415</v>
      </c>
      <c r="B213" s="5" t="s">
        <v>416</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417</v>
      </c>
      <c r="B214" s="5" t="s">
        <v>418</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419</v>
      </c>
      <c r="B215" s="5" t="s">
        <v>420</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421</v>
      </c>
      <c r="B216" s="5" t="s">
        <v>422</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423</v>
      </c>
      <c r="B217" s="5" t="s">
        <v>424</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425</v>
      </c>
      <c r="B218" s="5" t="s">
        <v>426</v>
      </c>
      <c r="C218" s="6" t="str">
        <f>IFERROR(__xludf.DUMMYFUNCTION("GOOGLETRANSLATE(B218, ""en"", ""ta"")"),"இருப்பிடம் முடிவு")</f>
        <v>இருப்பிடம் முடிவு</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427</v>
      </c>
      <c r="B219" s="5" t="s">
        <v>428</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429</v>
      </c>
      <c r="B220" s="5" t="s">
        <v>430</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""kn"")"),"ಸ್ಥಿತಿಯನ್ನು ಆಯ್ಕೆಮಾಡಿ")</f>
        <v>ಸ್ಥಿತಿಯನ್ನು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431</v>
      </c>
      <c r="B221" s="5" t="s">
        <v>432</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433</v>
      </c>
      <c r="B222" s="5" t="s">
        <v>434</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435</v>
      </c>
      <c r="B223" s="5" t="s">
        <v>436</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437</v>
      </c>
      <c r="B224" s="5" t="s">
        <v>438</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439</v>
      </c>
      <c r="B225" s="5" t="s">
        <v>440</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441</v>
      </c>
      <c r="B226" s="5" t="s">
        <v>442</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443</v>
      </c>
      <c r="B227" s="5" t="s">
        <v>444</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445</v>
      </c>
      <c r="B228" s="5" t="s">
        <v>446</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447</v>
      </c>
      <c r="B229" s="5" t="s">
        <v>448</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387</v>
      </c>
      <c r="B230" s="5" t="s">
        <v>388</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449</v>
      </c>
      <c r="B231" s="5" t="s">
        <v>450</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103</v>
      </c>
      <c r="B232" s="5" t="s">
        <v>104</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451</v>
      </c>
      <c r="B233" s="5" t="s">
        <v>452</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453</v>
      </c>
      <c r="B234" s="5" t="s">
        <v>454</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455</v>
      </c>
      <c r="B235" s="5" t="s">
        <v>456</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457</v>
      </c>
      <c r="B236" s="5" t="s">
        <v>458</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459</v>
      </c>
      <c r="B237" s="5" t="s">
        <v>460</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461</v>
      </c>
      <c r="B238" s="5" t="s">
        <v>462</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463</v>
      </c>
      <c r="B239" s="5" t="s">
        <v>464</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465</v>
      </c>
      <c r="B240" s="5" t="s">
        <v>466</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467</v>
      </c>
      <c r="B241" s="5" t="s">
        <v>468</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469</v>
      </c>
      <c r="B242" s="5" t="s">
        <v>470</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471</v>
      </c>
      <c r="B243" s="5" t="s">
        <v>472</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473</v>
      </c>
      <c r="B244" s="5" t="s">
        <v>474</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475</v>
      </c>
      <c r="B245" s="5" t="s">
        <v>476</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477</v>
      </c>
      <c r="B246" s="5" t="s">
        <v>478</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479</v>
      </c>
      <c r="B247" s="5" t="s">
        <v>480</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481</v>
      </c>
      <c r="B248" s="5" t="s">
        <v>482</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483</v>
      </c>
      <c r="B249" s="5" t="s">
        <v>484</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485</v>
      </c>
      <c r="B250" s="5" t="s">
        <v>486</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487</v>
      </c>
      <c r="B251" s="5" t="s">
        <v>488</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489</v>
      </c>
      <c r="B252" s="5" t="s">
        <v>490</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491</v>
      </c>
      <c r="B253" s="5" t="s">
        <v>492</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493</v>
      </c>
      <c r="B254" s="5" t="s">
        <v>494</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495</v>
      </c>
      <c r="B255" s="5" t="s">
        <v>496</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497</v>
      </c>
      <c r="B256" s="5" t="s">
        <v>498</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499</v>
      </c>
      <c r="B257" s="5" t="s">
        <v>500</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501</v>
      </c>
      <c r="B258" s="5" t="s">
        <v>502</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503</v>
      </c>
      <c r="B259" s="5" t="s">
        <v>504</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505</v>
      </c>
      <c r="B260" s="5" t="s">
        <v>506</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507</v>
      </c>
      <c r="B261" s="5" t="s">
        <v>508</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509</v>
      </c>
      <c r="B262" s="5" t="s">
        <v>510</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511</v>
      </c>
      <c r="B263" s="5" t="s">
        <v>512</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513</v>
      </c>
      <c r="B264" s="5" t="s">
        <v>514</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515</v>
      </c>
      <c r="B265" s="5" t="s">
        <v>516</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387</v>
      </c>
      <c r="B266" s="5" t="s">
        <v>388</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517</v>
      </c>
      <c r="B267" s="5" t="s">
        <v>517</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518</v>
      </c>
      <c r="B268" s="5" t="s">
        <v>519</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520</v>
      </c>
      <c r="B269" s="5" t="s">
        <v>521</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522</v>
      </c>
      <c r="B270" s="5" t="s">
        <v>523</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524</v>
      </c>
      <c r="B271" s="5" t="s">
        <v>525</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526</v>
      </c>
      <c r="B272" s="5" t="s">
        <v>527</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528</v>
      </c>
      <c r="B273" s="5" t="s">
        <v>529</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530</v>
      </c>
      <c r="B274" s="5" t="s">
        <v>531</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532</v>
      </c>
      <c r="B275" s="5" t="s">
        <v>533</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534</v>
      </c>
      <c r="B276" s="5" t="s">
        <v>535</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536</v>
      </c>
      <c r="B277" s="5" t="s">
        <v>537</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538</v>
      </c>
      <c r="B278" s="5" t="s">
        <v>539</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540</v>
      </c>
      <c r="B279" s="5" t="s">
        <v>541</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542</v>
      </c>
      <c r="B280" s="5" t="s">
        <v>543</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544</v>
      </c>
      <c r="B281" s="5" t="s">
        <v>545</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546</v>
      </c>
      <c r="B282" s="5" t="s">
        <v>547</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548</v>
      </c>
      <c r="B283" s="5" t="s">
        <v>549</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550</v>
      </c>
      <c r="B284" s="5" t="s">
        <v>551</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""ml"")"),"നിങ്ങളുടെ കുടിശ്ശിക തുക ബാക്കിയുണ്ടെങ്കിൽ, ദയവായി എല്ലാ കുടിശ്ശികകളും മുൻകൂട്ടി തീർക്കുക.")</f>
        <v>നിങ്ങളുടെ കുടിശ്ശിക തുക ബാക്കിയുണ്ടെങ്കിൽ, ദയവായി എല്ലാ കുടിശ്ശികകളും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552</v>
      </c>
      <c r="B285" s="5" t="s">
        <v>553</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554</v>
      </c>
      <c r="B286" s="5" t="s">
        <v>555</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556</v>
      </c>
      <c r="B287" s="5" t="s">
        <v>557</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554</v>
      </c>
      <c r="B288" s="5" t="s">
        <v>555</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558</v>
      </c>
      <c r="B289" s="5" t="s">
        <v>559</v>
      </c>
      <c r="C289" s="6" t="str">
        <f>IFERROR(__xludf.DUMMYFUNCTION("GOOGLETRANSLATE(B289, ""en"", ""ta"")"),"சரிவு சவாரி")</f>
        <v>சரிவு சவாரி</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560</v>
      </c>
      <c r="B290" s="5" t="s">
        <v>561</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562</v>
      </c>
      <c r="B291" s="5" t="s">
        <v>563</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564</v>
      </c>
      <c r="B292" s="5" t="s">
        <v>565</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566</v>
      </c>
      <c r="B293" s="5" t="s">
        <v>567</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568</v>
      </c>
      <c r="B294" s="5" t="s">
        <v>569</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570</v>
      </c>
      <c r="B295" s="5" t="s">
        <v>571</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572</v>
      </c>
      <c r="B296" s="5" t="s">
        <v>573</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574</v>
      </c>
      <c r="B297" s="5" t="s">
        <v>575</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576</v>
      </c>
      <c r="B298" s="5" t="s">
        <v>577</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578</v>
      </c>
      <c r="B299" s="5" t="s">
        <v>579</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580</v>
      </c>
      <c r="B300" s="5" t="s">
        <v>581</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582</v>
      </c>
      <c r="B301" s="5" t="s">
        <v>583</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584</v>
      </c>
      <c r="B302" s="5" t="s">
        <v>585</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329</v>
      </c>
      <c r="B303" s="5" t="s">
        <v>330</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586</v>
      </c>
      <c r="B304" s="5" t="s">
        <v>587</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588</v>
      </c>
      <c r="B305" s="5" t="s">
        <v>589</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590</v>
      </c>
      <c r="B306" s="5" t="s">
        <v>591</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592</v>
      </c>
      <c r="B307" s="5" t="s">
        <v>593</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594</v>
      </c>
      <c r="B308" s="5" t="s">
        <v>595</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596</v>
      </c>
      <c r="B309" s="5" t="s">
        <v>597</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598</v>
      </c>
      <c r="B310" s="5" t="s">
        <v>599</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600</v>
      </c>
      <c r="B311" s="5" t="s">
        <v>601</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602</v>
      </c>
      <c r="B312" s="5" t="s">
        <v>603</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604</v>
      </c>
      <c r="B313" s="5" t="s">
        <v>605</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606</v>
      </c>
      <c r="B314" s="5" t="s">
        <v>607</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608</v>
      </c>
      <c r="B315" s="5" t="s">
        <v>609</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0" t="s">
        <v>610</v>
      </c>
      <c r="B316" s="9" t="s">
        <v>611</v>
      </c>
      <c r="C316" s="6" t="str">
        <f>IFERROR(__xludf.DUMMYFUNCTION("GOOGLETRANSLATE(B316, ""en"", ""ta"")"),"பயணியை அடைய முடியவில்லை அல்லது பிக்அப் இடத்தில் இல்லை.")</f>
        <v>பயணியை அடைய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0" t="s">
        <v>612</v>
      </c>
      <c r="B317" s="9" t="s">
        <v>613</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0" t="s">
        <v>614</v>
      </c>
      <c r="B318" s="9" t="s">
        <v>615</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0" t="s">
        <v>616</v>
      </c>
      <c r="B319" s="9" t="s">
        <v>617</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0" t="s">
        <v>618</v>
      </c>
      <c r="B320" s="9" t="s">
        <v>619</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0" t="s">
        <v>620</v>
      </c>
      <c r="B321" s="9" t="s">
        <v>621</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0" t="s">
        <v>622</v>
      </c>
      <c r="B322" s="9" t="s">
        <v>623</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0" t="s">
        <v>624</v>
      </c>
      <c r="B323" s="9" t="s">
        <v>625</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626</v>
      </c>
      <c r="B324" s="5" t="s">
        <v>627</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628</v>
      </c>
      <c r="B325" s="5" t="s">
        <v>629</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630</v>
      </c>
      <c r="B326" s="5" t="s">
        <v>631</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632</v>
      </c>
      <c r="B327" s="5" t="s">
        <v>633</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634</v>
      </c>
      <c r="B328" s="5" t="s">
        <v>635</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636</v>
      </c>
      <c r="B329" s="5" t="s">
        <v>637</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638</v>
      </c>
      <c r="B330" s="5" t="s">
        <v>639</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640</v>
      </c>
      <c r="B331" s="5" t="s">
        <v>641</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642</v>
      </c>
      <c r="B332" s="5" t="s">
        <v>643</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644</v>
      </c>
      <c r="B333" s="5" t="s">
        <v>645</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646</v>
      </c>
      <c r="B334" s="5" t="s">
        <v>647</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648</v>
      </c>
      <c r="B335" s="5" t="s">
        <v>649</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650</v>
      </c>
      <c r="B336" s="5" t="s">
        <v>651</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652</v>
      </c>
      <c r="B337" s="5" t="s">
        <v>653</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654</v>
      </c>
      <c r="B338" s="5" t="s">
        <v>655</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656</v>
      </c>
      <c r="B339" s="5" t="s">
        <v>657</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658</v>
      </c>
      <c r="B340" s="5" t="s">
        <v>659</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हम उसे हल करने में आपकी सहायता करेंगे।")</f>
        <v>अपनी समस्या का वर्णन करें, हम उसे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660</v>
      </c>
      <c r="B341" s="5" t="s">
        <v>661</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662</v>
      </c>
      <c r="B342" s="5" t="s">
        <v>663</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""ml"")"),"ആപ്പ് അനുബന്ധം")</f>
        <v>ആപ്പ് അനുബന്ധം</v>
      </c>
      <c r="G342" s="7" t="str">
        <f>IFERROR(__xludf.DUMMYFUNCTION("GOOGLETRANSLATE(B342, ""en"", ""te"")"),"సంబంధిత యాప్")</f>
        <v>సంబంధిత యాప్</v>
      </c>
    </row>
    <row r="343">
      <c r="A343" s="4" t="s">
        <v>664</v>
      </c>
      <c r="B343" s="5" t="s">
        <v>665</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666</v>
      </c>
      <c r="B344" s="5" t="s">
        <v>667</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668</v>
      </c>
      <c r="B345" s="5" t="s">
        <v>669</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670</v>
      </c>
      <c r="B346" s="5" t="s">
        <v>671</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672</v>
      </c>
      <c r="B347" s="5" t="s">
        <v>673</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674</v>
      </c>
      <c r="B348" s="5" t="s">
        <v>675</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676</v>
      </c>
      <c r="B349" s="5" t="s">
        <v>677</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678</v>
      </c>
      <c r="B350" s="5" t="s">
        <v>679</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680</v>
      </c>
      <c r="B351" s="5" t="s">
        <v>681</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682</v>
      </c>
      <c r="B352" s="5" t="s">
        <v>683</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684</v>
      </c>
      <c r="B353" s="5" t="s">
        <v>685</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686</v>
      </c>
      <c r="B354" s="5" t="s">
        <v>687</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688</v>
      </c>
      <c r="B355" s="5" t="s">
        <v>689</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690</v>
      </c>
      <c r="B356" s="5" t="s">
        <v>691</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692</v>
      </c>
      <c r="B357" s="5" t="s">
        <v>693</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694</v>
      </c>
      <c r="B358" s="5" t="s">
        <v>695</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696</v>
      </c>
      <c r="B359" s="5" t="s">
        <v>697</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417</v>
      </c>
      <c r="B360" s="5" t="s">
        <v>418</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698</v>
      </c>
      <c r="B361" s="5" t="s">
        <v>699</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666</v>
      </c>
      <c r="B362" s="5" t="s">
        <v>667</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700</v>
      </c>
      <c r="B363" s="5" t="s">
        <v>701</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702</v>
      </c>
      <c r="B364" s="5" t="s">
        <v>703</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704</v>
      </c>
      <c r="B365" s="5" t="s">
        <v>705</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706</v>
      </c>
      <c r="B366" s="5" t="s">
        <v>707</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708</v>
      </c>
      <c r="B367" s="5" t="s">
        <v>709</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చేయడం సాధ్యం కాదు - తొలగించబడిన డేటాను తిరిగి పొందడం సాధ్యం కాదు.")</f>
        <v>ఈ చర్యను రద్దు చేయడం సాధ్యం కాదు - తొలగించబడిన డేటాను తిరిగి పొందడం సాధ్యం కాదు.</v>
      </c>
    </row>
    <row r="368">
      <c r="A368" s="4" t="s">
        <v>710</v>
      </c>
      <c r="B368" s="5" t="s">
        <v>711</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712</v>
      </c>
      <c r="B369" s="5" t="s">
        <v>713</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714</v>
      </c>
      <c r="B370" s="5" t="s">
        <v>715</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716</v>
      </c>
      <c r="B371" s="5" t="s">
        <v>717</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718</v>
      </c>
      <c r="B372" s="5" t="s">
        <v>719</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720</v>
      </c>
      <c r="B373" s="5" t="s">
        <v>721</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722</v>
      </c>
      <c r="B374" s="5" t="s">
        <v>723</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724</v>
      </c>
      <c r="B375" s="5" t="s">
        <v>725</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726</v>
      </c>
      <c r="B376" s="5" t="s">
        <v>727</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728</v>
      </c>
      <c r="B377" s="5" t="s">
        <v>729</v>
      </c>
      <c r="C377" s="6" t="str">
        <f>IFERROR(__xludf.DUMMYFUNCTION("GOOGLETRANSLATE(B377, ""en"", ""ta"")"),"வாகன ஆர்.சி. ஆவணத்தின் பின்புறம்")</f>
        <v>வாகன ஆர்.சி.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730</v>
      </c>
      <c r="B378" s="5" t="s">
        <v>731</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732</v>
      </c>
      <c r="B379" s="5" t="s">
        <v>733</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734</v>
      </c>
      <c r="B380" s="5" t="s">
        <v>735</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736</v>
      </c>
      <c r="B381" s="5" t="s">
        <v>737</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738</v>
      </c>
      <c r="B382" s="5" t="s">
        <v>739</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740</v>
      </c>
      <c r="B383" s="5" t="s">
        <v>741</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742</v>
      </c>
      <c r="B384" s="5" t="s">
        <v>743</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744</v>
      </c>
      <c r="B385" s="5" t="s">
        <v>745</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746</v>
      </c>
      <c r="B386" s="5" t="s">
        <v>747</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748</v>
      </c>
      <c r="B387" s="5" t="s">
        <v>749</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750</v>
      </c>
      <c r="B388" s="5" t="s">
        <v>751</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752</v>
      </c>
      <c r="B389" s="5" t="s">
        <v>753</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754</v>
      </c>
      <c r="B390" s="5" t="s">
        <v>755</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756</v>
      </c>
      <c r="B391" s="5" t="s">
        <v>757</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758</v>
      </c>
      <c r="B392" s="5" t="s">
        <v>759</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760</v>
      </c>
      <c r="B393" s="5" t="s">
        <v>761</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""te"")"),"గమ్యస్థానానికి చేరుకున్నారు")</f>
        <v>గమ్యస్థానానికి చేరుకున్నారు</v>
      </c>
    </row>
    <row r="394">
      <c r="A394" s="4" t="s">
        <v>762</v>
      </c>
      <c r="B394" s="5" t="s">
        <v>763</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764</v>
      </c>
      <c r="B395" s="5" t="s">
        <v>765</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766</v>
      </c>
      <c r="B396" s="5" t="s">
        <v>767</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768</v>
      </c>
      <c r="B397" s="5" t="s">
        <v>769</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770</v>
      </c>
      <c r="B398" s="5" t="s">
        <v>771</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1" t="s">
        <v>772</v>
      </c>
      <c r="B399" s="12" t="s">
        <v>773</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1" t="s">
        <v>774</v>
      </c>
      <c r="B400" s="12" t="s">
        <v>775</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1" t="s">
        <v>776</v>
      </c>
      <c r="B401" s="12" t="s">
        <v>777</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1" t="s">
        <v>778</v>
      </c>
      <c r="B402" s="12" t="s">
        <v>779</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1" t="s">
        <v>780</v>
      </c>
      <c r="B403" s="12" t="s">
        <v>781</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1" t="s">
        <v>782</v>
      </c>
      <c r="B404" s="12" t="s">
        <v>783</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1" t="s">
        <v>784</v>
      </c>
      <c r="B405" s="12" t="s">
        <v>785</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1" t="s">
        <v>786</v>
      </c>
      <c r="B406" s="12" t="s">
        <v>787</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1" t="s">
        <v>788</v>
      </c>
      <c r="B407" s="12" t="s">
        <v>789</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f>
        <v>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1" t="s">
        <v>790</v>
      </c>
      <c r="B408" s="12" t="s">
        <v>791</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1" t="s">
        <v>792</v>
      </c>
      <c r="B409" s="12" t="s">
        <v>793</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794</v>
      </c>
      <c r="B410" s="5" t="s">
        <v>795</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796</v>
      </c>
      <c r="B411" s="5" t="s">
        <v>797</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798</v>
      </c>
      <c r="B412" s="5" t="s">
        <v>799</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800</v>
      </c>
      <c r="B413" s="5" t="s">
        <v>801</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802</v>
      </c>
      <c r="B414" s="5" t="s">
        <v>803</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1" t="s">
        <v>804</v>
      </c>
      <c r="B415" s="12" t="s">
        <v>805</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806</v>
      </c>
      <c r="B416" s="5" t="s">
        <v>807</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808</v>
      </c>
      <c r="B417" s="5" t="s">
        <v>809</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810</v>
      </c>
      <c r="B418" s="5" t="s">
        <v>811</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812</v>
      </c>
      <c r="B419" s="5" t="s">
        <v>813</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814</v>
      </c>
      <c r="B420" s="5" t="s">
        <v>815</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816</v>
      </c>
      <c r="B421" s="5" t="s">
        <v>817</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818</v>
      </c>
      <c r="B422" s="5" t="s">
        <v>819</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820</v>
      </c>
      <c r="B423" s="5" t="s">
        <v>821</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822</v>
      </c>
      <c r="B424" s="5" t="s">
        <v>823</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824</v>
      </c>
      <c r="B425" s="5" t="s">
        <v>825</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1" t="s">
        <v>826</v>
      </c>
      <c r="B426" s="12" t="s">
        <v>827</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411</v>
      </c>
      <c r="B427" s="5" t="s">
        <v>412</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1" t="s">
        <v>702</v>
      </c>
      <c r="B428" s="12" t="s">
        <v>703</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1" t="s">
        <v>828</v>
      </c>
      <c r="B429" s="12" t="s">
        <v>829</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1" t="s">
        <v>830</v>
      </c>
      <c r="B430" s="12" t="s">
        <v>831</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1" t="s">
        <v>832</v>
      </c>
      <c r="B431" s="12" t="s">
        <v>833</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1" t="s">
        <v>834</v>
      </c>
      <c r="B432" s="12" t="s">
        <v>835</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1" t="s">
        <v>836</v>
      </c>
      <c r="B433" s="12" t="s">
        <v>837</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1" t="s">
        <v>838</v>
      </c>
      <c r="B434" s="12" t="s">
        <v>839</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1" t="s">
        <v>840</v>
      </c>
      <c r="B435" s="12" t="s">
        <v>841</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1" t="s">
        <v>842</v>
      </c>
      <c r="B436" s="12" t="s">
        <v>843</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1" t="s">
        <v>844</v>
      </c>
      <c r="B437" s="12" t="s">
        <v>845</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3" t="s">
        <v>846</v>
      </c>
      <c r="B438" s="12" t="s">
        <v>847</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3" t="s">
        <v>848</v>
      </c>
      <c r="B439" s="12" t="s">
        <v>849</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3" t="s">
        <v>850</v>
      </c>
      <c r="B440" s="12" t="s">
        <v>851</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3" t="s">
        <v>852</v>
      </c>
      <c r="B441" s="12" t="s">
        <v>853</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3" t="s">
        <v>680</v>
      </c>
      <c r="B442" s="12" t="s">
        <v>681</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3" t="s">
        <v>854</v>
      </c>
      <c r="B443" s="12" t="s">
        <v>855</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3" t="s">
        <v>856</v>
      </c>
      <c r="B444" s="12" t="s">
        <v>857</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4" t="s">
        <v>858</v>
      </c>
      <c r="B445" s="12" t="s">
        <v>859</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""ml"")"),"ബന്ധപ്പെടുക")</f>
        <v>ബന്ധപ്പെടുക</v>
      </c>
      <c r="G445" s="7" t="str">
        <f>IFERROR(__xludf.DUMMYFUNCTION("GOOGLETRANSLATE(B445, ""en"", ""te"")"),"సంప్రదించండి")</f>
        <v>సంప్రదించండి</v>
      </c>
    </row>
    <row r="446">
      <c r="A446" s="11" t="s">
        <v>860</v>
      </c>
      <c r="B446" s="12" t="s">
        <v>861</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1" t="s">
        <v>862</v>
      </c>
      <c r="B447" s="12" t="s">
        <v>863</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1" t="s">
        <v>864</v>
      </c>
      <c r="B448" s="12" t="s">
        <v>865</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1" t="s">
        <v>866</v>
      </c>
      <c r="B449" s="12" t="s">
        <v>867</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1" t="s">
        <v>868</v>
      </c>
      <c r="B450" s="12" t="s">
        <v>869</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870</v>
      </c>
      <c r="B451" s="5" t="s">
        <v>870</v>
      </c>
      <c r="C451" s="6" t="s">
        <v>871</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872</v>
      </c>
      <c r="B452" s="5" t="s">
        <v>872</v>
      </c>
      <c r="C452" s="6" t="s">
        <v>873</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874</v>
      </c>
      <c r="B453" s="5" t="s">
        <v>874</v>
      </c>
      <c r="C453" s="6" t="s">
        <v>875</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""te"")"),"విభజించబడింది")</f>
        <v>విభజించబడింది</v>
      </c>
    </row>
    <row r="454">
      <c r="A454" s="4" t="s">
        <v>876</v>
      </c>
      <c r="B454" s="5" t="s">
        <v>876</v>
      </c>
      <c r="C454" s="6" t="s">
        <v>877</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878</v>
      </c>
      <c r="B455" s="5" t="s">
        <v>878</v>
      </c>
      <c r="C455" s="6" t="s">
        <v>879</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880</v>
      </c>
      <c r="B456" s="5" t="s">
        <v>881</v>
      </c>
      <c r="C456" s="6" t="s">
        <v>882</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883</v>
      </c>
      <c r="B457" s="5" t="s">
        <v>884</v>
      </c>
      <c r="C457" s="6" t="s">
        <v>885</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886</v>
      </c>
      <c r="B458" s="5" t="s">
        <v>887</v>
      </c>
      <c r="C458" s="6" t="s">
        <v>888</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889</v>
      </c>
      <c r="B459" s="5" t="s">
        <v>890</v>
      </c>
      <c r="C459" s="6" t="s">
        <v>891</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892</v>
      </c>
      <c r="B460" s="5" t="s">
        <v>893</v>
      </c>
      <c r="C460" s="6" t="s">
        <v>894</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895</v>
      </c>
      <c r="B461" s="5" t="s">
        <v>896</v>
      </c>
      <c r="C461" s="6" t="s">
        <v>897</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898</v>
      </c>
      <c r="B462" s="5" t="s">
        <v>899</v>
      </c>
      <c r="C462" s="6" t="s">
        <v>900</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901</v>
      </c>
      <c r="B463" s="12" t="s">
        <v>902</v>
      </c>
      <c r="C463" s="6" t="s">
        <v>903</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904</v>
      </c>
      <c r="B464" s="5" t="s">
        <v>905</v>
      </c>
      <c r="C464" s="6" t="s">
        <v>906</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907</v>
      </c>
      <c r="B465" s="5" t="s">
        <v>908</v>
      </c>
      <c r="C465" s="6" t="s">
        <v>909</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910</v>
      </c>
      <c r="B466" s="5" t="s">
        <v>911</v>
      </c>
      <c r="C466" s="6" t="s">
        <v>912</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913</v>
      </c>
      <c r="B467" s="5" t="s">
        <v>914</v>
      </c>
      <c r="C467" s="6" t="s">
        <v>915</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916</v>
      </c>
      <c r="B468" s="5" t="s">
        <v>917</v>
      </c>
      <c r="C468" s="6" t="s">
        <v>918</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919</v>
      </c>
      <c r="B469" s="5" t="s">
        <v>920</v>
      </c>
      <c r="C469" s="6" t="s">
        <v>921</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922</v>
      </c>
      <c r="B470" s="5" t="s">
        <v>923</v>
      </c>
      <c r="C470" s="6" t="s">
        <v>924</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925</v>
      </c>
      <c r="B471" s="5" t="s">
        <v>926</v>
      </c>
      <c r="C471" s="6" t="s">
        <v>927</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928</v>
      </c>
      <c r="B472" s="5" t="s">
        <v>929</v>
      </c>
      <c r="C472" s="6" t="s">
        <v>930</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931</v>
      </c>
      <c r="B473" s="5" t="s">
        <v>932</v>
      </c>
      <c r="C473" s="6" t="s">
        <v>933</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934</v>
      </c>
      <c r="B474" s="5" t="s">
        <v>935</v>
      </c>
      <c r="C474" s="6" t="s">
        <v>936</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937</v>
      </c>
      <c r="B475" s="5" t="s">
        <v>938</v>
      </c>
      <c r="C475" s="6" t="s">
        <v>939</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940</v>
      </c>
      <c r="B476" s="5" t="s">
        <v>941</v>
      </c>
      <c r="C476" s="6" t="s">
        <v>942</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943</v>
      </c>
      <c r="B477" s="5" t="s">
        <v>855</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944</v>
      </c>
      <c r="B478" s="5" t="s">
        <v>945</v>
      </c>
      <c r="C478" s="6" t="s">
        <v>946</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947</v>
      </c>
      <c r="B479" s="5" t="s">
        <v>948</v>
      </c>
      <c r="C479" s="6" t="s">
        <v>949</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950</v>
      </c>
      <c r="B480" s="5" t="s">
        <v>951</v>
      </c>
      <c r="C480" s="6" t="s">
        <v>952</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953</v>
      </c>
      <c r="B481" s="5" t="s">
        <v>954</v>
      </c>
      <c r="C481" s="6" t="s">
        <v>955</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956</v>
      </c>
      <c r="B482" s="5" t="s">
        <v>957</v>
      </c>
      <c r="C482" s="6" t="s">
        <v>958</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959</v>
      </c>
      <c r="B483" s="5" t="s">
        <v>960</v>
      </c>
      <c r="C483" s="6" t="s">
        <v>961</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962</v>
      </c>
      <c r="B484" s="5" t="s">
        <v>963</v>
      </c>
      <c r="C484" s="6" t="s">
        <v>964</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965</v>
      </c>
      <c r="B485" s="5" t="s">
        <v>966</v>
      </c>
      <c r="C485" s="6" t="s">
        <v>967</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968</v>
      </c>
      <c r="B486" s="5" t="s">
        <v>969</v>
      </c>
      <c r="C486" s="6" t="s">
        <v>970</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971</v>
      </c>
      <c r="B487" s="5" t="s">
        <v>972</v>
      </c>
      <c r="C487" s="6" t="s">
        <v>973</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974</v>
      </c>
      <c r="B488" s="5" t="s">
        <v>975</v>
      </c>
      <c r="C488" s="6" t="s">
        <v>976</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977</v>
      </c>
      <c r="B489" s="5" t="s">
        <v>978</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స్థానాన్ని నిర్ధారించండి")</f>
        <v>డ్రాప్ స్థానాన్ని నిర్ధారించండి</v>
      </c>
    </row>
    <row r="490">
      <c r="A490" s="4" t="s">
        <v>979</v>
      </c>
      <c r="B490" s="5" t="s">
        <v>980</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981</v>
      </c>
      <c r="B491" s="5" t="s">
        <v>982</v>
      </c>
      <c r="C491" s="15" t="s">
        <v>983</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984</v>
      </c>
      <c r="B492" s="5" t="s">
        <v>985</v>
      </c>
      <c r="C492" s="6" t="s">
        <v>986</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987</v>
      </c>
      <c r="B493" s="5" t="s">
        <v>988</v>
      </c>
      <c r="C493" s="6" t="s">
        <v>989</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990</v>
      </c>
      <c r="B494" s="5" t="s">
        <v>991</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992</v>
      </c>
      <c r="B495" s="5" t="s">
        <v>993</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994</v>
      </c>
      <c r="B496" s="5" t="s">
        <v>995</v>
      </c>
      <c r="C496" s="6" t="s">
        <v>996</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997</v>
      </c>
      <c r="B497" s="5" t="s">
        <v>998</v>
      </c>
      <c r="C497" s="6" t="s">
        <v>871</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999</v>
      </c>
      <c r="B498" s="5" t="s">
        <v>1000</v>
      </c>
      <c r="C498" s="6" t="s">
        <v>1001</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1002</v>
      </c>
      <c r="B499" s="5" t="s">
        <v>1003</v>
      </c>
      <c r="C499" s="6" t="s">
        <v>1004</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1005</v>
      </c>
      <c r="B500" s="5" t="s">
        <v>1006</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1007</v>
      </c>
      <c r="B501" s="5" t="s">
        <v>1008</v>
      </c>
      <c r="C501" s="6" t="s">
        <v>1008</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1009</v>
      </c>
      <c r="B502" s="5" t="s">
        <v>1010</v>
      </c>
      <c r="C502" s="6" t="s">
        <v>1011</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1012</v>
      </c>
      <c r="B503" s="5" t="s">
        <v>1013</v>
      </c>
      <c r="C503" s="6" t="s">
        <v>1014</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1015</v>
      </c>
      <c r="B504" s="5" t="s">
        <v>1016</v>
      </c>
      <c r="C504" s="6" t="s">
        <v>1017</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1018</v>
      </c>
      <c r="B505" s="5" t="s">
        <v>1019</v>
      </c>
      <c r="C505" s="6" t="s">
        <v>1020</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1021</v>
      </c>
      <c r="B506" s="5" t="s">
        <v>1022</v>
      </c>
      <c r="C506" s="6" t="s">
        <v>1023</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1024</v>
      </c>
      <c r="B507" s="5" t="s">
        <v>1025</v>
      </c>
      <c r="C507" s="6" t="s">
        <v>1026</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1027</v>
      </c>
      <c r="B508" s="5" t="s">
        <v>1028</v>
      </c>
      <c r="C508" s="6" t="s">
        <v>1029</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1030</v>
      </c>
      <c r="B509" s="5" t="s">
        <v>1031</v>
      </c>
      <c r="C509" s="6" t="s">
        <v>1032</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1033</v>
      </c>
      <c r="B510" s="5" t="s">
        <v>1034</v>
      </c>
      <c r="C510" s="6" t="s">
        <v>1035</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1036</v>
      </c>
      <c r="B511" s="5" t="s">
        <v>1037</v>
      </c>
      <c r="C511" s="6" t="s">
        <v>1038</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1039</v>
      </c>
      <c r="B512" s="5" t="s">
        <v>1040</v>
      </c>
      <c r="C512" s="6" t="s">
        <v>1041</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1042</v>
      </c>
      <c r="B513" s="5" t="s">
        <v>1043</v>
      </c>
      <c r="C513" s="6" t="s">
        <v>1044</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1045</v>
      </c>
      <c r="B514" s="5" t="s">
        <v>1046</v>
      </c>
      <c r="C514" s="6" t="s">
        <v>1047</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1048</v>
      </c>
      <c r="B515" s="5" t="s">
        <v>1049</v>
      </c>
      <c r="C515" s="6" t="s">
        <v>1050</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1051</v>
      </c>
      <c r="B516" s="5" t="s">
        <v>1052</v>
      </c>
      <c r="C516" s="6" t="s">
        <v>1053</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1054</v>
      </c>
      <c r="B517" s="5" t="s">
        <v>1055</v>
      </c>
      <c r="C517" s="6" t="s">
        <v>1044</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1056</v>
      </c>
      <c r="B518" s="5" t="s">
        <v>1057</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1058</v>
      </c>
      <c r="B519" s="5" t="s">
        <v>1059</v>
      </c>
      <c r="C519" s="6" t="s">
        <v>1060</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1061</v>
      </c>
      <c r="B520" s="5" t="s">
        <v>1062</v>
      </c>
      <c r="C520" s="6" t="s">
        <v>1063</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1064</v>
      </c>
      <c r="B521" s="5" t="s">
        <v>1065</v>
      </c>
      <c r="C521" s="6" t="s">
        <v>1066</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1067</v>
      </c>
      <c r="B522" s="5" t="s">
        <v>1068</v>
      </c>
      <c r="C522" s="6" t="s">
        <v>1069</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1070</v>
      </c>
      <c r="B523" s="5" t="s">
        <v>1071</v>
      </c>
      <c r="C523" s="6" t="s">
        <v>1072</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1073</v>
      </c>
      <c r="B524" s="5" t="s">
        <v>1074</v>
      </c>
      <c r="C524" s="6" t="s">
        <v>1075</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1076</v>
      </c>
      <c r="B525" s="5" t="s">
        <v>1077</v>
      </c>
      <c r="C525" s="6" t="s">
        <v>1078</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1079</v>
      </c>
      <c r="B526" s="5" t="s">
        <v>1080</v>
      </c>
      <c r="C526" s="6" t="s">
        <v>1081</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1082</v>
      </c>
      <c r="B527" s="5" t="s">
        <v>1083</v>
      </c>
      <c r="C527" s="6" t="s">
        <v>1084</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1085</v>
      </c>
      <c r="B528" s="5" t="s">
        <v>1086</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1087</v>
      </c>
      <c r="B529" s="5" t="s">
        <v>1088</v>
      </c>
      <c r="C529" s="6" t="s">
        <v>1089</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1090</v>
      </c>
      <c r="B530" s="5" t="s">
        <v>1091</v>
      </c>
      <c r="C530" s="6" t="s">
        <v>1092</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1093</v>
      </c>
      <c r="B531" s="5" t="s">
        <v>1094</v>
      </c>
      <c r="C531" s="6" t="s">
        <v>1095</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1096</v>
      </c>
      <c r="B532" s="5" t="s">
        <v>1097</v>
      </c>
      <c r="C532" s="6" t="s">
        <v>1098</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1099</v>
      </c>
      <c r="B533" s="5" t="s">
        <v>655</v>
      </c>
      <c r="C533" s="6" t="s">
        <v>1100</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1101</v>
      </c>
      <c r="B534" s="5" t="s">
        <v>1102</v>
      </c>
      <c r="C534" s="6" t="s">
        <v>1103</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1104</v>
      </c>
      <c r="B535" s="5" t="s">
        <v>1105</v>
      </c>
      <c r="C535" s="6" t="s">
        <v>1106</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1107</v>
      </c>
      <c r="B536" s="5" t="s">
        <v>1108</v>
      </c>
      <c r="C536" s="6" t="s">
        <v>1109</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1110</v>
      </c>
      <c r="B537" s="5" t="s">
        <v>1111</v>
      </c>
      <c r="C537" s="6" t="s">
        <v>1112</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1113</v>
      </c>
      <c r="B538" s="5" t="s">
        <v>1114</v>
      </c>
      <c r="C538" s="6" t="s">
        <v>1115</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1116</v>
      </c>
      <c r="B539" s="5" t="s">
        <v>1117</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1118</v>
      </c>
      <c r="B540" s="5" t="s">
        <v>1119</v>
      </c>
      <c r="C540" s="6" t="s">
        <v>1120</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1121</v>
      </c>
      <c r="B541" s="5" t="s">
        <v>1122</v>
      </c>
      <c r="C541" s="6" t="s">
        <v>1123</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1124</v>
      </c>
      <c r="B542" s="5" t="s">
        <v>1125</v>
      </c>
      <c r="C542" s="6" t="s">
        <v>1126</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1127</v>
      </c>
      <c r="B543" s="5" t="s">
        <v>1128</v>
      </c>
      <c r="C543" s="6" t="s">
        <v>1129</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1130</v>
      </c>
      <c r="B544" s="5" t="s">
        <v>1131</v>
      </c>
      <c r="C544" s="6" t="s">
        <v>1132</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1133</v>
      </c>
      <c r="B545" s="5" t="s">
        <v>1134</v>
      </c>
      <c r="C545" s="6" t="s">
        <v>1135</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1136</v>
      </c>
      <c r="B546" s="5" t="s">
        <v>1137</v>
      </c>
      <c r="C546" s="6" t="s">
        <v>1138</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1139</v>
      </c>
      <c r="B547" s="5" t="s">
        <v>1140</v>
      </c>
      <c r="C547" s="6" t="s">
        <v>1141</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1142</v>
      </c>
      <c r="B548" s="5" t="s">
        <v>1143</v>
      </c>
      <c r="C548" s="6" t="s">
        <v>1144</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1145</v>
      </c>
      <c r="B549" s="5" t="s">
        <v>1146</v>
      </c>
      <c r="C549" s="6" t="s">
        <v>1147</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1148</v>
      </c>
      <c r="B550" s="5" t="s">
        <v>1149</v>
      </c>
      <c r="C550" s="6" t="s">
        <v>1150</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1151</v>
      </c>
      <c r="B551" s="5" t="s">
        <v>1152</v>
      </c>
      <c r="C551" s="6" t="s">
        <v>1153</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1154</v>
      </c>
      <c r="B552" s="5" t="s">
        <v>1155</v>
      </c>
      <c r="C552" s="6" t="s">
        <v>1156</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1157</v>
      </c>
      <c r="B553" s="5" t="s">
        <v>1158</v>
      </c>
      <c r="C553" s="6" t="s">
        <v>1159</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1160</v>
      </c>
      <c r="B554" s="5" t="s">
        <v>1161</v>
      </c>
      <c r="C554" s="6" t="s">
        <v>1162</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1163</v>
      </c>
      <c r="B555" s="5" t="s">
        <v>1164</v>
      </c>
      <c r="C555" s="6" t="s">
        <v>1165</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1166</v>
      </c>
      <c r="B556" s="5" t="s">
        <v>1167</v>
      </c>
      <c r="C556" s="6" t="s">
        <v>1168</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1169</v>
      </c>
      <c r="B557" s="5" t="s">
        <v>1170</v>
      </c>
      <c r="C557" s="6" t="s">
        <v>1171</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1172</v>
      </c>
      <c r="B558" s="5" t="s">
        <v>1173</v>
      </c>
      <c r="C558" s="6" t="s">
        <v>1174</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1175</v>
      </c>
      <c r="B559" s="5" t="s">
        <v>1176</v>
      </c>
      <c r="C559" s="6" t="s">
        <v>875</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1177</v>
      </c>
      <c r="B560" s="5" t="s">
        <v>1178</v>
      </c>
      <c r="C560" s="6" t="s">
        <v>1179</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1180</v>
      </c>
      <c r="B561" s="5" t="s">
        <v>1181</v>
      </c>
      <c r="C561" s="6" t="s">
        <v>1182</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1183</v>
      </c>
      <c r="B562" s="5" t="s">
        <v>1184</v>
      </c>
      <c r="C562" s="6" t="s">
        <v>1185</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1186</v>
      </c>
      <c r="B563" s="5" t="s">
        <v>1187</v>
      </c>
      <c r="C563" s="6" t="s">
        <v>1188</v>
      </c>
      <c r="D563" s="6" t="str">
        <f>IFERROR(__xludf.DUMMYFUNCTION("GOOGLETRANSLATE(B563, ""en"", ""hi"")"),"VMtracker के साथ ड्राइव करें")</f>
        <v>VMtracker के साथ ड्राइव करें</v>
      </c>
      <c r="E563" s="6" t="str">
        <f>IFERROR(__xludf.DUMMYFUNCTION("GOOGLETRANSLATE(B563, ""en"", ""kn"")"),"VMtracker ನೊಂದಿಗೆ ಡ್ರೈವ್ ಮಾಡಿ")</f>
        <v>VMtracker ನೊಂದಿಗೆ ಡ್ರೈವ್ ಮಾಡಿ</v>
      </c>
      <c r="F563" s="7" t="str">
        <f>IFERROR(__xludf.DUMMYFUNCTION("GOOGLETRANSLATE(B563, ""en"", ""ml"")"),"VMtracker ഉപയോഗിച്ച് ഡ്രൈവ് ചെയ്യുക")</f>
        <v>VMtracker ഉപയോഗിച്ച് ഡ്രൈവ് ചെയ്യുക</v>
      </c>
      <c r="G563" s="7" t="str">
        <f>IFERROR(__xludf.DUMMYFUNCTION("GOOGLETRANSLATE(B563, ""en"", ""te"")"),"VMtracker తో డ్రైవ్ చేయండి")</f>
        <v>VMtracker తో డ్రైవ్ చేయండి</v>
      </c>
    </row>
    <row r="564">
      <c r="A564" s="4" t="s">
        <v>1189</v>
      </c>
      <c r="B564" s="5" t="s">
        <v>1190</v>
      </c>
      <c r="C564" s="6" t="s">
        <v>1191</v>
      </c>
      <c r="D564" s="6" t="str">
        <f>IFERROR(__xludf.DUMMYFUNCTION("GOOGLETRANSLATE(B564, ""en"", ""hi"")"),"VMtracker ड्राइवर ऐप डाउनलोड करें")</f>
        <v>VMtracker ड्राइवर ऐप डाउनलोड करें</v>
      </c>
      <c r="E564" s="6" t="str">
        <f>IFERROR(__xludf.DUMMYFUNCTION("GOOGLETRANSLATE(B564, ""en"", ""kn"")"),"VMtracker ಡ್ರೈವರ್ ಅಪ್ಲಿಕೇಶನ್ ಡೌನ್‌ಲೋಡ್ ಮಾಡಿ")</f>
        <v>VMtracker ಡ್ರೈವರ್ ಅಪ್ಲಿಕೇಶನ್ ಡೌನ್‌ಲೋಡ್ ಮಾಡಿ</v>
      </c>
      <c r="F564" s="7" t="str">
        <f>IFERROR(__xludf.DUMMYFUNCTION("GOOGLETRANSLATE(B564, ""en"", ""ml"")"),"VMtracker ഡ്രൈവർ ആപ്പ് ഡൗൺലോഡ് ചെയ്യുക")</f>
        <v>VMtracker ഡ്രൈവർ ആപ്പ് ഡൗൺലോഡ് ചെയ്യുക</v>
      </c>
      <c r="G564" s="7" t="str">
        <f>IFERROR(__xludf.DUMMYFUNCTION("GOOGLETRANSLATE(B564, ""en"", ""te"")"),"VMtracker డ్రైవర్ యాప్‌ను డౌన్‌లోడ్ చేసుకోండి")</f>
        <v>VMtracker డ్రైవర్ యాప్‌ను డౌన్‌లోడ్ చేసుకోండి</v>
      </c>
    </row>
    <row r="565">
      <c r="A565" s="4" t="s">
        <v>1192</v>
      </c>
      <c r="B565" s="5" t="s">
        <v>1193</v>
      </c>
      <c r="C565" s="6" t="s">
        <v>1194</v>
      </c>
      <c r="D565" s="6" t="str">
        <f>IFERROR(__xludf.DUMMYFUNCTION("GOOGLETRANSLATE(B565, ""en"", ""hi"")"),"हमसे संपर्क करें पर जाएं")</f>
        <v>हमसे संपर्क करें पर जाएं</v>
      </c>
      <c r="E565" s="6" t="str">
        <f>IFERROR(__xludf.DUMMYFUNCTION("GOOGLETRANSLATE(B565, ""en"", ""kn"")"),"ನಮ್ಮನ್ನು ಸಂಪರ್ಕಿಸಿ ಗೆ ಹೋಗಿ")</f>
        <v>ನಮ್ಮನ್ನು ಸಂಪರ್ಕಿಸಿ ಗೆ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1195</v>
      </c>
      <c r="B566" s="5" t="s">
        <v>1196</v>
      </c>
      <c r="C566" s="6" t="s">
        <v>1197</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1198</v>
      </c>
      <c r="B567" s="5" t="s">
        <v>1199</v>
      </c>
      <c r="C567" s="6" t="s">
        <v>1200</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1201</v>
      </c>
      <c r="B568" s="5" t="s">
        <v>1202</v>
      </c>
      <c r="C568" s="6" t="s">
        <v>1203</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1204</v>
      </c>
      <c r="B569" s="5" t="s">
        <v>1205</v>
      </c>
      <c r="C569" s="6" t="s">
        <v>1206</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1207</v>
      </c>
      <c r="B570" s="5" t="s">
        <v>1208</v>
      </c>
      <c r="C570" s="6" t="s">
        <v>1209</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1210</v>
      </c>
      <c r="B571" s="5" t="s">
        <v>1211</v>
      </c>
      <c r="C571" s="6" t="s">
        <v>1212</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1213</v>
      </c>
      <c r="B572" s="5" t="s">
        <v>1214</v>
      </c>
      <c r="C572" s="6" t="s">
        <v>1215</v>
      </c>
      <c r="D572" s="6" t="str">
        <f>IFERROR(__xludf.DUMMYFUNCTION("GOOGLETRANSLATE(B572, ""en"", ""hi"")"),"वीएम ट्रैकर ऐप डाउनलोड करें और बुनियादी जानकारी के साथ अपना ड्राइवर प्रोफाइल बनाएं।")</f>
        <v>वीएम ट्रैकर ऐप डाउनलोड करें और बुनियादी जानकारी के साथ अपना ड्राइवर प्रोफाइल बनाएं।</v>
      </c>
      <c r="E572" s="6" t="str">
        <f>IFERROR(__xludf.DUMMYFUNCTION("GOOGLETRANSLATE(B572, ""en"", ""kn"")"),"VM ಟ್ರ್ಯಾಕರ್ ಅಪ್ಲಿಕೇಶನ್ ಡೌನ್‌ಲೋಡ್ ಮಾಡಿ ಮತ್ತು ಮೂಲ ಮಾಹಿತಿಯೊಂದಿಗೆ ನಿಮ್ಮ ಚಾಲಕ ಪ್ರೊಫೈಲ್ ಅನ್ನು ರಚಿಸಿ.")</f>
        <v>VM ಟ್ರ್ಯಾಕರ್ ಅಪ್ಲಿಕೇಶನ್ ಡೌನ್‌ಲೋಡ್ ಮಾಡಿ ಮತ್ತು ಮೂಲ ಮಾಹಿತಿಯೊಂದಿಗೆ ನಿಮ್ಮ ಚಾಲಕ ಪ್ರೊಫೈಲ್ ಅನ್ನು ರಚಿಸಿ.</v>
      </c>
      <c r="F572" s="7" t="str">
        <f>IFERROR(__xludf.DUMMYFUNCTION("GOOGLETRANSLATE(B572, ""en"", ""ml"")"),"VM ട്രാക്കർ ആപ്പ് ഡൗൺലോഡ് ചെയ്ത് അടിസ്ഥാന വിവരങ്ങൾ ഉപയോഗിച്ച് നിങ്ങളുടെ ഡ്രൈവർ പ്രൊഫൈൽ സൃഷ്ടിക്കുക.")</f>
        <v>VM ട്രാക്കർ ആപ്പ് ഡൗൺലോഡ് ചെയ്ത് അടിസ്ഥാന വിവരങ്ങൾ ഉപയോഗിച്ച് നിങ്ങളുടെ ഡ്രൈവർ പ്രൊഫൈൽ സൃഷ്ടിക്കുക.</v>
      </c>
      <c r="G572" s="7" t="str">
        <f>IFERROR(__xludf.DUMMYFUNCTION("GOOGLETRANSLATE(B572, ""en"", ""te"")"),"VM ట్రాకర్ యాప్‌ను డౌన్‌లోడ్ చేసుకోండి మరియు ప్రాథమిక సమాచారంతో మీ డ్రైవర్ ప్రొఫైల్‌ను సృష్టించండి.")</f>
        <v>VM ట్రాకర్ యాప్‌ను డౌన్‌లోడ్ చేసుకోండి మరియు ప్రాథమిక సమాచారంతో మీ డ్రైవర్ ప్రొఫైల్‌ను సృష్టించండి.</v>
      </c>
    </row>
    <row r="573">
      <c r="A573" s="4" t="s">
        <v>1216</v>
      </c>
      <c r="B573" s="5" t="s">
        <v>1217</v>
      </c>
      <c r="C573" s="6" t="s">
        <v>1218</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1219</v>
      </c>
      <c r="B574" s="5" t="s">
        <v>1220</v>
      </c>
      <c r="C574" s="6" t="s">
        <v>1221</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1222</v>
      </c>
      <c r="B575" s="5" t="s">
        <v>1223</v>
      </c>
      <c r="C575" s="6" t="s">
        <v>1224</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1225</v>
      </c>
      <c r="B576" s="5" t="s">
        <v>1226</v>
      </c>
      <c r="C576" s="6" t="s">
        <v>1227</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1228</v>
      </c>
      <c r="B577" s="5" t="s">
        <v>1229</v>
      </c>
      <c r="C577" s="6" t="s">
        <v>1230</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1231</v>
      </c>
      <c r="B578" s="5" t="s">
        <v>1232</v>
      </c>
      <c r="C578" s="6" t="s">
        <v>1233</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1234</v>
      </c>
      <c r="B579" s="5" t="s">
        <v>1235</v>
      </c>
      <c r="C579" s="6" t="s">
        <v>1236</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1237</v>
      </c>
      <c r="B580" s="5" t="s">
        <v>1238</v>
      </c>
      <c r="C580" s="6" t="s">
        <v>1239</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1240</v>
      </c>
      <c r="B581" s="5" t="s">
        <v>1241</v>
      </c>
      <c r="C581" s="6" t="s">
        <v>1242</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1243</v>
      </c>
      <c r="B582" s="5" t="s">
        <v>1244</v>
      </c>
      <c r="C582" s="6" t="s">
        <v>1245</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1246</v>
      </c>
      <c r="B583" s="5" t="s">
        <v>1247</v>
      </c>
      <c r="C583" s="6" t="s">
        <v>1248</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1249</v>
      </c>
      <c r="B584" s="5" t="s">
        <v>1250</v>
      </c>
      <c r="C584" s="6" t="s">
        <v>1251</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1252</v>
      </c>
      <c r="B585" s="5" t="s">
        <v>1253</v>
      </c>
      <c r="C585" s="6" t="s">
        <v>1254</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1255</v>
      </c>
      <c r="B586" s="5" t="s">
        <v>1256</v>
      </c>
      <c r="C586" s="6" t="s">
        <v>1257</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1258</v>
      </c>
      <c r="B587" s="5" t="s">
        <v>1259</v>
      </c>
      <c r="C587" s="6" t="s">
        <v>1260</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1261</v>
      </c>
      <c r="B588" s="5" t="s">
        <v>1262</v>
      </c>
      <c r="C588" s="6" t="s">
        <v>1263</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1264</v>
      </c>
      <c r="B589" s="5" t="s">
        <v>1265</v>
      </c>
      <c r="C589" s="6" t="s">
        <v>1266</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1267</v>
      </c>
      <c r="B590" s="5" t="s">
        <v>1268</v>
      </c>
      <c r="C590" s="6" t="s">
        <v>1269</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1270</v>
      </c>
      <c r="B591" s="5" t="s">
        <v>1271</v>
      </c>
      <c r="C591" s="6" t="s">
        <v>1272</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1273</v>
      </c>
      <c r="B592" s="5" t="s">
        <v>1274</v>
      </c>
      <c r="C592" s="6" t="s">
        <v>1275</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1276</v>
      </c>
      <c r="B593" s="5" t="s">
        <v>1277</v>
      </c>
      <c r="C593" s="6" t="s">
        <v>1278</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1279</v>
      </c>
      <c r="B594" s="5" t="s">
        <v>1280</v>
      </c>
      <c r="C594" s="6" t="s">
        <v>1281</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1282</v>
      </c>
      <c r="B595" s="5" t="s">
        <v>1283</v>
      </c>
      <c r="C595" s="6" t="s">
        <v>1284</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1285</v>
      </c>
      <c r="B596" s="5" t="s">
        <v>1286</v>
      </c>
      <c r="C596" s="6" t="s">
        <v>1287</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1288</v>
      </c>
      <c r="B597" s="5" t="s">
        <v>1289</v>
      </c>
      <c r="C597" s="6" t="s">
        <v>1290</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1291</v>
      </c>
      <c r="B598" s="5" t="s">
        <v>1292</v>
      </c>
      <c r="C598" s="6" t="s">
        <v>1293</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1294</v>
      </c>
      <c r="B599" s="5" t="s">
        <v>1295</v>
      </c>
      <c r="C599" s="6" t="s">
        <v>1296</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1297</v>
      </c>
      <c r="B600" s="5" t="s">
        <v>1298</v>
      </c>
      <c r="C600" s="6" t="s">
        <v>1299</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1300</v>
      </c>
      <c r="B601" s="5" t="s">
        <v>1301</v>
      </c>
      <c r="C601" s="6" t="s">
        <v>1302</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1303</v>
      </c>
      <c r="B602" s="5" t="s">
        <v>1304</v>
      </c>
      <c r="C602" s="6" t="s">
        <v>1305</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1306</v>
      </c>
      <c r="B603" s="5" t="s">
        <v>1043</v>
      </c>
      <c r="C603" s="6" t="s">
        <v>1307</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1308</v>
      </c>
      <c r="B604" s="5" t="s">
        <v>1309</v>
      </c>
      <c r="C604" s="6" t="s">
        <v>1305</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1310</v>
      </c>
      <c r="B605" s="5" t="s">
        <v>1311</v>
      </c>
      <c r="C605" s="6" t="s">
        <v>1312</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1313</v>
      </c>
      <c r="B606" s="5" t="s">
        <v>1314</v>
      </c>
      <c r="C606" s="6" t="s">
        <v>1315</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1316</v>
      </c>
      <c r="B607" s="12" t="s">
        <v>1317</v>
      </c>
      <c r="C607" s="6" t="s">
        <v>1318</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1319</v>
      </c>
      <c r="B608" s="5" t="s">
        <v>68</v>
      </c>
      <c r="C608" s="6" t="s">
        <v>1320</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1321</v>
      </c>
      <c r="B609" s="5" t="s">
        <v>1322</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1323</v>
      </c>
      <c r="B610" s="5" t="s">
        <v>1324</v>
      </c>
      <c r="C610" s="6" t="s">
        <v>1325</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1326</v>
      </c>
      <c r="B611" s="5" t="s">
        <v>1122</v>
      </c>
      <c r="C611" s="6" t="s">
        <v>1327</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1328</v>
      </c>
      <c r="B612" s="5" t="s">
        <v>1329</v>
      </c>
      <c r="C612" s="6" t="s">
        <v>1330</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1331</v>
      </c>
      <c r="B613" s="5" t="s">
        <v>1332</v>
      </c>
      <c r="C613" s="6" t="s">
        <v>1333</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1334</v>
      </c>
      <c r="B614" s="5" t="s">
        <v>1335</v>
      </c>
      <c r="C614" s="6" t="s">
        <v>1336</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1337</v>
      </c>
      <c r="B615" s="5" t="s">
        <v>1338</v>
      </c>
      <c r="C615" s="6" t="s">
        <v>1339</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1340</v>
      </c>
      <c r="B616" s="5" t="s">
        <v>1341</v>
      </c>
      <c r="C616" s="6" t="s">
        <v>1342</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1343</v>
      </c>
      <c r="B617" s="5" t="s">
        <v>1344</v>
      </c>
      <c r="C617" s="6" t="s">
        <v>1345</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1346</v>
      </c>
      <c r="B618" s="5" t="s">
        <v>1347</v>
      </c>
      <c r="C618" s="6" t="s">
        <v>1348</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1349</v>
      </c>
      <c r="B619" s="5" t="s">
        <v>1350</v>
      </c>
      <c r="C619" s="6" t="s">
        <v>1351</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తీసివేయండి")</f>
        <v>పరిచయాన్ని తీసివేయండి</v>
      </c>
    </row>
    <row r="620">
      <c r="A620" s="4" t="s">
        <v>1352</v>
      </c>
      <c r="B620" s="5" t="s">
        <v>1353</v>
      </c>
      <c r="C620" s="6" t="s">
        <v>1354</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1355</v>
      </c>
      <c r="B621" s="5" t="s">
        <v>1356</v>
      </c>
      <c r="C621" s="6" t="s">
        <v>1357</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1358</v>
      </c>
      <c r="B622" s="5" t="s">
        <v>1359</v>
      </c>
      <c r="C622" s="6" t="s">
        <v>1360</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1361</v>
      </c>
      <c r="B623" s="5" t="s">
        <v>1362</v>
      </c>
      <c r="C623" s="6" t="s">
        <v>1363</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1364</v>
      </c>
      <c r="B624" s="5" t="s">
        <v>1365</v>
      </c>
      <c r="C624" s="6" t="s">
        <v>1366</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1367</v>
      </c>
      <c r="B625" s="5" t="s">
        <v>1368</v>
      </c>
      <c r="C625" s="6" t="s">
        <v>1369</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1370</v>
      </c>
      <c r="B626" s="5" t="s">
        <v>1371</v>
      </c>
      <c r="C626" s="6" t="s">
        <v>1372</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1373</v>
      </c>
      <c r="B627" s="5" t="s">
        <v>1374</v>
      </c>
      <c r="C627" s="6" t="s">
        <v>1375</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1376</v>
      </c>
      <c r="B628" s="5" t="s">
        <v>1377</v>
      </c>
      <c r="C628" s="6" t="s">
        <v>1378</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1379</v>
      </c>
      <c r="B629" s="5" t="s">
        <v>1380</v>
      </c>
      <c r="C629" s="6" t="s">
        <v>1381</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1382</v>
      </c>
      <c r="B630" s="5" t="s">
        <v>1383</v>
      </c>
      <c r="C630" s="6" t="s">
        <v>1384</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1385</v>
      </c>
      <c r="B631" s="5" t="s">
        <v>1386</v>
      </c>
      <c r="C631" s="6" t="s">
        <v>1387</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1388</v>
      </c>
      <c r="B632" s="5" t="s">
        <v>1389</v>
      </c>
      <c r="C632" s="6" t="s">
        <v>1390</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1391</v>
      </c>
      <c r="B633" s="5" t="s">
        <v>1392</v>
      </c>
      <c r="C633" s="6" t="s">
        <v>1393</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1394</v>
      </c>
      <c r="B634" s="5" t="s">
        <v>1395</v>
      </c>
      <c r="C634" s="6" t="s">
        <v>1396</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1397</v>
      </c>
      <c r="B635" s="5" t="s">
        <v>1398</v>
      </c>
      <c r="C635" s="6" t="s">
        <v>1399</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1400</v>
      </c>
      <c r="B636" s="5" t="s">
        <v>1401</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1402</v>
      </c>
      <c r="B637" s="12" t="s">
        <v>1398</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1403</v>
      </c>
      <c r="B638" s="5" t="s">
        <v>1404</v>
      </c>
      <c r="C638" s="6" t="s">
        <v>1405</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1406</v>
      </c>
      <c r="B639" s="5" t="s">
        <v>1407</v>
      </c>
      <c r="C639" s="6" t="s">
        <v>1408</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1409</v>
      </c>
      <c r="B640" s="5" t="s">
        <v>1410</v>
      </c>
      <c r="C640" s="6" t="s">
        <v>1411</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1412</v>
      </c>
      <c r="B641" s="5" t="s">
        <v>1413</v>
      </c>
      <c r="C641" s="6" t="s">
        <v>1414</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1415</v>
      </c>
      <c r="B642" s="5" t="s">
        <v>1416</v>
      </c>
      <c r="C642" s="6" t="s">
        <v>1417</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1418</v>
      </c>
      <c r="B643" s="5" t="s">
        <v>1419</v>
      </c>
      <c r="C643" s="6" t="s">
        <v>1420</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1421</v>
      </c>
      <c r="B644" s="5" t="s">
        <v>1422</v>
      </c>
      <c r="C644" s="6" t="s">
        <v>1423</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1424</v>
      </c>
      <c r="B645" s="5" t="s">
        <v>1425</v>
      </c>
      <c r="C645" s="6" t="s">
        <v>1426</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1427</v>
      </c>
      <c r="B646" s="5" t="s">
        <v>1428</v>
      </c>
      <c r="C646" s="6" t="s">
        <v>1429</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1430</v>
      </c>
      <c r="B647" s="5" t="s">
        <v>1431</v>
      </c>
      <c r="C647" s="6" t="s">
        <v>1432</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1433</v>
      </c>
      <c r="B648" s="5" t="s">
        <v>1434</v>
      </c>
      <c r="C648" s="6" t="s">
        <v>1435</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1436</v>
      </c>
      <c r="B649" s="5" t="s">
        <v>1437</v>
      </c>
      <c r="C649" s="6" t="s">
        <v>1438</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ഇല്ലാതാക്കാനായില്ല. വീണ്ടും ശ്രമിക്കുക.")</f>
        <v>സ്ഥലം ഇല്ലാതാക്കാനായില്ല.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1439</v>
      </c>
      <c r="B650" s="5" t="s">
        <v>1440</v>
      </c>
      <c r="C650" s="6" t="s">
        <v>1440</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1441</v>
      </c>
      <c r="B651" s="5" t="s">
        <v>1442</v>
      </c>
      <c r="C651" s="6" t="s">
        <v>1443</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1444</v>
      </c>
      <c r="B652" s="5" t="s">
        <v>1445</v>
      </c>
      <c r="C652" s="6" t="s">
        <v>1446</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1447</v>
      </c>
      <c r="B653" s="5" t="s">
        <v>1448</v>
      </c>
      <c r="C653" s="6" t="s">
        <v>1449</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1450</v>
      </c>
      <c r="B654" s="5" t="s">
        <v>1451</v>
      </c>
      <c r="C654" s="6" t="s">
        <v>1452</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1453</v>
      </c>
      <c r="B655" s="5" t="s">
        <v>1454</v>
      </c>
      <c r="C655" s="6" t="s">
        <v>1455</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1456</v>
      </c>
      <c r="B656" s="5" t="s">
        <v>1457</v>
      </c>
      <c r="C656" s="6" t="s">
        <v>1458</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1459</v>
      </c>
      <c r="B657" s="5" t="s">
        <v>1460</v>
      </c>
      <c r="C657" s="6" t="s">
        <v>1461</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1462</v>
      </c>
      <c r="B658" s="5" t="s">
        <v>1463</v>
      </c>
      <c r="C658" s="6" t="s">
        <v>1464</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1465</v>
      </c>
      <c r="B659" s="5" t="s">
        <v>1466</v>
      </c>
      <c r="C659" s="6" t="s">
        <v>1467</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1468</v>
      </c>
      <c r="B660" s="5" t="s">
        <v>1469</v>
      </c>
      <c r="C660" s="6" t="s">
        <v>1470</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1471</v>
      </c>
      <c r="B661" s="5" t="s">
        <v>1472</v>
      </c>
      <c r="C661" s="6" t="s">
        <v>1473</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1474</v>
      </c>
      <c r="B662" s="5" t="s">
        <v>1475</v>
      </c>
      <c r="C662" s="6" t="s">
        <v>1476</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1477</v>
      </c>
      <c r="B663" s="5" t="s">
        <v>1478</v>
      </c>
      <c r="C663" s="6" t="s">
        <v>1479</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(పెరుగుదల)")</f>
        <v>ఛార్జీ చాలా ఎక్కువగా ఉంది (పెరుగుదల)</v>
      </c>
    </row>
    <row r="664">
      <c r="A664" s="4" t="s">
        <v>1480</v>
      </c>
      <c r="B664" s="5" t="s">
        <v>1481</v>
      </c>
      <c r="C664" s="6" t="s">
        <v>1482</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1483</v>
      </c>
      <c r="B665" s="5" t="s">
        <v>1484</v>
      </c>
      <c r="C665" s="6" t="s">
        <v>1485</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1486</v>
      </c>
      <c r="B666" s="5" t="s">
        <v>1487</v>
      </c>
      <c r="C666" s="6" t="s">
        <v>1488</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1489</v>
      </c>
      <c r="B667" s="5" t="s">
        <v>1490</v>
      </c>
      <c r="C667" s="6" t="s">
        <v>1491</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1492</v>
      </c>
      <c r="B668" s="5" t="s">
        <v>1493</v>
      </c>
      <c r="C668" s="6" t="s">
        <v>1494</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1495</v>
      </c>
      <c r="B669" s="5" t="s">
        <v>1496</v>
      </c>
      <c r="C669" s="6" t="s">
        <v>1497</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1498</v>
      </c>
      <c r="B670" s="5" t="s">
        <v>1499</v>
      </c>
      <c r="C670" s="6" t="s">
        <v>1500</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1501</v>
      </c>
      <c r="B671" s="5" t="s">
        <v>1167</v>
      </c>
      <c r="C671" s="6" t="s">
        <v>1168</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1502</v>
      </c>
      <c r="B672" s="5" t="s">
        <v>1268</v>
      </c>
      <c r="C672" s="6" t="s">
        <v>1503</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1504</v>
      </c>
      <c r="B673" s="5" t="s">
        <v>1505</v>
      </c>
      <c r="C673" s="6" t="s">
        <v>1506</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1507</v>
      </c>
      <c r="B674" s="5" t="s">
        <v>1508</v>
      </c>
      <c r="C674" s="6" t="s">
        <v>1509</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1510</v>
      </c>
      <c r="B675" s="5" t="s">
        <v>1511</v>
      </c>
      <c r="C675" s="6" t="s">
        <v>1512</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1513</v>
      </c>
      <c r="B676" s="5" t="s">
        <v>1514</v>
      </c>
      <c r="C676" s="6" t="s">
        <v>1417</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1515</v>
      </c>
      <c r="B677" s="5" t="s">
        <v>1516</v>
      </c>
      <c r="C677" s="6" t="s">
        <v>1517</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1518</v>
      </c>
      <c r="B678" s="5" t="s">
        <v>1519</v>
      </c>
      <c r="C678" s="6" t="s">
        <v>1520</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1521</v>
      </c>
      <c r="B679" s="5" t="s">
        <v>1522</v>
      </c>
      <c r="C679" s="6" t="s">
        <v>1523</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1524</v>
      </c>
      <c r="B680" s="5" t="s">
        <v>1525</v>
      </c>
      <c r="C680" s="6" t="s">
        <v>1526</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1527</v>
      </c>
      <c r="B681" s="5" t="s">
        <v>1528</v>
      </c>
      <c r="C681" s="6" t="s">
        <v>1529</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1530</v>
      </c>
      <c r="B682" s="5" t="s">
        <v>1525</v>
      </c>
      <c r="C682" s="6" t="s">
        <v>1526</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1531</v>
      </c>
      <c r="B683" s="5" t="s">
        <v>1532</v>
      </c>
      <c r="C683" s="6" t="s">
        <v>1533</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1534</v>
      </c>
      <c r="B684" s="5" t="s">
        <v>1535</v>
      </c>
      <c r="C684" s="6" t="s">
        <v>1536</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1537</v>
      </c>
      <c r="B685" s="5" t="s">
        <v>1538</v>
      </c>
      <c r="C685" s="6" t="s">
        <v>1539</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1540</v>
      </c>
      <c r="B686" s="5" t="s">
        <v>1541</v>
      </c>
      <c r="C686" s="6" t="s">
        <v>1542</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1543</v>
      </c>
      <c r="B687" s="5" t="s">
        <v>1544</v>
      </c>
      <c r="C687" s="6" t="s">
        <v>1545</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1546</v>
      </c>
      <c r="B688" s="5" t="s">
        <v>1547</v>
      </c>
      <c r="C688" s="6" t="s">
        <v>1548</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1549</v>
      </c>
      <c r="B689" s="5" t="s">
        <v>1550</v>
      </c>
      <c r="C689" s="6" t="s">
        <v>1551</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1552</v>
      </c>
      <c r="B690" s="5" t="s">
        <v>1553</v>
      </c>
      <c r="C690" s="6" t="s">
        <v>1554</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1555</v>
      </c>
      <c r="B691" s="5" t="s">
        <v>1556</v>
      </c>
      <c r="C691" s="6" t="s">
        <v>1557</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1558</v>
      </c>
      <c r="B692" s="5" t="s">
        <v>1559</v>
      </c>
      <c r="C692" s="6" t="s">
        <v>1560</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1561</v>
      </c>
      <c r="B693" s="5" t="s">
        <v>1562</v>
      </c>
      <c r="C693" s="6" t="s">
        <v>1563</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1564</v>
      </c>
      <c r="B694" s="5" t="s">
        <v>1565</v>
      </c>
      <c r="C694" s="6" t="s">
        <v>1566</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1567</v>
      </c>
      <c r="B695" s="5" t="s">
        <v>1568</v>
      </c>
      <c r="C695" s="6" t="s">
        <v>1569</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1570</v>
      </c>
      <c r="B696" s="5" t="s">
        <v>1571</v>
      </c>
      <c r="C696" s="6" t="s">
        <v>1572</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1573</v>
      </c>
      <c r="B697" s="5" t="s">
        <v>1574</v>
      </c>
      <c r="C697" s="6" t="s">
        <v>1575</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1576</v>
      </c>
      <c r="B698" s="5" t="s">
        <v>1577</v>
      </c>
      <c r="C698" s="6" t="s">
        <v>1578</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1579</v>
      </c>
      <c r="B699" s="5" t="s">
        <v>1580</v>
      </c>
      <c r="C699" s="6" t="s">
        <v>1581</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1582</v>
      </c>
      <c r="B700" s="5" t="s">
        <v>1583</v>
      </c>
      <c r="C700" s="6" t="s">
        <v>1584</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1585</v>
      </c>
      <c r="B701" s="5" t="s">
        <v>1586</v>
      </c>
      <c r="C701" s="6" t="s">
        <v>1587</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1588</v>
      </c>
      <c r="B702" s="5" t="s">
        <v>1589</v>
      </c>
      <c r="C702" s="6" t="s">
        <v>1590</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1591</v>
      </c>
      <c r="B703" s="5" t="s">
        <v>1592</v>
      </c>
      <c r="C703" s="6" t="s">
        <v>1593</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1594</v>
      </c>
      <c r="B704" s="5" t="s">
        <v>1595</v>
      </c>
      <c r="C704" s="6" t="s">
        <v>1596</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1597</v>
      </c>
      <c r="B705" s="5" t="s">
        <v>1598</v>
      </c>
      <c r="C705" s="6" t="s">
        <v>1599</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1600</v>
      </c>
      <c r="B706" s="5" t="s">
        <v>1601</v>
      </c>
      <c r="C706" s="6" t="s">
        <v>1602</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1603</v>
      </c>
      <c r="B707" s="5" t="s">
        <v>1604</v>
      </c>
      <c r="C707" s="6" t="s">
        <v>1605</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1606</v>
      </c>
      <c r="B708" s="5" t="s">
        <v>1607</v>
      </c>
      <c r="C708" s="6" t="s">
        <v>1608</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1609</v>
      </c>
      <c r="B709" s="5" t="s">
        <v>1610</v>
      </c>
      <c r="C709" s="6" t="s">
        <v>1611</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1612</v>
      </c>
      <c r="B710" s="5" t="s">
        <v>1613</v>
      </c>
      <c r="C710" s="6" t="s">
        <v>1614</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1615</v>
      </c>
      <c r="B711" s="5" t="s">
        <v>1616</v>
      </c>
      <c r="C711" s="6" t="s">
        <v>1617</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1618</v>
      </c>
      <c r="B712" s="5" t="s">
        <v>1619</v>
      </c>
      <c r="C712" s="6" t="s">
        <v>1620</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1621</v>
      </c>
      <c r="B713" s="5" t="s">
        <v>1622</v>
      </c>
      <c r="C713" s="6" t="s">
        <v>1623</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1624</v>
      </c>
      <c r="B714" s="5" t="s">
        <v>1625</v>
      </c>
      <c r="C714" s="6" t="s">
        <v>1626</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1627</v>
      </c>
      <c r="B715" s="5" t="s">
        <v>1628</v>
      </c>
      <c r="C715" s="6" t="s">
        <v>1629</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1630</v>
      </c>
      <c r="B716" s="5" t="s">
        <v>1631</v>
      </c>
      <c r="C716" s="6" t="s">
        <v>1632</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1633</v>
      </c>
      <c r="B717" s="5" t="s">
        <v>1634</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1635</v>
      </c>
      <c r="B718" s="5" t="s">
        <v>1636</v>
      </c>
      <c r="C718" s="6" t="s">
        <v>1637</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1638</v>
      </c>
      <c r="B719" s="5" t="s">
        <v>1639</v>
      </c>
      <c r="C719" s="6" t="s">
        <v>1640</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1641</v>
      </c>
      <c r="B720" s="5" t="s">
        <v>1642</v>
      </c>
      <c r="C720" s="6" t="s">
        <v>1643</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1644</v>
      </c>
      <c r="B721" s="5" t="s">
        <v>1645</v>
      </c>
      <c r="C721" s="6" t="s">
        <v>1646</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1647</v>
      </c>
      <c r="B722" s="5" t="s">
        <v>1648</v>
      </c>
      <c r="C722" s="6" t="s">
        <v>1648</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1649</v>
      </c>
      <c r="B723" s="5" t="s">
        <v>1650</v>
      </c>
      <c r="C723" s="6" t="s">
        <v>1651</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1652</v>
      </c>
      <c r="B724" s="5" t="s">
        <v>1653</v>
      </c>
      <c r="C724" s="6" t="s">
        <v>1654</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1655</v>
      </c>
      <c r="B725" s="5" t="s">
        <v>1656</v>
      </c>
      <c r="C725" s="6" t="s">
        <v>1657</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1658</v>
      </c>
      <c r="B726" s="5" t="s">
        <v>1659</v>
      </c>
      <c r="C726" s="6" t="s">
        <v>1660</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1661</v>
      </c>
      <c r="B727" s="5" t="s">
        <v>1662</v>
      </c>
      <c r="C727" s="6" t="s">
        <v>1360</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1663</v>
      </c>
      <c r="B728" s="5" t="s">
        <v>1663</v>
      </c>
      <c r="C728" s="6" t="s">
        <v>1664</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1665</v>
      </c>
      <c r="B729" s="5" t="s">
        <v>1666</v>
      </c>
      <c r="C729" s="6" t="s">
        <v>1667</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1668</v>
      </c>
      <c r="B730" s="5" t="s">
        <v>1669</v>
      </c>
      <c r="C730" s="6" t="s">
        <v>1670</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1671</v>
      </c>
      <c r="B731" s="5" t="s">
        <v>1672</v>
      </c>
      <c r="C731" s="6" t="s">
        <v>1673</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1674</v>
      </c>
      <c r="B732" s="5" t="s">
        <v>1675</v>
      </c>
      <c r="C732" s="6" t="s">
        <v>1676</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1677</v>
      </c>
      <c r="B733" s="5" t="s">
        <v>1678</v>
      </c>
      <c r="C733" s="6" t="s">
        <v>1679</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1680</v>
      </c>
      <c r="B734" s="5" t="s">
        <v>1681</v>
      </c>
      <c r="C734" s="6" t="s">
        <v>1682</v>
      </c>
      <c r="D734" s="6" t="str">
        <f>IFERROR(__xludf.DUMMYFUNCTION("GOOGLETRANSLATE(B734, ""en"", ""hi"")"),"अमान्य स्टॉप")</f>
        <v>अमान्य स्टॉप</v>
      </c>
      <c r="E734" s="6" t="str">
        <f>IFERROR(__xludf.DUMMYFUNCTION("GOOGLETRANSLATE(B734, ""en"", ""kn"")"),"ಅಮಾನ್ಯವಾದ ನಿಲ್ದಾಣಗಳು")</f>
        <v>ಅಮಾನ್ಯವಾದ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1683</v>
      </c>
      <c r="B735" s="5" t="s">
        <v>1684</v>
      </c>
      <c r="C735" s="6" t="s">
        <v>1685</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1686</v>
      </c>
      <c r="B736" s="9" t="s">
        <v>1687</v>
      </c>
      <c r="C736" s="6" t="s">
        <v>1688</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1689</v>
      </c>
      <c r="B737" s="9" t="s">
        <v>1690</v>
      </c>
      <c r="C737" s="6" t="s">
        <v>1691</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1692</v>
      </c>
      <c r="B738" s="9" t="s">
        <v>1693</v>
      </c>
      <c r="C738" s="6" t="s">
        <v>1694</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1695</v>
      </c>
      <c r="B739" s="9" t="s">
        <v>1696</v>
      </c>
      <c r="C739" s="6" t="s">
        <v>1697</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1698</v>
      </c>
      <c r="B740" s="9" t="s">
        <v>1699</v>
      </c>
      <c r="C740" s="6" t="s">
        <v>1700</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1701</v>
      </c>
      <c r="B741" s="9" t="s">
        <v>1702</v>
      </c>
      <c r="C741" s="6" t="s">
        <v>1703</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1704</v>
      </c>
      <c r="B742" s="9" t="s">
        <v>1705</v>
      </c>
      <c r="C742" s="6" t="s">
        <v>1706</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1707</v>
      </c>
      <c r="B743" s="9" t="s">
        <v>1708</v>
      </c>
      <c r="C743" s="6" t="s">
        <v>1709</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1710</v>
      </c>
      <c r="B744" s="9" t="s">
        <v>1711</v>
      </c>
      <c r="C744" s="6" t="s">
        <v>1712</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1713</v>
      </c>
      <c r="B745" s="9" t="s">
        <v>1714</v>
      </c>
      <c r="C745" s="6" t="s">
        <v>1715</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1716</v>
      </c>
      <c r="B746" s="9" t="s">
        <v>1717</v>
      </c>
      <c r="C746" s="6" t="s">
        <v>1718</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1719</v>
      </c>
      <c r="B747" s="9" t="s">
        <v>1720</v>
      </c>
      <c r="C747" s="6" t="s">
        <v>1721</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1722</v>
      </c>
      <c r="B748" s="9" t="s">
        <v>1723</v>
      </c>
      <c r="C748" s="6" t="s">
        <v>1724</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1725</v>
      </c>
      <c r="B749" s="9" t="s">
        <v>1726</v>
      </c>
      <c r="C749" s="6" t="s">
        <v>1727</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1728</v>
      </c>
      <c r="B750" s="9" t="s">
        <v>1729</v>
      </c>
      <c r="C750" s="6" t="s">
        <v>1730</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1731</v>
      </c>
      <c r="B751" s="9" t="s">
        <v>1732</v>
      </c>
      <c r="C751" s="6" t="s">
        <v>1733</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""ml"")"),"{radius} കിലോമീറ്റർ ചുറ്റളവിലുള്ള ഒരു സ്ഥലം നിങ്ങൾ തിരഞ്ഞെടുക്കണം.")</f>
        <v>{radius} കിലോമീറ്റർ ചുറ്റളവിലുള്ള ഒരു സ്ഥലം നിങ്ങൾ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1734</v>
      </c>
      <c r="B752" s="9" t="s">
        <v>1735</v>
      </c>
      <c r="C752" s="6" t="s">
        <v>1736</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1737</v>
      </c>
      <c r="B753" s="9" t="s">
        <v>1738</v>
      </c>
      <c r="C753" s="6" t="s">
        <v>1739</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1740</v>
      </c>
      <c r="B754" s="9" t="s">
        <v>1741</v>
      </c>
      <c r="C754" s="6" t="s">
        <v>1742</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1743</v>
      </c>
      <c r="B755" s="9" t="s">
        <v>1744</v>
      </c>
      <c r="C755" s="6" t="s">
        <v>1745</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1746</v>
      </c>
      <c r="B756" s="9" t="s">
        <v>1746</v>
      </c>
      <c r="C756" s="6" t="s">
        <v>1747</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1748</v>
      </c>
      <c r="B757" s="9" t="s">
        <v>1749</v>
      </c>
      <c r="C757" s="6" t="s">
        <v>1750</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1751</v>
      </c>
      <c r="B758" s="9" t="s">
        <v>1752</v>
      </c>
      <c r="C758" s="6" t="s">
        <v>1747</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1753</v>
      </c>
      <c r="B759" s="9" t="s">
        <v>1754</v>
      </c>
      <c r="C759" s="6" t="s">
        <v>1755</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1756</v>
      </c>
      <c r="B760" s="9" t="s">
        <v>1757</v>
      </c>
      <c r="C760" s="6" t="s">
        <v>1758</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1759</v>
      </c>
      <c r="B761" s="9" t="s">
        <v>1760</v>
      </c>
      <c r="C761" s="6" t="s">
        <v>1761</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1762</v>
      </c>
      <c r="B762" s="9" t="s">
        <v>1763</v>
      </c>
      <c r="C762" s="6" t="s">
        <v>1764</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1765</v>
      </c>
      <c r="B763" s="17" t="s">
        <v>1766</v>
      </c>
      <c r="C763" s="6" t="s">
        <v>1767</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1768</v>
      </c>
      <c r="B764" s="9" t="s">
        <v>1769</v>
      </c>
      <c r="C764" s="6" t="s">
        <v>1770</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1771</v>
      </c>
      <c r="B765" s="9" t="s">
        <v>1772</v>
      </c>
      <c r="C765" s="6" t="s">
        <v>1773</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1774</v>
      </c>
      <c r="B766" s="9" t="s">
        <v>1775</v>
      </c>
      <c r="C766" s="6" t="s">
        <v>1776</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1777</v>
      </c>
      <c r="B767" s="9" t="s">
        <v>1778</v>
      </c>
      <c r="C767" s="6" t="s">
        <v>1779</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1780</v>
      </c>
      <c r="B768" s="9" t="s">
        <v>1781</v>
      </c>
      <c r="C768" s="6" t="s">
        <v>1782</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1783</v>
      </c>
      <c r="B769" s="9" t="s">
        <v>1784</v>
      </c>
      <c r="C769" s="6" t="s">
        <v>1785</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1786</v>
      </c>
      <c r="B770" s="9" t="s">
        <v>1787</v>
      </c>
      <c r="C770" s="6" t="s">
        <v>1788</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1789</v>
      </c>
      <c r="B771" s="5" t="s">
        <v>1790</v>
      </c>
      <c r="C771" s="6" t="s">
        <v>1791</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1792</v>
      </c>
      <c r="B772" s="5" t="s">
        <v>1793</v>
      </c>
      <c r="C772" s="6" t="s">
        <v>1794</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1795</v>
      </c>
      <c r="B773" s="5" t="s">
        <v>1796</v>
      </c>
      <c r="C773" s="6" t="s">
        <v>1797</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1798</v>
      </c>
      <c r="B774" s="5" t="s">
        <v>1799</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1800</v>
      </c>
      <c r="B775" s="5" t="s">
        <v>1801</v>
      </c>
      <c r="C775" s="6" t="s">
        <v>1802</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1803</v>
      </c>
      <c r="B776" s="5" t="s">
        <v>1804</v>
      </c>
      <c r="C776" s="6" t="s">
        <v>1805</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ഡ്രൈവറുകളില്ല. ലഭ്യമായ ഡ്രൈവറുകളുള്ള മറ്റൊരു വാഹനം ഞങ്ങൾ തിരഞ്ഞെടുത്തു.")</f>
        <v>നിങ്ങൾ തിരഞ്ഞെടുത്ത {വാഹനത്തിന്} സമീപത്ത് ഡ്രൈവറുകളില്ല.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1806</v>
      </c>
      <c r="B777" s="5" t="s">
        <v>1807</v>
      </c>
      <c r="C777" s="6" t="s">
        <v>1808</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1809</v>
      </c>
      <c r="B778" s="5" t="s">
        <v>1810</v>
      </c>
      <c r="C778" s="6" t="s">
        <v>1811</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1812</v>
      </c>
      <c r="B779" s="5" t="s">
        <v>1813</v>
      </c>
      <c r="C779" s="6" t="s">
        <v>1814</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1815</v>
      </c>
      <c r="B780" s="5" t="s">
        <v>1816</v>
      </c>
      <c r="C780" s="6" t="s">
        <v>1817</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1818</v>
      </c>
      <c r="B781" s="5" t="s">
        <v>1819</v>
      </c>
      <c r="C781" s="6" t="s">
        <v>1820</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1821</v>
      </c>
      <c r="B782" s="5" t="s">
        <v>1822</v>
      </c>
      <c r="C782" s="6" t="s">
        <v>1823</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1824</v>
      </c>
      <c r="B783" s="5" t="s">
        <v>1825</v>
      </c>
      <c r="C783" s="6" t="s">
        <v>1826</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1827</v>
      </c>
      <c r="B784" s="5" t="s">
        <v>1828</v>
      </c>
      <c r="C784" s="6" t="s">
        <v>1829</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1830</v>
      </c>
      <c r="B785" s="5" t="s">
        <v>1831</v>
      </c>
      <c r="C785" s="6" t="s">
        <v>1832</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1833</v>
      </c>
      <c r="B786" s="5" t="s">
        <v>1834</v>
      </c>
      <c r="C786" s="6" t="s">
        <v>1835</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1836</v>
      </c>
      <c r="B787" s="5" t="s">
        <v>1837</v>
      </c>
      <c r="C787" s="6" t="s">
        <v>1838</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1839</v>
      </c>
      <c r="B788" s="5" t="s">
        <v>1840</v>
      </c>
      <c r="C788" s="6" t="s">
        <v>1841</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1842</v>
      </c>
      <c r="B789" s="5" t="s">
        <v>1843</v>
      </c>
      <c r="C789" s="6" t="s">
        <v>1844</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1845</v>
      </c>
      <c r="B790" s="5" t="s">
        <v>1846</v>
      </c>
      <c r="C790" s="6" t="s">
        <v>1847</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1848</v>
      </c>
      <c r="B791" s="5" t="s">
        <v>1849</v>
      </c>
      <c r="C791" s="6" t="s">
        <v>1850</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1851</v>
      </c>
      <c r="B792" s="5" t="s">
        <v>1852</v>
      </c>
      <c r="C792" s="6" t="s">
        <v>1853</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1854</v>
      </c>
      <c r="B793" s="5" t="s">
        <v>1855</v>
      </c>
      <c r="C793" s="6" t="s">
        <v>1856</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1857</v>
      </c>
      <c r="B794" s="5" t="s">
        <v>1858</v>
      </c>
      <c r="C794" s="6" t="s">
        <v>1859</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1860</v>
      </c>
      <c r="B795" s="5" t="s">
        <v>1861</v>
      </c>
      <c r="C795" s="6" t="s">
        <v>1862</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1863</v>
      </c>
      <c r="B796" s="5" t="s">
        <v>1864</v>
      </c>
      <c r="C796" s="6" t="s">
        <v>1865</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1866</v>
      </c>
      <c r="B797" s="5" t="s">
        <v>1867</v>
      </c>
      <c r="C797" s="6" t="s">
        <v>1865</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1868</v>
      </c>
      <c r="B798" s="5" t="s">
        <v>1869</v>
      </c>
      <c r="C798" s="6" t="s">
        <v>1870</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1871</v>
      </c>
      <c r="B799" s="5" t="s">
        <v>1872</v>
      </c>
      <c r="C799" s="6" t="s">
        <v>1873</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1874</v>
      </c>
      <c r="B800" s="5" t="s">
        <v>1875</v>
      </c>
      <c r="C800" s="6" t="s">
        <v>1876</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1877</v>
      </c>
      <c r="B801" s="5" t="s">
        <v>1878</v>
      </c>
      <c r="C801" s="6" t="s">
        <v>1879</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1880</v>
      </c>
      <c r="B802" s="5" t="s">
        <v>1881</v>
      </c>
      <c r="C802" s="6" t="s">
        <v>1882</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1883</v>
      </c>
      <c r="B803" s="5" t="s">
        <v>1884</v>
      </c>
      <c r="C803" s="6" t="s">
        <v>1885</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1886</v>
      </c>
      <c r="B804" s="5" t="s">
        <v>1887</v>
      </c>
      <c r="C804" s="6" t="s">
        <v>1888</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1889</v>
      </c>
      <c r="B805" s="5" t="s">
        <v>1890</v>
      </c>
      <c r="C805" s="6" t="s">
        <v>1891</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1892</v>
      </c>
      <c r="B806" s="5" t="s">
        <v>1893</v>
      </c>
      <c r="C806" s="6" t="s">
        <v>1894</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1895</v>
      </c>
      <c r="B807" s="5" t="s">
        <v>583</v>
      </c>
      <c r="C807" s="6" t="s">
        <v>1896</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1897</v>
      </c>
      <c r="B808" s="5" t="s">
        <v>1898</v>
      </c>
      <c r="C808" s="6" t="s">
        <v>1899</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1900</v>
      </c>
      <c r="B809" s="5" t="s">
        <v>1901</v>
      </c>
      <c r="C809" s="6" t="s">
        <v>1902</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1903</v>
      </c>
      <c r="B810" s="5" t="s">
        <v>1904</v>
      </c>
      <c r="C810" s="6" t="s">
        <v>1905</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1906</v>
      </c>
      <c r="B811" s="5" t="s">
        <v>1907</v>
      </c>
      <c r="C811" s="6" t="s">
        <v>1908</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1909</v>
      </c>
      <c r="B812" s="5" t="s">
        <v>1910</v>
      </c>
      <c r="C812" s="6" t="s">
        <v>1911</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1912</v>
      </c>
      <c r="B813" s="5" t="s">
        <v>1913</v>
      </c>
      <c r="C813" s="6" t="s">
        <v>1914</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8" t="s">
        <v>1915</v>
      </c>
      <c r="B814" s="5" t="s">
        <v>1916</v>
      </c>
      <c r="C814" s="6" t="s">
        <v>1917</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8" t="s">
        <v>1918</v>
      </c>
      <c r="B815" s="5" t="s">
        <v>1919</v>
      </c>
      <c r="C815" s="6" t="s">
        <v>1920</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8" t="s">
        <v>1921</v>
      </c>
      <c r="B816" s="5" t="s">
        <v>1922</v>
      </c>
      <c r="C816" s="6" t="s">
        <v>1923</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8" t="s">
        <v>1924</v>
      </c>
      <c r="B817" s="5" t="s">
        <v>1925</v>
      </c>
      <c r="C817" s="6" t="s">
        <v>1926</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8" t="s">
        <v>1927</v>
      </c>
      <c r="B818" s="5" t="s">
        <v>1928</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8" t="s">
        <v>1929</v>
      </c>
      <c r="B819" s="5" t="s">
        <v>1930</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8" t="s">
        <v>1931</v>
      </c>
      <c r="B820" s="5" t="s">
        <v>1932</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8" t="s">
        <v>1933</v>
      </c>
      <c r="B821" s="5" t="s">
        <v>1934</v>
      </c>
      <c r="C821" s="6" t="s">
        <v>1935</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8" t="s">
        <v>1936</v>
      </c>
      <c r="B822" s="5" t="s">
        <v>521</v>
      </c>
      <c r="C822" s="6" t="s">
        <v>1937</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8" t="s">
        <v>1938</v>
      </c>
      <c r="B823" s="5" t="s">
        <v>1939</v>
      </c>
      <c r="C823" s="6" t="s">
        <v>1940</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8" t="s">
        <v>1941</v>
      </c>
      <c r="B824" s="5" t="s">
        <v>1942</v>
      </c>
      <c r="C824" s="6" t="s">
        <v>1943</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8" t="s">
        <v>1944</v>
      </c>
      <c r="B825" s="5" t="s">
        <v>683</v>
      </c>
      <c r="C825" s="6" t="s">
        <v>1945</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8" t="s">
        <v>1946</v>
      </c>
      <c r="B826" s="5" t="s">
        <v>1947</v>
      </c>
      <c r="C826" s="6" t="s">
        <v>1948</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8" t="s">
        <v>1949</v>
      </c>
      <c r="B827" s="5" t="s">
        <v>1950</v>
      </c>
      <c r="C827" s="6" t="s">
        <v>1951</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8" t="s">
        <v>1952</v>
      </c>
      <c r="B828" s="18" t="s">
        <v>1553</v>
      </c>
      <c r="C828" s="6" t="s">
        <v>1953</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8" t="s">
        <v>1954</v>
      </c>
      <c r="B829" s="5" t="s">
        <v>1955</v>
      </c>
      <c r="C829" s="6" t="s">
        <v>1956</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8" t="s">
        <v>1957</v>
      </c>
      <c r="B830" s="5" t="s">
        <v>1958</v>
      </c>
      <c r="C830" s="6" t="s">
        <v>1959</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8" t="s">
        <v>1960</v>
      </c>
      <c r="B831" s="5" t="s">
        <v>1961</v>
      </c>
      <c r="C831" s="6" t="s">
        <v>1962</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8" t="s">
        <v>1963</v>
      </c>
      <c r="B832" s="5" t="s">
        <v>1964</v>
      </c>
      <c r="C832" s="6" t="s">
        <v>1965</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1966</v>
      </c>
      <c r="B833" s="5" t="s">
        <v>1967</v>
      </c>
      <c r="C833" s="6" t="s">
        <v>1968</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1969</v>
      </c>
      <c r="B834" s="5" t="s">
        <v>1970</v>
      </c>
      <c r="C834" s="6" t="s">
        <v>1971</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1972</v>
      </c>
      <c r="B835" s="5" t="s">
        <v>1973</v>
      </c>
      <c r="C835" s="6" t="s">
        <v>1974</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1975</v>
      </c>
      <c r="B836" s="5" t="s">
        <v>1976</v>
      </c>
      <c r="C836" s="6" t="s">
        <v>1089</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1977</v>
      </c>
      <c r="B837" s="5" t="s">
        <v>1978</v>
      </c>
      <c r="C837" s="6" t="s">
        <v>1979</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1980</v>
      </c>
      <c r="B838" s="5" t="s">
        <v>1981</v>
      </c>
      <c r="C838" s="6" t="s">
        <v>1982</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1983</v>
      </c>
      <c r="B839" s="5" t="s">
        <v>1984</v>
      </c>
      <c r="C839" s="6" t="s">
        <v>1985</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1986</v>
      </c>
      <c r="B840" s="5" t="s">
        <v>1987</v>
      </c>
      <c r="C840" s="6" t="s">
        <v>1988</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1989</v>
      </c>
      <c r="B841" s="5" t="s">
        <v>1990</v>
      </c>
      <c r="C841" s="6" t="s">
        <v>1991</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1992</v>
      </c>
      <c r="B842" s="12" t="s">
        <v>1993</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1994</v>
      </c>
      <c r="B843" s="5" t="s">
        <v>506</v>
      </c>
      <c r="C843" s="6" t="s">
        <v>1995</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1996</v>
      </c>
      <c r="B844" s="5" t="s">
        <v>1997</v>
      </c>
      <c r="C844" s="6" t="s">
        <v>1998</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1999</v>
      </c>
      <c r="B845" s="5" t="s">
        <v>2000</v>
      </c>
      <c r="C845" s="6" t="s">
        <v>2001</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2002</v>
      </c>
      <c r="B846" s="5" t="s">
        <v>2003</v>
      </c>
      <c r="C846" s="6" t="s">
        <v>2004</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2005</v>
      </c>
      <c r="B847" s="5" t="s">
        <v>2006</v>
      </c>
      <c r="C847" s="6" t="s">
        <v>2007</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0" t="s">
        <v>2008</v>
      </c>
      <c r="B848" s="5" t="s">
        <v>2009</v>
      </c>
      <c r="C848" s="6" t="s">
        <v>2010</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2011</v>
      </c>
      <c r="B849" s="5" t="s">
        <v>2012</v>
      </c>
      <c r="C849" s="6" t="s">
        <v>2013</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2014</v>
      </c>
      <c r="B850" s="5" t="s">
        <v>2015</v>
      </c>
      <c r="C850" s="6" t="s">
        <v>2016</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2017</v>
      </c>
      <c r="B851" s="5" t="s">
        <v>2018</v>
      </c>
      <c r="C851" s="6" t="s">
        <v>2019</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2020</v>
      </c>
      <c r="B852" s="5" t="s">
        <v>2021</v>
      </c>
      <c r="C852" s="6" t="s">
        <v>2022</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2023</v>
      </c>
      <c r="B853" s="5" t="s">
        <v>2024</v>
      </c>
      <c r="C853" s="6" t="s">
        <v>2025</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2026</v>
      </c>
      <c r="B854" s="5" t="s">
        <v>2027</v>
      </c>
      <c r="C854" s="6" t="s">
        <v>2028</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2029</v>
      </c>
      <c r="B855" s="5" t="s">
        <v>2030</v>
      </c>
      <c r="C855" s="6" t="s">
        <v>2031</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2032</v>
      </c>
      <c r="B856" s="5" t="s">
        <v>2033</v>
      </c>
      <c r="C856" s="6" t="s">
        <v>2034</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2035</v>
      </c>
      <c r="B857" s="5" t="s">
        <v>2036</v>
      </c>
      <c r="C857" s="6" t="s">
        <v>2037</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2038</v>
      </c>
      <c r="B858" s="5" t="s">
        <v>2039</v>
      </c>
      <c r="C858" s="6" t="s">
        <v>2040</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2041</v>
      </c>
      <c r="B859" s="5" t="s">
        <v>2042</v>
      </c>
      <c r="C859" s="6" t="s">
        <v>2043</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2044</v>
      </c>
      <c r="B860" s="5" t="s">
        <v>2045</v>
      </c>
      <c r="C860" s="6" t="s">
        <v>2046</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2047</v>
      </c>
      <c r="B861" s="5" t="s">
        <v>2048</v>
      </c>
      <c r="C861" s="6" t="s">
        <v>2046</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2049</v>
      </c>
      <c r="B862" s="5" t="s">
        <v>2050</v>
      </c>
      <c r="C862" s="6" t="s">
        <v>2051</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2052</v>
      </c>
      <c r="B863" s="5" t="s">
        <v>2053</v>
      </c>
      <c r="C863" s="6" t="s">
        <v>1218</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2054</v>
      </c>
      <c r="B864" s="5" t="s">
        <v>2055</v>
      </c>
      <c r="C864" s="6" t="s">
        <v>2056</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2057</v>
      </c>
      <c r="B865" s="5" t="s">
        <v>2058</v>
      </c>
      <c r="C865" s="6" t="s">
        <v>2059</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2060</v>
      </c>
      <c r="B866" s="5" t="s">
        <v>2061</v>
      </c>
      <c r="C866" s="6" t="s">
        <v>2062</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2063</v>
      </c>
      <c r="B867" s="5" t="s">
        <v>2064</v>
      </c>
      <c r="C867" s="6" t="s">
        <v>2065</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2066</v>
      </c>
      <c r="B868" s="5" t="s">
        <v>2067</v>
      </c>
      <c r="C868" s="6" t="s">
        <v>2068</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2069</v>
      </c>
      <c r="B869" s="5" t="s">
        <v>2070</v>
      </c>
      <c r="C869" s="6" t="s">
        <v>2070</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2071</v>
      </c>
      <c r="B870" s="5" t="s">
        <v>2072</v>
      </c>
      <c r="C870" s="6" t="s">
        <v>2010</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2073</v>
      </c>
      <c r="B871" s="5" t="s">
        <v>2074</v>
      </c>
      <c r="C871" s="6" t="s">
        <v>2075</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2076</v>
      </c>
      <c r="B872" s="5" t="s">
        <v>508</v>
      </c>
      <c r="C872" s="6" t="s">
        <v>2077</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2078</v>
      </c>
      <c r="B873" s="5" t="s">
        <v>2079</v>
      </c>
      <c r="C873" s="6" t="s">
        <v>2080</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2081</v>
      </c>
      <c r="B874" s="5" t="s">
        <v>2082</v>
      </c>
      <c r="C874" s="6" t="s">
        <v>2083</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2084</v>
      </c>
      <c r="B875" s="5" t="s">
        <v>2085</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2086</v>
      </c>
      <c r="B876" s="5" t="s">
        <v>2087</v>
      </c>
      <c r="C876" s="6" t="s">
        <v>2088</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2089</v>
      </c>
      <c r="B877" s="5" t="s">
        <v>2090</v>
      </c>
      <c r="C877" s="6" t="s">
        <v>2090</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2091</v>
      </c>
      <c r="B878" s="5" t="s">
        <v>2092</v>
      </c>
      <c r="C878" s="6" t="s">
        <v>2093</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2094</v>
      </c>
      <c r="B879" s="5" t="s">
        <v>2095</v>
      </c>
      <c r="C879" s="6" t="s">
        <v>2096</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2097</v>
      </c>
      <c r="B880" s="5" t="s">
        <v>2098</v>
      </c>
      <c r="C880" s="6" t="s">
        <v>2099</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2100</v>
      </c>
      <c r="B881" s="5" t="s">
        <v>2101</v>
      </c>
      <c r="C881" s="6" t="s">
        <v>2102</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2103</v>
      </c>
      <c r="B882" s="5" t="s">
        <v>2104</v>
      </c>
      <c r="C882" s="6" t="s">
        <v>2105</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2106</v>
      </c>
      <c r="B883" s="5" t="s">
        <v>2107</v>
      </c>
      <c r="C883" s="6" t="s">
        <v>2108</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2109</v>
      </c>
      <c r="B884" s="5" t="s">
        <v>2110</v>
      </c>
      <c r="C884" s="6" t="s">
        <v>2111</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2112</v>
      </c>
      <c r="B885" s="5" t="s">
        <v>2113</v>
      </c>
      <c r="C885" s="6" t="s">
        <v>2114</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2115</v>
      </c>
      <c r="B886" s="5" t="s">
        <v>2116</v>
      </c>
      <c r="C886" s="6" t="s">
        <v>2117</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വെച്ച് റദ്ദാക്കി.")</f>
        <v>യാത്ര പകുതി വഴിയിൽ വെച്ച് റദ്ദാക്കി.</v>
      </c>
      <c r="G886" s="7" t="str">
        <f>IFERROR(__xludf.DUMMYFUNCTION("GOOGLETRANSLATE(B886, ""en"", ""te"")"),"రైడ్ మధ్యలో రద్దు చేయబడింది")</f>
        <v>రైడ్ మధ్యలో రద్దు చేయబడింది</v>
      </c>
    </row>
    <row r="887">
      <c r="A887" s="4" t="s">
        <v>2118</v>
      </c>
      <c r="B887" s="5" t="s">
        <v>938</v>
      </c>
      <c r="C887" s="6" t="s">
        <v>2119</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2120</v>
      </c>
      <c r="B888" s="5" t="s">
        <v>2121</v>
      </c>
      <c r="C888" s="6" t="s">
        <v>2122</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2123</v>
      </c>
      <c r="B889" s="5" t="s">
        <v>2124</v>
      </c>
      <c r="C889" s="6" t="s">
        <v>2125</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2126</v>
      </c>
      <c r="B890" s="5" t="s">
        <v>2127</v>
      </c>
      <c r="C890" s="6" t="s">
        <v>2128</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2129</v>
      </c>
      <c r="B891" s="5" t="s">
        <v>2130</v>
      </c>
      <c r="C891" s="6" t="s">
        <v>2131</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2132</v>
      </c>
      <c r="B892" s="5" t="s">
        <v>589</v>
      </c>
      <c r="C892" s="6" t="s">
        <v>2010</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2133</v>
      </c>
      <c r="B893" s="5" t="s">
        <v>2134</v>
      </c>
      <c r="C893" s="6" t="s">
        <v>2135</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2136</v>
      </c>
      <c r="B894" s="5" t="s">
        <v>2137</v>
      </c>
      <c r="C894" s="6" t="s">
        <v>2138</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2139</v>
      </c>
      <c r="B895" s="5" t="s">
        <v>2140</v>
      </c>
      <c r="C895" s="6" t="s">
        <v>2141</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2142</v>
      </c>
      <c r="B896" s="5" t="s">
        <v>2143</v>
      </c>
      <c r="C896" s="6" t="s">
        <v>2144</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2145</v>
      </c>
      <c r="B897" s="5" t="s">
        <v>2146</v>
      </c>
      <c r="C897" s="6" t="s">
        <v>2147</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2148</v>
      </c>
      <c r="B898" s="5" t="s">
        <v>2149</v>
      </c>
      <c r="C898" s="6" t="s">
        <v>2150</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2151</v>
      </c>
      <c r="B899" s="5" t="s">
        <v>2152</v>
      </c>
      <c r="C899" s="6" t="s">
        <v>2153</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2154</v>
      </c>
      <c r="B900" s="5" t="s">
        <v>2155</v>
      </c>
      <c r="C900" s="6" t="s">
        <v>2156</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2157</v>
      </c>
      <c r="B901" s="5" t="s">
        <v>2158</v>
      </c>
      <c r="C901" s="6" t="s">
        <v>2159</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ಗೋಚರಿಸುತ್ತವೆ.")</f>
        <v>ನಿಮ್ಮ ಉಳಿಸಿದ ಸ್ಥಳಗಳು ಇಲ್ಲಿ ಗೋಚರಿಸುತ್ತವೆ.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2160</v>
      </c>
      <c r="B902" s="5" t="s">
        <v>2161</v>
      </c>
      <c r="C902" s="6" t="s">
        <v>2162</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2163</v>
      </c>
      <c r="B903" s="5" t="s">
        <v>2164</v>
      </c>
      <c r="C903" s="6" t="s">
        <v>2165</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""ml"")"),"ഷെഡ്യൂൾ")</f>
        <v>ഷെഡ്യൂൾ</v>
      </c>
      <c r="G903" s="7" t="str">
        <f>IFERROR(__xludf.DUMMYFUNCTION("GOOGLETRANSLATE(B903, ""en"", ""te"")"),"షెడ్యూల్")</f>
        <v>షెడ్యూల్</v>
      </c>
    </row>
    <row r="904">
      <c r="A904" s="4" t="s">
        <v>2166</v>
      </c>
      <c r="B904" s="5" t="s">
        <v>2167</v>
      </c>
      <c r="C904" s="6" t="s">
        <v>2168</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2169</v>
      </c>
      <c r="B905" s="5" t="s">
        <v>2170</v>
      </c>
      <c r="C905" s="6" t="s">
        <v>2171</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2172</v>
      </c>
      <c r="B906" s="5" t="s">
        <v>2173</v>
      </c>
      <c r="C906" s="6" t="s">
        <v>2174</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2175</v>
      </c>
      <c r="B907" s="5" t="s">
        <v>2176</v>
      </c>
      <c r="C907" s="6" t="s">
        <v>2177</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2178</v>
      </c>
      <c r="B908" s="5" t="s">
        <v>2179</v>
      </c>
      <c r="C908" s="6" t="s">
        <v>2174</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2180</v>
      </c>
      <c r="B909" s="5" t="s">
        <v>2181</v>
      </c>
      <c r="C909" s="6" t="s">
        <v>2182</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2183</v>
      </c>
      <c r="B910" s="5" t="s">
        <v>2184</v>
      </c>
      <c r="C910" s="6" t="s">
        <v>2185</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2186</v>
      </c>
      <c r="B911" s="5" t="s">
        <v>2187</v>
      </c>
      <c r="C911" s="6" t="s">
        <v>1712</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లొకేషన్‌ను శోధించండి")</f>
        <v>పికప్ లొకేషన్‌ను శోధించండి</v>
      </c>
    </row>
    <row r="912">
      <c r="A912" s="4" t="s">
        <v>2188</v>
      </c>
      <c r="B912" s="5" t="s">
        <v>2189</v>
      </c>
      <c r="C912" s="6" t="s">
        <v>2190</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2191</v>
      </c>
      <c r="B913" s="5" t="s">
        <v>2192</v>
      </c>
      <c r="C913" s="6" t="s">
        <v>2193</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2194</v>
      </c>
      <c r="B914" s="5" t="s">
        <v>2195</v>
      </c>
      <c r="C914" s="6" t="s">
        <v>2196</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2197</v>
      </c>
      <c r="B915" s="12" t="s">
        <v>2198</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2199</v>
      </c>
      <c r="B916" s="5" t="s">
        <v>2200</v>
      </c>
      <c r="C916" s="6" t="s">
        <v>2201</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2202</v>
      </c>
      <c r="B917" s="5" t="s">
        <v>2203</v>
      </c>
      <c r="C917" s="6" t="s">
        <v>1995</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2204</v>
      </c>
      <c r="B918" s="5" t="s">
        <v>2205</v>
      </c>
      <c r="C918" s="6" t="s">
        <v>2206</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2207</v>
      </c>
      <c r="B919" s="5" t="s">
        <v>2208</v>
      </c>
      <c r="C919" s="6" t="s">
        <v>2209</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2210</v>
      </c>
      <c r="B920" s="5" t="s">
        <v>2211</v>
      </c>
      <c r="C920" s="6" t="s">
        <v>2212</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2213</v>
      </c>
      <c r="B921" s="5" t="s">
        <v>2214</v>
      </c>
      <c r="C921" s="6" t="s">
        <v>2004</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2215</v>
      </c>
      <c r="B922" s="5" t="s">
        <v>2216</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2217</v>
      </c>
      <c r="B923" s="5" t="s">
        <v>2218</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2219</v>
      </c>
      <c r="B924" s="5" t="s">
        <v>2220</v>
      </c>
      <c r="C924" s="6" t="s">
        <v>2221</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2222</v>
      </c>
      <c r="B925" s="5" t="s">
        <v>2223</v>
      </c>
      <c r="C925" s="6" t="s">
        <v>2224</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2225</v>
      </c>
      <c r="B926" s="5" t="s">
        <v>2226</v>
      </c>
      <c r="C926" s="6" t="s">
        <v>2227</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2228</v>
      </c>
      <c r="B927" s="5" t="s">
        <v>2229</v>
      </c>
      <c r="C927" s="6" t="s">
        <v>2230</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2231</v>
      </c>
      <c r="B928" s="5" t="s">
        <v>2232</v>
      </c>
      <c r="C928" s="6" t="s">
        <v>2233</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2234</v>
      </c>
      <c r="B929" s="5" t="s">
        <v>2235</v>
      </c>
      <c r="C929" s="6" t="s">
        <v>2236</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2237</v>
      </c>
      <c r="B930" s="5" t="s">
        <v>2238</v>
      </c>
      <c r="C930" s="6" t="s">
        <v>2239</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2240</v>
      </c>
      <c r="B931" s="5" t="s">
        <v>2241</v>
      </c>
      <c r="C931" s="6" t="s">
        <v>2242</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2243</v>
      </c>
      <c r="B932" s="5" t="s">
        <v>2244</v>
      </c>
      <c r="C932" s="6" t="s">
        <v>2245</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2246</v>
      </c>
      <c r="B933" s="5" t="s">
        <v>2247</v>
      </c>
      <c r="C933" s="6" t="s">
        <v>2248</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2249</v>
      </c>
      <c r="B934" s="5" t="s">
        <v>2250</v>
      </c>
      <c r="C934" s="6" t="s">
        <v>2251</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2252</v>
      </c>
      <c r="B935" s="5" t="s">
        <v>2253</v>
      </c>
      <c r="C935" s="6" t="s">
        <v>2254</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2255</v>
      </c>
      <c r="B936" s="5" t="s">
        <v>2256</v>
      </c>
      <c r="C936" s="6" t="s">
        <v>2257</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2258</v>
      </c>
      <c r="B937" s="5" t="s">
        <v>2259</v>
      </c>
      <c r="C937" s="6" t="s">
        <v>2260</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2261</v>
      </c>
      <c r="B938" s="5" t="s">
        <v>2262</v>
      </c>
      <c r="C938" s="6" t="s">
        <v>2263</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2264</v>
      </c>
      <c r="B939" s="5" t="s">
        <v>2265</v>
      </c>
      <c r="C939" s="6" t="s">
        <v>2266</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2267</v>
      </c>
      <c r="B940" s="5" t="s">
        <v>2268</v>
      </c>
      <c r="C940" s="6" t="s">
        <v>2269</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2270</v>
      </c>
      <c r="B941" s="5" t="s">
        <v>2271</v>
      </c>
      <c r="C941" s="6" t="s">
        <v>2272</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2273</v>
      </c>
      <c r="B942" s="5" t="s">
        <v>2274</v>
      </c>
      <c r="C942" s="6" t="s">
        <v>2275</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2276</v>
      </c>
      <c r="B943" s="5" t="s">
        <v>2277</v>
      </c>
      <c r="C943" s="6" t="s">
        <v>2278</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2279</v>
      </c>
      <c r="B944" s="5" t="s">
        <v>2280</v>
      </c>
      <c r="C944" s="6" t="s">
        <v>2281</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2282</v>
      </c>
      <c r="B945" s="5" t="s">
        <v>2283</v>
      </c>
      <c r="C945" s="6" t="s">
        <v>2284</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2285</v>
      </c>
      <c r="B946" s="5" t="s">
        <v>2286</v>
      </c>
      <c r="C946" s="6" t="s">
        <v>2287</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2288</v>
      </c>
      <c r="B947" s="5" t="s">
        <v>2289</v>
      </c>
      <c r="C947" s="6" t="s">
        <v>2290</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വൈകിയുള്ള വരവ്")</f>
        <v>ഡ്രൈവർ വൈകിയുള്ള വരവ്</v>
      </c>
      <c r="G947" s="7" t="str">
        <f>IFERROR(__xludf.DUMMYFUNCTION("GOOGLETRANSLATE(B947, ""en"", ""te"")"),"డ్రైవర్ ఆలస్యంగా రావడం")</f>
        <v>డ్రైవర్ ఆలస్యంగా రావడం</v>
      </c>
    </row>
    <row r="948">
      <c r="A948" s="4" t="s">
        <v>2291</v>
      </c>
      <c r="B948" s="5" t="s">
        <v>2292</v>
      </c>
      <c r="C948" s="6" t="s">
        <v>2293</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2294</v>
      </c>
      <c r="B949" s="5" t="s">
        <v>2295</v>
      </c>
      <c r="C949" s="6" t="s">
        <v>2296</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2297</v>
      </c>
      <c r="B950" s="5" t="s">
        <v>2298</v>
      </c>
      <c r="C950" s="6" t="s">
        <v>2299</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2300</v>
      </c>
      <c r="B951" s="5" t="s">
        <v>2301</v>
      </c>
      <c r="C951" s="6" t="s">
        <v>2302</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2303</v>
      </c>
      <c r="B952" s="5" t="s">
        <v>2304</v>
      </c>
      <c r="C952" s="6" t="s">
        <v>2305</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2306</v>
      </c>
      <c r="B953" s="5" t="s">
        <v>2307</v>
      </c>
      <c r="C953" s="6" t="s">
        <v>2308</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2309</v>
      </c>
      <c r="B954" s="5" t="s">
        <v>2310</v>
      </c>
      <c r="C954" s="6" t="s">
        <v>2311</v>
      </c>
      <c r="D954" s="6" t="str">
        <f>IFERROR(__xludf.DUMMYFUNCTION("GOOGLETRANSLATE(B954, ""en"", ""hi"")"),"ड्राइवर बुक किए गए वाहन के बजाय किसी दूसरे प्रकार का वाहन लेकर आया (उदाहरण के लिए, एसयूवी के बजाय सेडान)।")</f>
        <v>ड्राइवर बुक किए गए वाहन के बजाय किसी दूसरे प्रकार का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2312</v>
      </c>
      <c r="B955" s="5" t="s">
        <v>2313</v>
      </c>
      <c r="C955" s="6" t="s">
        <v>2314</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2315</v>
      </c>
      <c r="B956" s="5" t="s">
        <v>663</v>
      </c>
      <c r="C956" s="6" t="s">
        <v>2316</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""ml"")"),"ആപ്പ് അനുബന്ധം")</f>
        <v>ആപ്പ് അനുബന്ധം</v>
      </c>
      <c r="G956" s="7" t="str">
        <f>IFERROR(__xludf.DUMMYFUNCTION("GOOGLETRANSLATE(B956, ""en"", ""te"")"),"సంబంధిత యాప్")</f>
        <v>సంబంధిత యాప్</v>
      </c>
    </row>
    <row r="957">
      <c r="A957" s="4" t="s">
        <v>2317</v>
      </c>
      <c r="B957" s="5" t="s">
        <v>2318</v>
      </c>
      <c r="C957" s="6" t="s">
        <v>2319</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2320</v>
      </c>
      <c r="B958" s="5" t="s">
        <v>677</v>
      </c>
      <c r="C958" s="6" t="s">
        <v>2321</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2322</v>
      </c>
      <c r="B959" s="5" t="s">
        <v>2323</v>
      </c>
      <c r="C959" s="6" t="s">
        <v>2324</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2325</v>
      </c>
      <c r="B960" s="5" t="s">
        <v>693</v>
      </c>
      <c r="C960" s="6" t="s">
        <v>2326</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2327</v>
      </c>
      <c r="B961" s="5" t="s">
        <v>1167</v>
      </c>
      <c r="C961" s="6" t="s">
        <v>1168</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2328</v>
      </c>
      <c r="B962" s="5" t="s">
        <v>681</v>
      </c>
      <c r="C962" s="6" t="s">
        <v>2329</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2330</v>
      </c>
      <c r="B963" s="5" t="s">
        <v>2331</v>
      </c>
      <c r="C963" s="6" t="s">
        <v>2332</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2333</v>
      </c>
      <c r="B964" s="5" t="s">
        <v>2334</v>
      </c>
      <c r="C964" s="6" t="s">
        <v>2335</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2336</v>
      </c>
      <c r="B965" s="5" t="s">
        <v>2337</v>
      </c>
      <c r="C965" s="6" t="s">
        <v>2338</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2339</v>
      </c>
      <c r="B966" s="5" t="s">
        <v>2340</v>
      </c>
      <c r="C966" s="6" t="s">
        <v>2341</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2342</v>
      </c>
      <c r="B967" s="5" t="s">
        <v>679</v>
      </c>
      <c r="C967" s="6" t="s">
        <v>1923</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2343</v>
      </c>
      <c r="B968" s="5" t="s">
        <v>673</v>
      </c>
      <c r="C968" s="6" t="s">
        <v>2344</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2345</v>
      </c>
      <c r="B969" s="5" t="s">
        <v>687</v>
      </c>
      <c r="C969" s="6" t="s">
        <v>2346</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2347</v>
      </c>
      <c r="B970" s="5" t="s">
        <v>689</v>
      </c>
      <c r="C970" s="6" t="s">
        <v>2348</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2349</v>
      </c>
      <c r="B971" s="5" t="s">
        <v>667</v>
      </c>
      <c r="C971" s="6" t="s">
        <v>2350</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2351</v>
      </c>
      <c r="B972" s="5" t="s">
        <v>669</v>
      </c>
      <c r="C972" s="6" t="s">
        <v>2352</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2353</v>
      </c>
      <c r="B973" s="5" t="s">
        <v>683</v>
      </c>
      <c r="C973" s="6" t="s">
        <v>2354</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2355</v>
      </c>
      <c r="B974" s="5" t="s">
        <v>659</v>
      </c>
      <c r="C974" s="6" t="s">
        <v>2356</v>
      </c>
      <c r="D974" s="6" t="str">
        <f>IFERROR(__xludf.DUMMYFUNCTION("GOOGLETRANSLATE(B974, ""en"", ""hi"")"),"अपनी समस्या का वर्णन करें, हम उसे हल करने में आपकी सहायता करेंगे।")</f>
        <v>अपनी समस्या का वर्णन करें, हम उसे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2357</v>
      </c>
      <c r="B975" s="5" t="s">
        <v>2358</v>
      </c>
      <c r="C975" s="6" t="s">
        <v>2359</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2360</v>
      </c>
      <c r="B976" s="5" t="s">
        <v>657</v>
      </c>
      <c r="C976" s="6" t="s">
        <v>2361</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2362</v>
      </c>
      <c r="B977" s="5" t="s">
        <v>675</v>
      </c>
      <c r="C977" s="6" t="s">
        <v>2363</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2364</v>
      </c>
      <c r="B978" s="5" t="s">
        <v>671</v>
      </c>
      <c r="C978" s="6" t="s">
        <v>2365</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2366</v>
      </c>
      <c r="B979" s="5" t="s">
        <v>665</v>
      </c>
      <c r="C979" s="6" t="s">
        <v>2367</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2368</v>
      </c>
      <c r="B980" s="5" t="s">
        <v>2369</v>
      </c>
      <c r="C980" s="6" t="s">
        <v>2370</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2371</v>
      </c>
      <c r="B981" s="5" t="s">
        <v>2372</v>
      </c>
      <c r="C981" s="6" t="s">
        <v>2373</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2374</v>
      </c>
      <c r="B982" s="5" t="s">
        <v>2375</v>
      </c>
      <c r="C982" s="6" t="s">
        <v>2376</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2377</v>
      </c>
      <c r="B983" s="5" t="s">
        <v>2378</v>
      </c>
      <c r="C983" s="6" t="s">
        <v>2379</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2380</v>
      </c>
      <c r="B984" s="5" t="s">
        <v>2381</v>
      </c>
      <c r="C984" s="6" t="s">
        <v>2382</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2383</v>
      </c>
      <c r="B985" s="5" t="s">
        <v>2384</v>
      </c>
      <c r="C985" s="6" t="s">
        <v>2385</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2386</v>
      </c>
      <c r="B986" s="5" t="s">
        <v>2387</v>
      </c>
      <c r="C986" s="6" t="s">
        <v>2388</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2389</v>
      </c>
      <c r="B987" s="5" t="s">
        <v>2390</v>
      </c>
      <c r="C987" s="6" t="s">
        <v>2391</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2392</v>
      </c>
      <c r="B988" s="5" t="s">
        <v>2393</v>
      </c>
      <c r="C988" s="6" t="s">
        <v>2394</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2395</v>
      </c>
      <c r="B989" s="5" t="s">
        <v>2396</v>
      </c>
      <c r="C989" s="6" t="s">
        <v>2397</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2398</v>
      </c>
      <c r="B990" s="5" t="s">
        <v>2399</v>
      </c>
      <c r="C990" s="6" t="s">
        <v>2400</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2401</v>
      </c>
      <c r="B991" s="5" t="s">
        <v>2402</v>
      </c>
      <c r="C991" s="6" t="s">
        <v>2403</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2404</v>
      </c>
      <c r="B992" s="5" t="s">
        <v>2405</v>
      </c>
      <c r="C992" s="6" t="s">
        <v>2406</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2407</v>
      </c>
      <c r="B993" s="5" t="s">
        <v>2408</v>
      </c>
      <c r="C993" s="6" t="s">
        <v>2409</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2410</v>
      </c>
      <c r="B994" s="5" t="s">
        <v>2411</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2412</v>
      </c>
      <c r="B995" s="5" t="s">
        <v>2413</v>
      </c>
      <c r="C995" s="6" t="s">
        <v>2414</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2415</v>
      </c>
      <c r="B996" s="5" t="s">
        <v>2416</v>
      </c>
      <c r="C996" s="6" t="s">
        <v>2417</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2418</v>
      </c>
      <c r="B997" s="5" t="s">
        <v>2419</v>
      </c>
      <c r="C997" s="6" t="s">
        <v>2420</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2421</v>
      </c>
      <c r="B998" s="5" t="s">
        <v>2422</v>
      </c>
      <c r="C998" s="6" t="s">
        <v>2423</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2424</v>
      </c>
      <c r="B999" s="5" t="s">
        <v>2425</v>
      </c>
      <c r="C999" s="6" t="s">
        <v>2426</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2427</v>
      </c>
      <c r="B1000" s="5" t="s">
        <v>2428</v>
      </c>
      <c r="C1000" s="6" t="s">
        <v>2429</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2430</v>
      </c>
      <c r="B1001" s="5" t="s">
        <v>2431</v>
      </c>
      <c r="C1001" s="6" t="s">
        <v>2432</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2433</v>
      </c>
      <c r="B1002" s="5" t="s">
        <v>2434</v>
      </c>
      <c r="C1002" s="6" t="s">
        <v>2435</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മറ്റൊരു വാഹനം തിരഞ്ഞെടുക്കുകയോ {maxKm} കിലോമീറ്ററിൽ താഴെയുള്ള യാത്ര പ്ലാൻ ചെയ്യുകയോ ചെയ്യുക.")</f>
        <v>{vehicleName} പരമാവധി ദൂരം {maxKm} കിലോമീറ്ററാണ്.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2436</v>
      </c>
      <c r="B1003" s="5" t="s">
        <v>2437</v>
      </c>
      <c r="C1003" s="6" t="s">
        <v>2438</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2439</v>
      </c>
      <c r="B1004" s="5" t="s">
        <v>2440</v>
      </c>
      <c r="C1004" s="6" t="s">
        <v>2441</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2442</v>
      </c>
      <c r="B1005" s="5" t="s">
        <v>508</v>
      </c>
      <c r="C1005" s="6" t="s">
        <v>2443</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2444</v>
      </c>
      <c r="B1006" s="5" t="s">
        <v>2445</v>
      </c>
      <c r="C1006" s="6" t="s">
        <v>2446</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2447</v>
      </c>
      <c r="B1007" s="5" t="s">
        <v>2448</v>
      </c>
      <c r="C1007" s="6" t="s">
        <v>2449</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2450</v>
      </c>
      <c r="B1008" s="5" t="s">
        <v>2451</v>
      </c>
      <c r="C1008" s="6" t="s">
        <v>2452</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2453</v>
      </c>
      <c r="B1009" s="5" t="s">
        <v>2454</v>
      </c>
      <c r="C1009" s="6" t="s">
        <v>2455</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2456</v>
      </c>
      <c r="B1010" s="5" t="s">
        <v>2457</v>
      </c>
      <c r="C1010" s="6" t="s">
        <v>2458</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2459</v>
      </c>
      <c r="B1011" s="5" t="s">
        <v>653</v>
      </c>
      <c r="C1011" s="6" t="s">
        <v>2460</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2461</v>
      </c>
      <c r="B1012" s="5" t="s">
        <v>2462</v>
      </c>
      <c r="C1012" s="6" t="s">
        <v>2463</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2464</v>
      </c>
      <c r="B1013" s="5" t="s">
        <v>2465</v>
      </c>
      <c r="C1013" s="6" t="s">
        <v>2466</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2467</v>
      </c>
      <c r="B1014" s="5" t="s">
        <v>2468</v>
      </c>
      <c r="C1014" s="6" t="s">
        <v>2469</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2470</v>
      </c>
      <c r="B1015" s="5" t="s">
        <v>2471</v>
      </c>
      <c r="C1015" s="6" t="s">
        <v>2472</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2473</v>
      </c>
      <c r="B1016" s="5" t="s">
        <v>2474</v>
      </c>
      <c r="C1016" s="6" t="s">
        <v>2475</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2476</v>
      </c>
      <c r="B1017" s="5" t="s">
        <v>2477</v>
      </c>
      <c r="C1017" s="6" t="s">
        <v>2478</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2479</v>
      </c>
      <c r="B1018" s="5" t="s">
        <v>2480</v>
      </c>
      <c r="C1018" s="6" t="s">
        <v>2481</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2482</v>
      </c>
      <c r="B1019" s="5" t="s">
        <v>2483</v>
      </c>
      <c r="C1019" s="6" t="s">
        <v>2484</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2485</v>
      </c>
      <c r="B1020" s="5" t="s">
        <v>2486</v>
      </c>
      <c r="C1020" s="6" t="s">
        <v>2487</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2488</v>
      </c>
      <c r="B1021" s="5" t="s">
        <v>2489</v>
      </c>
      <c r="C1021" s="6" t="s">
        <v>2490</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2491</v>
      </c>
      <c r="B1022" s="5" t="s">
        <v>2492</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2493</v>
      </c>
      <c r="B1023" s="5" t="s">
        <v>2494</v>
      </c>
      <c r="C1023" s="6" t="s">
        <v>2494</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2495</v>
      </c>
      <c r="B1024" s="5" t="s">
        <v>2496</v>
      </c>
      <c r="C1024" s="6" t="s">
        <v>2497</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2498</v>
      </c>
      <c r="B1025" s="5" t="s">
        <v>2499</v>
      </c>
      <c r="C1025" s="6" t="s">
        <v>2500</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2501</v>
      </c>
      <c r="B1026" s="5" t="s">
        <v>2502</v>
      </c>
      <c r="C1026" s="6" t="s">
        <v>2502</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2503</v>
      </c>
      <c r="B1027" s="5" t="s">
        <v>2504</v>
      </c>
      <c r="C1027" s="6" t="s">
        <v>2505</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2506</v>
      </c>
      <c r="B1028" s="5" t="s">
        <v>2507</v>
      </c>
      <c r="C1028" s="6" t="s">
        <v>2508</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2509</v>
      </c>
      <c r="B1029" s="5" t="s">
        <v>2510</v>
      </c>
      <c r="C1029" s="6" t="s">
        <v>2511</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2512</v>
      </c>
      <c r="B1030" s="5" t="s">
        <v>2513</v>
      </c>
      <c r="C1030" s="6" t="s">
        <v>2514</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2515</v>
      </c>
      <c r="B1031" s="5" t="s">
        <v>2516</v>
      </c>
      <c r="C1031" s="6" t="s">
        <v>2517</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2518</v>
      </c>
      <c r="B1032" s="5" t="s">
        <v>2519</v>
      </c>
      <c r="C1032" s="6" t="s">
        <v>2520</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2521</v>
      </c>
      <c r="B1033" s="5" t="s">
        <v>2522</v>
      </c>
      <c r="C1033" s="6" t="s">
        <v>2523</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2524</v>
      </c>
      <c r="B1034" s="5" t="s">
        <v>2525</v>
      </c>
      <c r="C1034" s="6" t="s">
        <v>2526</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2527</v>
      </c>
      <c r="B1035" s="12" t="s">
        <v>2528</v>
      </c>
      <c r="C1035" s="15" t="s">
        <v>2529</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2530</v>
      </c>
      <c r="B1036" s="5" t="s">
        <v>2531</v>
      </c>
      <c r="C1036" s="6" t="s">
        <v>2532</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2533</v>
      </c>
      <c r="B1037" s="5" t="s">
        <v>2534</v>
      </c>
      <c r="C1037" s="6" t="s">
        <v>2535</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2536</v>
      </c>
      <c r="B1038" s="5" t="s">
        <v>2537</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2538</v>
      </c>
      <c r="B1039" s="5" t="s">
        <v>2539</v>
      </c>
      <c r="C1039" s="6" t="s">
        <v>2540</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2541</v>
      </c>
      <c r="B1040" s="12" t="s">
        <v>2542</v>
      </c>
      <c r="C1040" s="6" t="s">
        <v>2543</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2544</v>
      </c>
      <c r="B1041" s="12" t="s">
        <v>943</v>
      </c>
      <c r="C1041" s="6" t="s">
        <v>2545</v>
      </c>
      <c r="D1041" s="6" t="str">
        <f>IFERROR(__xludf.DUMMYFUNCTION("GOOGLETRANSLATE(B1041, ""en"", ""hi"")"),"ड्राइवर बन गया")</f>
        <v>ड्राइवर बन गया</v>
      </c>
      <c r="E1041" s="6" t="str">
        <f>IFERROR(__xludf.DUMMYFUNCTION("GOOGLETRANSLATE(B1041, ""en"", ""kn"")"),"ಚಾಲಕನಾದನು")</f>
        <v>ಚಾಲಕನಾದನು</v>
      </c>
      <c r="F1041" s="7" t="str">
        <f>IFERROR(__xludf.DUMMYFUNCTION("GOOGLETRANSLATE(B1041, ""en"", ""ml"")"),"ഒരു_ഡ്രൈവർ ആയി")</f>
        <v>ഒരു_ഡ്രൈവർ ആയി</v>
      </c>
      <c r="G1041" s="7" t="str">
        <f>IFERROR(__xludf.DUMMYFUNCTION("GOOGLETRANSLATE(B1041, ""en"", ""te"")"),"డ్రైవర్_అయ్యాడు")</f>
        <v>డ్రైవర్_అయ్యాడు</v>
      </c>
    </row>
    <row r="1042">
      <c r="A1042" s="4" t="s">
        <v>2546</v>
      </c>
      <c r="B1042" s="12" t="s">
        <v>2547</v>
      </c>
      <c r="C1042" s="6" t="s">
        <v>2548</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2549</v>
      </c>
      <c r="B1043" s="12" t="s">
        <v>2547</v>
      </c>
      <c r="C1043" s="6" t="s">
        <v>2550</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2551</v>
      </c>
      <c r="B1044" s="12" t="s">
        <v>2547</v>
      </c>
      <c r="C1044" s="6" t="s">
        <v>2552</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2553</v>
      </c>
      <c r="B1045" s="12" t="s">
        <v>2547</v>
      </c>
      <c r="C1045" s="6" t="s">
        <v>2554</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2555</v>
      </c>
      <c r="B1046" s="12" t="s">
        <v>2547</v>
      </c>
      <c r="C1046" s="6" t="s">
        <v>2556</v>
      </c>
      <c r="D1046" s="6" t="str">
        <f>IFERROR(__xludf.DUMMYFUNCTION("GOOGLETRANSLATE(B1046, ""en"", ""hi"")"),"स्वागत")</f>
        <v>स्वागत</v>
      </c>
      <c r="E1046" s="6" t="str">
        <f>IFERROR(__xludf.DUMMYFUNCTION("GOOGLETRANSLATE(B1046, ""en"", ""kn"")"),"ಸ್ವಾಗತ")</f>
        <v>ಸ್ವಾಗತ</v>
      </c>
      <c r="F1046" s="7" t="str">
        <f>IFERROR(__xludf.DUMMYFUNCTION("GOOGLETRANSLATE(B1046, ""en"", ""ml"")"),"സ്വാഗതം")</f>
        <v>സ്വാഗതം</v>
      </c>
      <c r="G1046" s="7" t="str">
        <f>IFERROR(__xludf.DUMMYFUNCTION("GOOGLETRANSLATE(B1046, ""en"", ""te"")"),"స్వాగతం")</f>
        <v>స్వాగతం</v>
      </c>
    </row>
    <row r="1047">
      <c r="A1047" s="4" t="s">
        <v>2557</v>
      </c>
      <c r="B1047" s="12" t="s">
        <v>2547</v>
      </c>
      <c r="C1047" s="6" t="s">
        <v>2558</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2559</v>
      </c>
      <c r="B1048" s="12" t="s">
        <v>2547</v>
      </c>
      <c r="C1048" s="6" t="s">
        <v>2560</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2561</v>
      </c>
      <c r="B1049" s="5" t="s">
        <v>2562</v>
      </c>
      <c r="C1049" s="6" t="s">
        <v>2563</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2564</v>
      </c>
      <c r="B1050" s="5" t="s">
        <v>2565</v>
      </c>
      <c r="C1050" s="6" t="s">
        <v>2566</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2567</v>
      </c>
      <c r="B1051" s="5" t="s">
        <v>2568</v>
      </c>
      <c r="C1051" s="6" t="s">
        <v>2569</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2570</v>
      </c>
      <c r="B1052" s="5" t="s">
        <v>2571</v>
      </c>
      <c r="C1052" s="6" t="s">
        <v>2572</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2573</v>
      </c>
      <c r="B1053" s="5" t="s">
        <v>2574</v>
      </c>
      <c r="C1053" s="6" t="s">
        <v>2575</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2576</v>
      </c>
      <c r="B1054" s="5" t="s">
        <v>2577</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2578</v>
      </c>
      <c r="B1055" s="5" t="s">
        <v>2579</v>
      </c>
      <c r="C1055" s="6" t="s">
        <v>2580</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2581</v>
      </c>
      <c r="B1056" s="5" t="s">
        <v>2582</v>
      </c>
      <c r="C1056" s="6" t="s">
        <v>2583</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2584</v>
      </c>
      <c r="B1057" s="5" t="s">
        <v>2585</v>
      </c>
      <c r="C1057" s="6" t="s">
        <v>2586</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2587</v>
      </c>
      <c r="B1058" s="5" t="s">
        <v>2588</v>
      </c>
      <c r="C1058" s="6" t="s">
        <v>2589</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2590</v>
      </c>
      <c r="B1059" s="5" t="s">
        <v>2591</v>
      </c>
      <c r="C1059" s="6" t="s">
        <v>2592</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2593</v>
      </c>
      <c r="B1060" s="5" t="s">
        <v>2594</v>
      </c>
      <c r="C1060" s="6" t="s">
        <v>2595</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2596</v>
      </c>
      <c r="B1061" s="5" t="s">
        <v>2597</v>
      </c>
      <c r="C1061" s="6" t="s">
        <v>2598</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2599</v>
      </c>
      <c r="B1062" s="5" t="s">
        <v>2600</v>
      </c>
      <c r="C1062" s="6" t="s">
        <v>2601</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2602</v>
      </c>
      <c r="B1063" s="5" t="s">
        <v>2603</v>
      </c>
      <c r="C1063" s="6" t="s">
        <v>2604</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4"/>
      <c r="B1064" s="5"/>
      <c r="C1064" s="6"/>
      <c r="D1064" s="6"/>
      <c r="E1064" s="6"/>
    </row>
    <row r="1065">
      <c r="A1065" s="4"/>
      <c r="B1065" s="5"/>
      <c r="C1065" s="6"/>
      <c r="D1065" s="6"/>
      <c r="E1065" s="6"/>
    </row>
    <row r="1066">
      <c r="A1066" s="4"/>
      <c r="B1066" s="5"/>
      <c r="C1066" s="6"/>
      <c r="D1066" s="6"/>
      <c r="E1066" s="6"/>
    </row>
    <row r="1067">
      <c r="A1067" s="4"/>
      <c r="B1067" s="5"/>
      <c r="C1067" s="6"/>
      <c r="D1067" s="6"/>
      <c r="E1067" s="6"/>
    </row>
    <row r="1068">
      <c r="A1068" s="4"/>
      <c r="B1068" s="5"/>
      <c r="C1068" s="6"/>
      <c r="D1068" s="6"/>
      <c r="E1068" s="6"/>
    </row>
    <row r="1069">
      <c r="A1069" s="4"/>
      <c r="B1069" s="5"/>
      <c r="C1069" s="6"/>
      <c r="D1069" s="6"/>
      <c r="E1069" s="6"/>
    </row>
    <row r="1070">
      <c r="A1070" s="4"/>
      <c r="B1070" s="5"/>
      <c r="C1070" s="6"/>
      <c r="D1070" s="6"/>
      <c r="E1070" s="6"/>
    </row>
    <row r="1071">
      <c r="A1071" s="4"/>
      <c r="B1071" s="5"/>
      <c r="C1071" s="6"/>
      <c r="D1071" s="6"/>
      <c r="E1071" s="6"/>
    </row>
    <row r="1072">
      <c r="A1072" s="4"/>
      <c r="B1072" s="5"/>
      <c r="C1072" s="6"/>
      <c r="D1072" s="6"/>
      <c r="E1072" s="6"/>
    </row>
    <row r="1073">
      <c r="A1073" s="4"/>
      <c r="B1073" s="5"/>
      <c r="C1073" s="6"/>
      <c r="D1073" s="6"/>
      <c r="E1073" s="6"/>
    </row>
    <row r="1074">
      <c r="A1074" s="4"/>
      <c r="B1074" s="5"/>
      <c r="C1074" s="6"/>
      <c r="D1074" s="6"/>
      <c r="E1074" s="6"/>
    </row>
    <row r="1075">
      <c r="A1075" s="4"/>
      <c r="B1075" s="5"/>
      <c r="C1075" s="6"/>
      <c r="D1075" s="6"/>
      <c r="E1075" s="6"/>
    </row>
    <row r="1076">
      <c r="A1076" s="4"/>
      <c r="B1076" s="5"/>
      <c r="C1076" s="6"/>
      <c r="D1076" s="6"/>
      <c r="E1076" s="6"/>
    </row>
    <row r="1077">
      <c r="A1077" s="4"/>
      <c r="B1077" s="5"/>
      <c r="C1077" s="6"/>
      <c r="D1077" s="6"/>
      <c r="E1077" s="6"/>
    </row>
    <row r="1078">
      <c r="A1078" s="4"/>
      <c r="B1078" s="5"/>
      <c r="C1078" s="6"/>
      <c r="D1078" s="6"/>
      <c r="E1078" s="6"/>
    </row>
    <row r="1079">
      <c r="A1079" s="4"/>
      <c r="B1079" s="5"/>
      <c r="C1079" s="6"/>
      <c r="D1079" s="6"/>
      <c r="E1079" s="6"/>
    </row>
    <row r="1080">
      <c r="A1080" s="8"/>
      <c r="B1080" s="9"/>
      <c r="C1080" s="6"/>
      <c r="D1080" s="6"/>
      <c r="E1080" s="6"/>
    </row>
    <row r="1081">
      <c r="A1081" s="8"/>
      <c r="B1081" s="6"/>
      <c r="C1081" s="6"/>
      <c r="D1081" s="6"/>
      <c r="E1081" s="6"/>
    </row>
    <row r="1082">
      <c r="A1082" s="8"/>
      <c r="B1082" s="6"/>
      <c r="C1082" s="6"/>
      <c r="D1082" s="6"/>
      <c r="E1082" s="6"/>
    </row>
    <row r="1083">
      <c r="A1083" s="8"/>
      <c r="B1083" s="6"/>
      <c r="C1083" s="6"/>
      <c r="D1083" s="6"/>
      <c r="E1083" s="6"/>
    </row>
    <row r="1084">
      <c r="A1084" s="8"/>
      <c r="B1084" s="6"/>
      <c r="C1084" s="6"/>
      <c r="D1084" s="6"/>
      <c r="E1084" s="6"/>
    </row>
    <row r="1085">
      <c r="A1085" s="10"/>
      <c r="B1085" s="6"/>
      <c r="C1085" s="6"/>
      <c r="D1085" s="6"/>
      <c r="E1085" s="6"/>
    </row>
    <row r="1086">
      <c r="A1086" s="8"/>
      <c r="B1086" s="6"/>
      <c r="C1086" s="6"/>
      <c r="D1086" s="6"/>
      <c r="E1086" s="6"/>
    </row>
    <row r="1087">
      <c r="A1087" s="8"/>
      <c r="B1087" s="6"/>
      <c r="C1087" s="6"/>
      <c r="D1087" s="6"/>
      <c r="E1087" s="6"/>
    </row>
    <row r="1088">
      <c r="A1088" s="8"/>
      <c r="B1088" s="6"/>
      <c r="C1088" s="6"/>
      <c r="D1088" s="6"/>
      <c r="E1088" s="6"/>
    </row>
    <row r="1089">
      <c r="A1089" s="8"/>
      <c r="B1089" s="6"/>
      <c r="C1089" s="6"/>
      <c r="D1089" s="6"/>
      <c r="E1089" s="6"/>
    </row>
    <row r="1090">
      <c r="A1090" s="8"/>
      <c r="B1090" s="6"/>
      <c r="C1090" s="6"/>
      <c r="D1090" s="6"/>
      <c r="E1090" s="6"/>
    </row>
    <row r="1091">
      <c r="A1091" s="8"/>
      <c r="B1091" s="6"/>
      <c r="C1091" s="6"/>
      <c r="D1091" s="6"/>
      <c r="E1091" s="6"/>
    </row>
    <row r="1092">
      <c r="A1092" s="4"/>
      <c r="B1092" s="5"/>
      <c r="C1092" s="6"/>
      <c r="D1092" s="6"/>
      <c r="E1092" s="6"/>
    </row>
    <row r="1093">
      <c r="A1093" s="10"/>
      <c r="B1093" s="5"/>
      <c r="C1093" s="6"/>
      <c r="D1093" s="6"/>
      <c r="E1093" s="6"/>
    </row>
    <row r="1094">
      <c r="A1094" s="10"/>
      <c r="B1094" s="5"/>
      <c r="C1094" s="6"/>
      <c r="D1094" s="6"/>
      <c r="E1094" s="6"/>
    </row>
    <row r="1095">
      <c r="A1095" s="10"/>
      <c r="B1095" s="5"/>
      <c r="C1095" s="6"/>
      <c r="D1095" s="6"/>
      <c r="E1095" s="6"/>
    </row>
    <row r="1096">
      <c r="A1096" s="10"/>
      <c r="B1096" s="5"/>
      <c r="C1096" s="6"/>
      <c r="D1096" s="6"/>
      <c r="E1096" s="6"/>
    </row>
    <row r="1097">
      <c r="A1097" s="10"/>
      <c r="B1097" s="5"/>
      <c r="C1097" s="6"/>
      <c r="D1097" s="6"/>
      <c r="E1097" s="6"/>
    </row>
    <row r="1098">
      <c r="A1098" s="10"/>
      <c r="B1098" s="5"/>
      <c r="C1098" s="6"/>
      <c r="D1098" s="6"/>
      <c r="E1098" s="6"/>
    </row>
    <row r="1099">
      <c r="A1099" s="10"/>
      <c r="B1099" s="5"/>
      <c r="C1099" s="6"/>
      <c r="D1099" s="6"/>
      <c r="E1099" s="6"/>
    </row>
    <row r="1100">
      <c r="A1100" s="10"/>
      <c r="B1100" s="5"/>
      <c r="C1100" s="6"/>
      <c r="D1100" s="6"/>
      <c r="E1100" s="6"/>
    </row>
    <row r="1101">
      <c r="A1101" s="10"/>
      <c r="B1101" s="5"/>
      <c r="C1101" s="6"/>
      <c r="D1101" s="6"/>
      <c r="E1101" s="6"/>
    </row>
    <row r="1102">
      <c r="A1102" s="10"/>
      <c r="B1102" s="5"/>
      <c r="C1102" s="6"/>
      <c r="D1102" s="6"/>
      <c r="E1102" s="6"/>
    </row>
    <row r="1103">
      <c r="A1103" s="10"/>
      <c r="B1103" s="5"/>
      <c r="C1103" s="6"/>
      <c r="D1103" s="6"/>
      <c r="E1103" s="6"/>
    </row>
    <row r="1104">
      <c r="A1104" s="10"/>
      <c r="B1104" s="5"/>
      <c r="C1104" s="6"/>
      <c r="D1104" s="6"/>
      <c r="E1104" s="6"/>
    </row>
    <row r="1105">
      <c r="A1105" s="4"/>
      <c r="B1105" s="5"/>
      <c r="C1105" s="6"/>
      <c r="D1105" s="6"/>
      <c r="E1105" s="6"/>
    </row>
    <row r="1106">
      <c r="A1106" s="4"/>
      <c r="B1106" s="5"/>
      <c r="C1106" s="6"/>
      <c r="D1106" s="6"/>
      <c r="E1106" s="6"/>
    </row>
    <row r="1107">
      <c r="A1107" s="4"/>
      <c r="B1107" s="5"/>
      <c r="C1107" s="6"/>
      <c r="D1107" s="6"/>
      <c r="E1107" s="6"/>
    </row>
    <row r="1108">
      <c r="A1108" s="4"/>
      <c r="B1108" s="5"/>
      <c r="C1108" s="6"/>
      <c r="D1108" s="6"/>
      <c r="E1108" s="6"/>
    </row>
    <row r="1109">
      <c r="A1109" s="4"/>
      <c r="B1109" s="5"/>
      <c r="C1109" s="6"/>
      <c r="D1109" s="6"/>
      <c r="E1109" s="6"/>
    </row>
    <row r="1110">
      <c r="A1110" s="4"/>
      <c r="B1110" s="5"/>
      <c r="C1110" s="6"/>
      <c r="D1110" s="6"/>
      <c r="E1110" s="6"/>
    </row>
    <row r="1111">
      <c r="A1111" s="4"/>
      <c r="B1111" s="5"/>
      <c r="C1111" s="6"/>
      <c r="D1111" s="6"/>
      <c r="E1111" s="6"/>
    </row>
    <row r="1112">
      <c r="A1112" s="4"/>
      <c r="B1112" s="5"/>
      <c r="C1112" s="6"/>
      <c r="D1112" s="6"/>
      <c r="E1112" s="6"/>
    </row>
    <row r="1113">
      <c r="A1113" s="4"/>
      <c r="B1113" s="5"/>
      <c r="C1113" s="6"/>
      <c r="D1113" s="6"/>
      <c r="E1113" s="6"/>
    </row>
    <row r="1114">
      <c r="A1114" s="4"/>
      <c r="B1114" s="5"/>
      <c r="C1114" s="6"/>
      <c r="D1114" s="6"/>
      <c r="E1114" s="6"/>
    </row>
    <row r="1115">
      <c r="A1115" s="4"/>
      <c r="B1115" s="5"/>
      <c r="C1115" s="6"/>
      <c r="D1115" s="6"/>
      <c r="E1115" s="6"/>
    </row>
    <row r="1116">
      <c r="A1116" s="4"/>
      <c r="B1116" s="5"/>
      <c r="C1116" s="6"/>
      <c r="D1116" s="6"/>
      <c r="E1116" s="6"/>
    </row>
    <row r="1117">
      <c r="A1117" s="4"/>
      <c r="B1117" s="5"/>
      <c r="C1117" s="6"/>
      <c r="D1117" s="6"/>
      <c r="E1117" s="6"/>
    </row>
    <row r="1118">
      <c r="A1118" s="4"/>
      <c r="B1118" s="5"/>
      <c r="C1118" s="6"/>
      <c r="D1118" s="6"/>
      <c r="E1118" s="6"/>
    </row>
    <row r="1119">
      <c r="A1119" s="4"/>
      <c r="B1119" s="5"/>
      <c r="C1119" s="6"/>
      <c r="D1119" s="6"/>
      <c r="E1119" s="6"/>
    </row>
    <row r="1120">
      <c r="A1120" s="4"/>
      <c r="B1120" s="5"/>
      <c r="C1120" s="6"/>
      <c r="D1120" s="6"/>
      <c r="E1120" s="6"/>
    </row>
    <row r="1121">
      <c r="A1121" s="4"/>
      <c r="B1121" s="5"/>
      <c r="C1121" s="6"/>
      <c r="D1121" s="6"/>
      <c r="E1121" s="6"/>
    </row>
    <row r="1122">
      <c r="A1122" s="4"/>
      <c r="B1122" s="5"/>
      <c r="C1122" s="6"/>
      <c r="D1122" s="6"/>
      <c r="E1122" s="6"/>
    </row>
    <row r="1123">
      <c r="A1123" s="4"/>
      <c r="B1123" s="5"/>
      <c r="C1123" s="6"/>
      <c r="D1123" s="6"/>
      <c r="E1123" s="6"/>
    </row>
    <row r="1124">
      <c r="A1124" s="4"/>
      <c r="B1124" s="5"/>
      <c r="C1124" s="6"/>
      <c r="D1124" s="6"/>
      <c r="E1124" s="6"/>
    </row>
    <row r="1125">
      <c r="A1125" s="4"/>
      <c r="B1125" s="5"/>
      <c r="C1125" s="6"/>
      <c r="D1125" s="6"/>
      <c r="E1125" s="6"/>
    </row>
    <row r="1126">
      <c r="A1126" s="4"/>
      <c r="B1126" s="5"/>
      <c r="C1126" s="6"/>
      <c r="D1126" s="6"/>
      <c r="E1126" s="6"/>
    </row>
    <row r="1127">
      <c r="A1127" s="4"/>
      <c r="B1127" s="5"/>
      <c r="C1127" s="6"/>
      <c r="D1127" s="6"/>
      <c r="E1127" s="6"/>
    </row>
    <row r="1128">
      <c r="A1128" s="4"/>
      <c r="B1128" s="5"/>
      <c r="C1128" s="6"/>
      <c r="D1128" s="6"/>
      <c r="E1128" s="6"/>
    </row>
    <row r="1129">
      <c r="A1129" s="4"/>
      <c r="B1129" s="5"/>
      <c r="C1129" s="6"/>
      <c r="D1129" s="6"/>
      <c r="E1129" s="6"/>
    </row>
    <row r="1130">
      <c r="A1130" s="4"/>
      <c r="B1130" s="5"/>
      <c r="C1130" s="6"/>
      <c r="D1130" s="6"/>
      <c r="E1130" s="6"/>
    </row>
    <row r="1131">
      <c r="A1131" s="4"/>
      <c r="B1131" s="5"/>
      <c r="C1131" s="6"/>
      <c r="D1131" s="6"/>
      <c r="E1131" s="6"/>
    </row>
    <row r="1132">
      <c r="A1132" s="4"/>
      <c r="B1132" s="5"/>
      <c r="C1132" s="6"/>
      <c r="D1132" s="6"/>
      <c r="E1132" s="6"/>
    </row>
    <row r="1133">
      <c r="A1133" s="4"/>
      <c r="B1133" s="5"/>
      <c r="C1133" s="6"/>
      <c r="D1133" s="6"/>
      <c r="E1133" s="6"/>
    </row>
    <row r="1134">
      <c r="A1134" s="4"/>
      <c r="B1134" s="5"/>
      <c r="C1134" s="6"/>
      <c r="D1134" s="6"/>
      <c r="E1134" s="6"/>
    </row>
    <row r="1135">
      <c r="A1135" s="4"/>
      <c r="B1135" s="5"/>
      <c r="C1135" s="6"/>
      <c r="D1135" s="6"/>
      <c r="E1135" s="6"/>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0"/>
      <c r="B1281" s="9"/>
      <c r="C1281" s="6"/>
      <c r="D1281" s="6"/>
      <c r="E1281" s="6"/>
    </row>
    <row r="1282">
      <c r="A1282" s="10"/>
      <c r="B1282" s="9"/>
      <c r="C1282" s="6"/>
      <c r="D1282" s="6"/>
      <c r="E1282" s="6"/>
    </row>
    <row r="1283">
      <c r="A1283" s="10"/>
      <c r="B1283" s="9"/>
      <c r="C1283" s="6"/>
      <c r="D1283" s="6"/>
      <c r="E1283" s="6"/>
    </row>
    <row r="1284">
      <c r="A1284" s="10"/>
      <c r="B1284" s="9"/>
      <c r="C1284" s="6"/>
      <c r="D1284" s="6"/>
      <c r="E1284" s="6"/>
    </row>
    <row r="1285">
      <c r="A1285" s="10"/>
      <c r="B1285" s="9"/>
      <c r="C1285" s="6"/>
      <c r="D1285" s="6"/>
      <c r="E1285" s="6"/>
    </row>
    <row r="1286">
      <c r="A1286" s="10"/>
      <c r="B1286" s="9"/>
      <c r="C1286" s="6"/>
      <c r="D1286" s="6"/>
      <c r="E1286" s="6"/>
    </row>
    <row r="1287">
      <c r="A1287" s="10"/>
      <c r="B1287" s="9"/>
      <c r="C1287" s="6"/>
      <c r="D1287" s="6"/>
      <c r="E1287" s="6"/>
    </row>
    <row r="1288">
      <c r="A1288" s="10"/>
      <c r="B1288" s="9"/>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0"/>
      <c r="B1364" s="18"/>
      <c r="C1364" s="10"/>
      <c r="D1364" s="10"/>
      <c r="E1364" s="10"/>
    </row>
    <row r="1365">
      <c r="A1365" s="10"/>
      <c r="B1365" s="18"/>
      <c r="C1365" s="10"/>
      <c r="D1365" s="10"/>
      <c r="E1365" s="10"/>
    </row>
    <row r="1366">
      <c r="A1366" s="10"/>
      <c r="B1366" s="18"/>
      <c r="C1366" s="10"/>
      <c r="D1366" s="10"/>
      <c r="E1366" s="10"/>
    </row>
    <row r="1367">
      <c r="A1367" s="10"/>
      <c r="B1367" s="18"/>
      <c r="C1367" s="10"/>
      <c r="D1367" s="10"/>
      <c r="E1367" s="10"/>
    </row>
    <row r="1368">
      <c r="A1368" s="10"/>
      <c r="B1368" s="18"/>
      <c r="C1368" s="10"/>
      <c r="D1368" s="10"/>
      <c r="E1368" s="10"/>
    </row>
    <row r="1369">
      <c r="A1369" s="10"/>
      <c r="B1369" s="18"/>
      <c r="C1369" s="10"/>
      <c r="D1369" s="10"/>
      <c r="E1369" s="10"/>
    </row>
    <row r="1370">
      <c r="A1370" s="10"/>
      <c r="B1370" s="18"/>
      <c r="C1370" s="10"/>
      <c r="D1370" s="10"/>
      <c r="E1370" s="10"/>
    </row>
    <row r="1371">
      <c r="A1371" s="10"/>
      <c r="B1371" s="18"/>
      <c r="C1371" s="10"/>
      <c r="D1371" s="10"/>
      <c r="E1371" s="10"/>
    </row>
    <row r="1372">
      <c r="A1372" s="10"/>
      <c r="B1372" s="18"/>
      <c r="C1372" s="10"/>
      <c r="D1372" s="10"/>
      <c r="E1372" s="10"/>
    </row>
    <row r="1373">
      <c r="A1373" s="10"/>
      <c r="B1373" s="18"/>
      <c r="C1373" s="10"/>
      <c r="D1373" s="10"/>
      <c r="E1373" s="10"/>
    </row>
    <row r="1374">
      <c r="A1374" s="10"/>
      <c r="B1374" s="18"/>
      <c r="C1374" s="10"/>
      <c r="D1374" s="10"/>
      <c r="E1374" s="10"/>
    </row>
    <row r="1375">
      <c r="A1375" s="10"/>
      <c r="B1375" s="18"/>
      <c r="C1375" s="10"/>
      <c r="D1375" s="10"/>
      <c r="E1375" s="10"/>
    </row>
    <row r="1376">
      <c r="A1376" s="10"/>
      <c r="B1376" s="18"/>
      <c r="C1376" s="10"/>
      <c r="D1376" s="10"/>
      <c r="E1376" s="10"/>
    </row>
    <row r="1377">
      <c r="A1377" s="10"/>
      <c r="B1377" s="18"/>
      <c r="C1377" s="10"/>
      <c r="D1377" s="10"/>
      <c r="E1377" s="10"/>
    </row>
    <row r="1378">
      <c r="A1378" s="10"/>
      <c r="B1378" s="18"/>
      <c r="C1378" s="10"/>
      <c r="D1378" s="10"/>
      <c r="E1378" s="10"/>
    </row>
    <row r="1379">
      <c r="A1379" s="10"/>
      <c r="B1379" s="18"/>
      <c r="C1379" s="10"/>
      <c r="D1379" s="10"/>
      <c r="E1379" s="10"/>
    </row>
    <row r="1380">
      <c r="A1380" s="10"/>
      <c r="B1380" s="18"/>
      <c r="C1380" s="10"/>
      <c r="D1380" s="10"/>
      <c r="E1380" s="10"/>
    </row>
    <row r="1381">
      <c r="A1381" s="10"/>
      <c r="B1381" s="18"/>
      <c r="C1381" s="10"/>
      <c r="D1381" s="10"/>
      <c r="E1381" s="10"/>
    </row>
    <row r="1382">
      <c r="A1382" s="10"/>
      <c r="B1382" s="18"/>
      <c r="C1382" s="10"/>
      <c r="D1382" s="10"/>
      <c r="E1382" s="10"/>
    </row>
    <row r="1383">
      <c r="A1383" s="10"/>
      <c r="B1383" s="18"/>
      <c r="C1383" s="10"/>
      <c r="D1383" s="10"/>
      <c r="E1383" s="10"/>
    </row>
    <row r="1384">
      <c r="A1384" s="10"/>
      <c r="B1384" s="18"/>
      <c r="C1384" s="10"/>
      <c r="D1384" s="10"/>
      <c r="E1384" s="10"/>
    </row>
    <row r="1385">
      <c r="A1385" s="10"/>
      <c r="B1385" s="18"/>
      <c r="C1385" s="10"/>
      <c r="D1385" s="10"/>
      <c r="E1385" s="10"/>
    </row>
    <row r="1386">
      <c r="A1386" s="10"/>
      <c r="B1386" s="18"/>
      <c r="C1386" s="10"/>
      <c r="D1386" s="10"/>
      <c r="E1386" s="10"/>
    </row>
    <row r="1387">
      <c r="A1387" s="10"/>
      <c r="B1387" s="18"/>
      <c r="C1387" s="10"/>
      <c r="D1387" s="10"/>
      <c r="E1387" s="10"/>
    </row>
    <row r="1388">
      <c r="A1388" s="10"/>
      <c r="B1388" s="18"/>
      <c r="C1388" s="10"/>
      <c r="D1388" s="10"/>
      <c r="E1388" s="10"/>
    </row>
    <row r="1389">
      <c r="A1389" s="10"/>
      <c r="B1389" s="18"/>
      <c r="C1389" s="10"/>
      <c r="D1389" s="10"/>
      <c r="E1389" s="10"/>
    </row>
    <row r="1390">
      <c r="A1390" s="10"/>
      <c r="B1390" s="18"/>
      <c r="C1390" s="10"/>
      <c r="D1390" s="10"/>
      <c r="E1390" s="10"/>
    </row>
    <row r="1391">
      <c r="A1391" s="10"/>
      <c r="B1391" s="18"/>
      <c r="C1391" s="10"/>
      <c r="D1391" s="10"/>
      <c r="E1391" s="10"/>
    </row>
    <row r="1392">
      <c r="A1392" s="10"/>
      <c r="B1392" s="18"/>
      <c r="C1392" s="10"/>
      <c r="D1392" s="10"/>
      <c r="E1392" s="10"/>
    </row>
    <row r="1393">
      <c r="A1393" s="10"/>
      <c r="B1393" s="18"/>
      <c r="C1393" s="10"/>
      <c r="D1393" s="10"/>
      <c r="E1393" s="10"/>
    </row>
    <row r="1394">
      <c r="A1394" s="10"/>
      <c r="B1394" s="18"/>
      <c r="C1394" s="10"/>
      <c r="D1394" s="10"/>
      <c r="E1394" s="10"/>
    </row>
    <row r="1395">
      <c r="A1395" s="10"/>
      <c r="B1395" s="18"/>
      <c r="C1395" s="10"/>
      <c r="D1395" s="10"/>
      <c r="E1395" s="10"/>
    </row>
    <row r="1396">
      <c r="A1396" s="10"/>
      <c r="B1396" s="18"/>
      <c r="C1396" s="10"/>
      <c r="D1396" s="10"/>
      <c r="E1396" s="10"/>
    </row>
    <row r="1397">
      <c r="A1397" s="10"/>
      <c r="B1397" s="18"/>
      <c r="C1397" s="10"/>
      <c r="D1397" s="10"/>
      <c r="E1397" s="10"/>
    </row>
    <row r="1398">
      <c r="A1398" s="10"/>
      <c r="B1398" s="18"/>
      <c r="C1398" s="10"/>
      <c r="D1398" s="10"/>
      <c r="E1398" s="10"/>
    </row>
    <row r="1399">
      <c r="A1399" s="10"/>
      <c r="B1399" s="18"/>
      <c r="C1399" s="10"/>
      <c r="D1399" s="10"/>
      <c r="E1399" s="10"/>
    </row>
    <row r="1400">
      <c r="A1400" s="10"/>
      <c r="B1400" s="18"/>
      <c r="C1400" s="10"/>
      <c r="D1400" s="10"/>
      <c r="E1400" s="10"/>
    </row>
    <row r="1401">
      <c r="A1401" s="10"/>
      <c r="B1401" s="18"/>
      <c r="C1401" s="10"/>
      <c r="D1401" s="10"/>
      <c r="E1401" s="10"/>
    </row>
    <row r="1402">
      <c r="A1402" s="10"/>
      <c r="B1402" s="18"/>
      <c r="C1402" s="10"/>
      <c r="D1402" s="10"/>
      <c r="E1402" s="10"/>
    </row>
    <row r="1403">
      <c r="A1403" s="10"/>
      <c r="B1403" s="18"/>
      <c r="C1403" s="10"/>
      <c r="D1403" s="10"/>
      <c r="E1403" s="10"/>
    </row>
    <row r="1404">
      <c r="A1404" s="10"/>
      <c r="B1404" s="18"/>
      <c r="C1404" s="10"/>
      <c r="D1404" s="10"/>
      <c r="E1404" s="10"/>
    </row>
    <row r="1405">
      <c r="A1405" s="10"/>
      <c r="B1405" s="18"/>
      <c r="C1405" s="10"/>
      <c r="D1405" s="10"/>
      <c r="E1405" s="10"/>
    </row>
    <row r="1406">
      <c r="A1406" s="10"/>
      <c r="B1406" s="18"/>
      <c r="C1406" s="10"/>
      <c r="D1406" s="10"/>
      <c r="E1406" s="10"/>
    </row>
    <row r="1407">
      <c r="A1407" s="10"/>
      <c r="B1407" s="18"/>
      <c r="C1407" s="10"/>
      <c r="D1407" s="10"/>
      <c r="E1407" s="10"/>
    </row>
    <row r="1408">
      <c r="A1408" s="10"/>
      <c r="B1408" s="18"/>
      <c r="C1408" s="10"/>
      <c r="D1408" s="10"/>
      <c r="E1408" s="10"/>
    </row>
    <row r="1409">
      <c r="A1409" s="10"/>
      <c r="B1409" s="18"/>
      <c r="C1409" s="10"/>
      <c r="D1409" s="10"/>
      <c r="E1409" s="10"/>
    </row>
    <row r="1410">
      <c r="A1410" s="10"/>
      <c r="B1410" s="18"/>
      <c r="C1410" s="10"/>
      <c r="D1410" s="10"/>
      <c r="E1410" s="10"/>
    </row>
    <row r="1411">
      <c r="A1411" s="10"/>
      <c r="B1411" s="18"/>
      <c r="C1411" s="10"/>
      <c r="D1411" s="10"/>
      <c r="E1411" s="10"/>
    </row>
    <row r="1412">
      <c r="A1412" s="10"/>
      <c r="B1412" s="18"/>
      <c r="C1412" s="10"/>
      <c r="D1412" s="10"/>
      <c r="E1412" s="10"/>
    </row>
    <row r="1413">
      <c r="A1413" s="10"/>
      <c r="B1413" s="18"/>
      <c r="C1413" s="10"/>
      <c r="D1413" s="10"/>
      <c r="E1413" s="10"/>
    </row>
    <row r="1414">
      <c r="A1414" s="10"/>
      <c r="B1414" s="18"/>
      <c r="C1414" s="10"/>
      <c r="D1414" s="10"/>
      <c r="E1414" s="10"/>
    </row>
    <row r="1415">
      <c r="A1415" s="10"/>
      <c r="B1415" s="18"/>
      <c r="C1415" s="10"/>
      <c r="D1415" s="10"/>
      <c r="E1415" s="10"/>
    </row>
    <row r="1416">
      <c r="A1416" s="10"/>
      <c r="B1416" s="18"/>
      <c r="C1416" s="10"/>
      <c r="D1416" s="10"/>
      <c r="E1416" s="10"/>
    </row>
    <row r="1417">
      <c r="A1417" s="10"/>
      <c r="B1417" s="18"/>
      <c r="C1417" s="10"/>
      <c r="D1417" s="10"/>
      <c r="E1417" s="10"/>
    </row>
    <row r="1418">
      <c r="A1418" s="10"/>
      <c r="B1418" s="18"/>
      <c r="C1418" s="10"/>
      <c r="D1418" s="10"/>
      <c r="E1418" s="10"/>
    </row>
    <row r="1419">
      <c r="A1419" s="10"/>
      <c r="B1419" s="18"/>
      <c r="C1419" s="10"/>
      <c r="D1419" s="10"/>
      <c r="E1419" s="10"/>
    </row>
    <row r="1420">
      <c r="A1420" s="10"/>
      <c r="B1420" s="18"/>
      <c r="C1420" s="10"/>
      <c r="D1420" s="10"/>
      <c r="E1420" s="10"/>
    </row>
    <row r="1421">
      <c r="A1421" s="10"/>
      <c r="B1421" s="18"/>
      <c r="C1421" s="10"/>
      <c r="D1421" s="10"/>
      <c r="E1421" s="10"/>
    </row>
    <row r="1422">
      <c r="A1422" s="10"/>
      <c r="B1422" s="18"/>
      <c r="C1422" s="10"/>
      <c r="D1422" s="10"/>
      <c r="E1422" s="10"/>
    </row>
    <row r="1423">
      <c r="A1423" s="10"/>
      <c r="B1423" s="18"/>
      <c r="C1423" s="10"/>
      <c r="D1423" s="10"/>
      <c r="E1423" s="10"/>
    </row>
    <row r="1424">
      <c r="A1424" s="10"/>
      <c r="B1424" s="18"/>
      <c r="C1424" s="10"/>
      <c r="D1424" s="10"/>
      <c r="E1424" s="10"/>
    </row>
    <row r="1425">
      <c r="A1425" s="10"/>
      <c r="B1425" s="18"/>
      <c r="C1425" s="10"/>
      <c r="D1425" s="10"/>
      <c r="E1425" s="10"/>
    </row>
    <row r="1426">
      <c r="A1426" s="10"/>
      <c r="B1426" s="18"/>
      <c r="C1426" s="10"/>
      <c r="D1426" s="10"/>
      <c r="E1426" s="10"/>
    </row>
    <row r="1427">
      <c r="A1427" s="10"/>
      <c r="B1427" s="18"/>
      <c r="C1427" s="10"/>
      <c r="D1427" s="10"/>
      <c r="E1427" s="10"/>
    </row>
    <row r="1428">
      <c r="A1428" s="10"/>
      <c r="B1428" s="18"/>
      <c r="C1428" s="10"/>
      <c r="D1428" s="10"/>
      <c r="E1428" s="10"/>
    </row>
    <row r="1429">
      <c r="A1429" s="10"/>
      <c r="B1429" s="18"/>
      <c r="C1429" s="10"/>
      <c r="D1429" s="10"/>
      <c r="E1429" s="10"/>
    </row>
    <row r="1430">
      <c r="A1430" s="10"/>
      <c r="B1430" s="18"/>
      <c r="C1430" s="10"/>
      <c r="D1430" s="10"/>
      <c r="E1430" s="10"/>
    </row>
    <row r="1431">
      <c r="A1431" s="10"/>
      <c r="B1431" s="18"/>
      <c r="C1431" s="10"/>
      <c r="D1431" s="10"/>
      <c r="E1431" s="10"/>
    </row>
    <row r="1432">
      <c r="A1432" s="10"/>
      <c r="B1432" s="18"/>
      <c r="C1432" s="10"/>
      <c r="D1432" s="10"/>
      <c r="E1432" s="10"/>
    </row>
    <row r="1433">
      <c r="A1433" s="10"/>
      <c r="B1433" s="18"/>
      <c r="C1433" s="10"/>
      <c r="D1433" s="10"/>
      <c r="E1433" s="10"/>
    </row>
    <row r="1434">
      <c r="A1434" s="10"/>
      <c r="B1434" s="18"/>
      <c r="C1434" s="10"/>
      <c r="D1434" s="10"/>
      <c r="E1434" s="10"/>
    </row>
    <row r="1435">
      <c r="A1435" s="10"/>
      <c r="B1435" s="18"/>
      <c r="C1435" s="10"/>
      <c r="D1435" s="10"/>
      <c r="E1435" s="10"/>
    </row>
    <row r="1436">
      <c r="A1436" s="10"/>
      <c r="B1436" s="18"/>
      <c r="C1436" s="10"/>
      <c r="D1436" s="10"/>
      <c r="E1436" s="10"/>
    </row>
    <row r="1437">
      <c r="A1437" s="10"/>
      <c r="B1437" s="18"/>
      <c r="C1437" s="10"/>
      <c r="D1437" s="10"/>
      <c r="E1437" s="10"/>
    </row>
    <row r="1438">
      <c r="A1438" s="10"/>
      <c r="B1438" s="18"/>
      <c r="C1438" s="10"/>
      <c r="D1438" s="10"/>
      <c r="E1438" s="10"/>
    </row>
    <row r="1439">
      <c r="A1439" s="10"/>
      <c r="B1439" s="18"/>
      <c r="C1439" s="10"/>
      <c r="D1439" s="10"/>
      <c r="E1439" s="10"/>
    </row>
    <row r="1440">
      <c r="A1440" s="10"/>
      <c r="B1440" s="18"/>
      <c r="C1440" s="10"/>
      <c r="D1440" s="10"/>
      <c r="E1440" s="10"/>
    </row>
    <row r="1441">
      <c r="A1441" s="10"/>
      <c r="B1441" s="18"/>
      <c r="C1441" s="10"/>
      <c r="D1441" s="10"/>
      <c r="E1441" s="10"/>
    </row>
    <row r="1442">
      <c r="A1442" s="10"/>
      <c r="B1442" s="18"/>
      <c r="C1442" s="10"/>
      <c r="D1442" s="10"/>
      <c r="E1442" s="10"/>
    </row>
    <row r="1443">
      <c r="A1443" s="10"/>
      <c r="B1443" s="18"/>
      <c r="C1443" s="10"/>
      <c r="D1443" s="10"/>
      <c r="E1443" s="10"/>
    </row>
    <row r="1444">
      <c r="A1444" s="10"/>
      <c r="B1444" s="18"/>
      <c r="C1444" s="10"/>
      <c r="D1444" s="10"/>
      <c r="E1444" s="10"/>
    </row>
    <row r="1445">
      <c r="A1445" s="10"/>
      <c r="B1445" s="18"/>
      <c r="C1445" s="10"/>
      <c r="D1445" s="10"/>
      <c r="E1445" s="10"/>
    </row>
    <row r="1446">
      <c r="A1446" s="10"/>
      <c r="B1446" s="18"/>
      <c r="C1446" s="10"/>
      <c r="D1446" s="10"/>
      <c r="E1446" s="10"/>
    </row>
    <row r="1447">
      <c r="A1447" s="10"/>
      <c r="B1447" s="18"/>
      <c r="C1447" s="10"/>
      <c r="D1447" s="10"/>
      <c r="E1447" s="10"/>
    </row>
    <row r="1448">
      <c r="A1448" s="10"/>
      <c r="B1448" s="18"/>
      <c r="C1448" s="10"/>
      <c r="D1448" s="10"/>
      <c r="E1448" s="10"/>
    </row>
    <row r="1449">
      <c r="A1449" s="10"/>
      <c r="B1449" s="18"/>
      <c r="C1449" s="10"/>
      <c r="D1449" s="10"/>
      <c r="E1449" s="10"/>
    </row>
    <row r="1450">
      <c r="A1450" s="10"/>
      <c r="B1450" s="18"/>
      <c r="C1450" s="10"/>
      <c r="D1450" s="10"/>
      <c r="E1450" s="10"/>
    </row>
    <row r="1451">
      <c r="A1451" s="10"/>
      <c r="B1451" s="18"/>
      <c r="C1451" s="10"/>
      <c r="D1451" s="10"/>
      <c r="E1451" s="10"/>
    </row>
    <row r="1452">
      <c r="A1452" s="10"/>
      <c r="B1452" s="18"/>
      <c r="C1452" s="10"/>
      <c r="D1452" s="10"/>
      <c r="E1452" s="10"/>
    </row>
    <row r="1453">
      <c r="A1453" s="10"/>
      <c r="B1453" s="18"/>
      <c r="C1453" s="10"/>
      <c r="D1453" s="10"/>
      <c r="E1453" s="10"/>
    </row>
    <row r="1454">
      <c r="A1454" s="10"/>
      <c r="B1454" s="18"/>
      <c r="C1454" s="10"/>
      <c r="D1454" s="10"/>
      <c r="E1454" s="10"/>
    </row>
    <row r="1455">
      <c r="A1455" s="10"/>
      <c r="B1455" s="18"/>
      <c r="C1455" s="10"/>
      <c r="D1455" s="10"/>
      <c r="E1455" s="10"/>
    </row>
    <row r="1456">
      <c r="A1456" s="10"/>
      <c r="B1456" s="18"/>
      <c r="C1456" s="10"/>
      <c r="D1456" s="10"/>
      <c r="E1456" s="10"/>
    </row>
    <row r="1457">
      <c r="A1457" s="10"/>
      <c r="B1457" s="18"/>
      <c r="C1457" s="10"/>
      <c r="D1457" s="10"/>
      <c r="E1457" s="10"/>
    </row>
    <row r="1458">
      <c r="A1458" s="10"/>
      <c r="B1458" s="18"/>
      <c r="C1458" s="10"/>
      <c r="D1458" s="10"/>
      <c r="E1458" s="10"/>
    </row>
    <row r="1459">
      <c r="A1459" s="10"/>
      <c r="B1459" s="18"/>
      <c r="C1459" s="10"/>
      <c r="D1459" s="10"/>
      <c r="E1459" s="10"/>
    </row>
    <row r="1460">
      <c r="A1460" s="10"/>
      <c r="B1460" s="18"/>
      <c r="C1460" s="10"/>
      <c r="D1460" s="10"/>
      <c r="E1460" s="10"/>
    </row>
    <row r="1461">
      <c r="A1461" s="10"/>
      <c r="B1461" s="18"/>
      <c r="C1461" s="10"/>
      <c r="D1461" s="10"/>
      <c r="E1461" s="10"/>
    </row>
    <row r="1462">
      <c r="A1462" s="10"/>
      <c r="B1462" s="18"/>
      <c r="C1462" s="10"/>
      <c r="D1462" s="10"/>
      <c r="E1462" s="10"/>
    </row>
    <row r="1463">
      <c r="A1463" s="10"/>
      <c r="B1463" s="18"/>
      <c r="C1463" s="10"/>
      <c r="D1463" s="10"/>
      <c r="E1463" s="10"/>
    </row>
    <row r="1464">
      <c r="A1464" s="10"/>
      <c r="B1464" s="18"/>
      <c r="C1464" s="10"/>
      <c r="D1464" s="10"/>
      <c r="E1464" s="10"/>
    </row>
    <row r="1465">
      <c r="A1465" s="10"/>
      <c r="B1465" s="18"/>
      <c r="C1465" s="10"/>
      <c r="D1465" s="10"/>
      <c r="E1465" s="10"/>
    </row>
    <row r="1466">
      <c r="A1466" s="10"/>
      <c r="B1466" s="18"/>
      <c r="C1466" s="10"/>
      <c r="D1466" s="10"/>
      <c r="E1466" s="10"/>
    </row>
    <row r="1467">
      <c r="A1467" s="10"/>
      <c r="B1467" s="18"/>
      <c r="C1467" s="10"/>
      <c r="D1467" s="10"/>
      <c r="E1467" s="10"/>
    </row>
    <row r="1468">
      <c r="A1468" s="10"/>
      <c r="B1468" s="18"/>
      <c r="C1468" s="10"/>
      <c r="D1468" s="10"/>
      <c r="E1468" s="10"/>
    </row>
    <row r="1469">
      <c r="A1469" s="10"/>
      <c r="B1469" s="18"/>
      <c r="C1469" s="10"/>
      <c r="D1469" s="10"/>
      <c r="E1469" s="10"/>
    </row>
    <row r="1470">
      <c r="A1470" s="10"/>
      <c r="B1470" s="18"/>
      <c r="C1470" s="10"/>
      <c r="D1470" s="10"/>
      <c r="E1470" s="10"/>
    </row>
    <row r="1471">
      <c r="A1471" s="10"/>
      <c r="B1471" s="18"/>
      <c r="C1471" s="10"/>
      <c r="D1471" s="10"/>
      <c r="E1471" s="10"/>
    </row>
    <row r="1472">
      <c r="A1472" s="10"/>
      <c r="B1472" s="18"/>
      <c r="C1472" s="10"/>
      <c r="D1472" s="10"/>
      <c r="E1472" s="10"/>
    </row>
    <row r="1473">
      <c r="A1473" s="10"/>
      <c r="B1473" s="18"/>
      <c r="C1473" s="10"/>
      <c r="D1473" s="10"/>
      <c r="E1473" s="10"/>
    </row>
    <row r="1474">
      <c r="A1474" s="10"/>
      <c r="B1474" s="18"/>
      <c r="C1474" s="10"/>
      <c r="D1474" s="10"/>
      <c r="E1474" s="10"/>
    </row>
    <row r="1475">
      <c r="A1475" s="10"/>
      <c r="B1475" s="18"/>
      <c r="C1475" s="10"/>
      <c r="D1475" s="10"/>
      <c r="E1475" s="10"/>
    </row>
    <row r="1476">
      <c r="A1476" s="10"/>
      <c r="B1476" s="18"/>
      <c r="C1476" s="10"/>
      <c r="D1476" s="10"/>
      <c r="E1476" s="10"/>
    </row>
    <row r="1477">
      <c r="A1477" s="10"/>
      <c r="B1477" s="18"/>
      <c r="C1477" s="10"/>
      <c r="D1477" s="10"/>
      <c r="E1477" s="10"/>
    </row>
    <row r="1478">
      <c r="A1478" s="10"/>
      <c r="B1478" s="18"/>
      <c r="C1478" s="10"/>
      <c r="D1478" s="10"/>
      <c r="E1478" s="10"/>
    </row>
    <row r="1479">
      <c r="A1479" s="10"/>
      <c r="B1479" s="18"/>
      <c r="C1479" s="10"/>
      <c r="D1479" s="10"/>
      <c r="E1479" s="10"/>
    </row>
    <row r="1480">
      <c r="A1480" s="10"/>
      <c r="B1480" s="18"/>
      <c r="C1480" s="10"/>
      <c r="D1480" s="10"/>
      <c r="E1480" s="10"/>
    </row>
    <row r="1481">
      <c r="A1481" s="10"/>
      <c r="B1481" s="18"/>
      <c r="C1481" s="10"/>
      <c r="D1481" s="10"/>
      <c r="E1481" s="10"/>
    </row>
    <row r="1482">
      <c r="A1482" s="10"/>
      <c r="B1482" s="18"/>
      <c r="C1482" s="10"/>
      <c r="D1482" s="10"/>
      <c r="E1482" s="10"/>
    </row>
    <row r="1483">
      <c r="A1483" s="10"/>
      <c r="B1483" s="18"/>
      <c r="C1483" s="10"/>
      <c r="D1483" s="10"/>
      <c r="E1483" s="10"/>
    </row>
    <row r="1484">
      <c r="A1484" s="10"/>
      <c r="B1484" s="18"/>
      <c r="C1484" s="10"/>
      <c r="D1484" s="10"/>
      <c r="E1484" s="10"/>
    </row>
    <row r="1485">
      <c r="A1485" s="10"/>
      <c r="B1485" s="18"/>
      <c r="C1485" s="10"/>
      <c r="D1485" s="10"/>
      <c r="E1485" s="10"/>
    </row>
    <row r="1486">
      <c r="A1486" s="10"/>
      <c r="B1486" s="18"/>
      <c r="C1486" s="10"/>
      <c r="D1486" s="10"/>
      <c r="E1486" s="10"/>
    </row>
    <row r="1487">
      <c r="A1487" s="10"/>
      <c r="B1487" s="18"/>
      <c r="C1487" s="10"/>
      <c r="D1487" s="10"/>
      <c r="E1487" s="10"/>
    </row>
    <row r="1488">
      <c r="A1488" s="10"/>
      <c r="B1488" s="18"/>
      <c r="C1488" s="10"/>
      <c r="D1488" s="10"/>
      <c r="E1488" s="10"/>
    </row>
    <row r="1489">
      <c r="A1489" s="10"/>
      <c r="B1489" s="18"/>
      <c r="C1489" s="10"/>
      <c r="D1489" s="10"/>
      <c r="E1489" s="10"/>
    </row>
    <row r="1490">
      <c r="A1490" s="10"/>
      <c r="B1490" s="18"/>
      <c r="C1490" s="10"/>
      <c r="D1490" s="10"/>
      <c r="E1490" s="10"/>
    </row>
    <row r="1491">
      <c r="A1491" s="10"/>
      <c r="B1491" s="18"/>
      <c r="C1491" s="10"/>
      <c r="D1491" s="10"/>
      <c r="E1491" s="10"/>
    </row>
    <row r="1492">
      <c r="A1492" s="10"/>
      <c r="B1492" s="18"/>
      <c r="C1492" s="10"/>
      <c r="D1492" s="10"/>
      <c r="E1492" s="10"/>
    </row>
    <row r="1493">
      <c r="A1493" s="10"/>
      <c r="B1493" s="18"/>
      <c r="C1493" s="10"/>
      <c r="D1493" s="10"/>
      <c r="E1493" s="10"/>
    </row>
    <row r="1494">
      <c r="A1494" s="10"/>
      <c r="B1494" s="18"/>
      <c r="C1494" s="10"/>
      <c r="D1494" s="10"/>
      <c r="E1494" s="10"/>
    </row>
    <row r="1495">
      <c r="A1495" s="10"/>
      <c r="B1495" s="18"/>
      <c r="C1495" s="10"/>
      <c r="D1495" s="10"/>
      <c r="E1495" s="10"/>
    </row>
    <row r="1496">
      <c r="A1496" s="10"/>
      <c r="B1496" s="18"/>
      <c r="C1496" s="10"/>
      <c r="D1496" s="10"/>
      <c r="E1496" s="10"/>
    </row>
    <row r="1497">
      <c r="A1497" s="10"/>
      <c r="B1497" s="18"/>
      <c r="C1497" s="10"/>
      <c r="D1497" s="10"/>
      <c r="E1497" s="10"/>
    </row>
    <row r="1498">
      <c r="A1498" s="10"/>
      <c r="B1498" s="18"/>
      <c r="C1498" s="10"/>
      <c r="D1498" s="10"/>
      <c r="E1498" s="10"/>
    </row>
    <row r="1499">
      <c r="A1499" s="10"/>
      <c r="B1499" s="18"/>
      <c r="C1499" s="10"/>
      <c r="D1499" s="10"/>
      <c r="E1499" s="10"/>
    </row>
    <row r="1500">
      <c r="A1500" s="10"/>
      <c r="B1500" s="18"/>
      <c r="C1500" s="10"/>
      <c r="D1500" s="10"/>
      <c r="E1500" s="10"/>
    </row>
    <row r="1501">
      <c r="A1501" s="10"/>
      <c r="B1501" s="18"/>
      <c r="C1501" s="10"/>
      <c r="D1501" s="10"/>
      <c r="E1501" s="10"/>
    </row>
    <row r="1502">
      <c r="A1502" s="10"/>
      <c r="B1502" s="18"/>
      <c r="C1502" s="10"/>
      <c r="D1502" s="10"/>
      <c r="E1502" s="10"/>
    </row>
    <row r="1503">
      <c r="A1503" s="10"/>
      <c r="B1503" s="18"/>
      <c r="C1503" s="10"/>
      <c r="D1503" s="10"/>
      <c r="E1503" s="10"/>
    </row>
    <row r="1504">
      <c r="A1504" s="10"/>
      <c r="B1504" s="18"/>
      <c r="C1504" s="10"/>
      <c r="D1504" s="10"/>
      <c r="E1504" s="10"/>
    </row>
    <row r="1505">
      <c r="A1505" s="10"/>
      <c r="B1505" s="18"/>
      <c r="C1505" s="10"/>
      <c r="D1505" s="10"/>
      <c r="E1505" s="10"/>
    </row>
    <row r="1506">
      <c r="A1506" s="10"/>
      <c r="B1506" s="18"/>
      <c r="C1506" s="10"/>
      <c r="D1506" s="10"/>
      <c r="E1506" s="10"/>
    </row>
    <row r="1507">
      <c r="A1507" s="10"/>
      <c r="B1507" s="18"/>
      <c r="C1507" s="10"/>
      <c r="D1507" s="10"/>
      <c r="E1507" s="10"/>
    </row>
    <row r="1508">
      <c r="A1508" s="10"/>
      <c r="B1508" s="18"/>
      <c r="C1508" s="10"/>
      <c r="D1508" s="10"/>
      <c r="E1508" s="10"/>
    </row>
    <row r="1509">
      <c r="A1509" s="10"/>
      <c r="B1509" s="18"/>
      <c r="C1509" s="10"/>
      <c r="D1509" s="10"/>
      <c r="E1509" s="10"/>
    </row>
    <row r="1510">
      <c r="A1510" s="10"/>
      <c r="B1510" s="18"/>
      <c r="C1510" s="10"/>
      <c r="D1510" s="10"/>
      <c r="E1510" s="10"/>
    </row>
    <row r="1511">
      <c r="A1511" s="10"/>
      <c r="B1511" s="18"/>
      <c r="C1511" s="10"/>
      <c r="D1511" s="10"/>
      <c r="E1511" s="10"/>
    </row>
    <row r="1512">
      <c r="A1512" s="10"/>
      <c r="B1512" s="18"/>
      <c r="C1512" s="10"/>
      <c r="D1512" s="10"/>
      <c r="E1512" s="10"/>
    </row>
    <row r="1513">
      <c r="A1513" s="10"/>
      <c r="B1513" s="18"/>
      <c r="C1513" s="10"/>
      <c r="D1513" s="10"/>
      <c r="E1513" s="10"/>
    </row>
    <row r="1514">
      <c r="A1514" s="10"/>
      <c r="B1514" s="18"/>
      <c r="C1514" s="10"/>
      <c r="D1514" s="10"/>
      <c r="E1514" s="10"/>
    </row>
    <row r="1515">
      <c r="A1515" s="10"/>
      <c r="B1515" s="18"/>
      <c r="C1515" s="10"/>
      <c r="D1515" s="10"/>
      <c r="E1515" s="10"/>
    </row>
    <row r="1516">
      <c r="A1516" s="10"/>
      <c r="B1516" s="18"/>
      <c r="C1516" s="10"/>
      <c r="D1516" s="10"/>
      <c r="E1516" s="10"/>
    </row>
    <row r="1517">
      <c r="A1517" s="10"/>
      <c r="B1517" s="18"/>
      <c r="C1517" s="10"/>
      <c r="D1517" s="10"/>
      <c r="E1517" s="10"/>
    </row>
    <row r="1518">
      <c r="A1518" s="10"/>
      <c r="B1518" s="18"/>
      <c r="C1518" s="10"/>
      <c r="D1518" s="10"/>
      <c r="E1518" s="10"/>
    </row>
    <row r="1519">
      <c r="A1519" s="10"/>
      <c r="B1519" s="18"/>
      <c r="C1519" s="10"/>
      <c r="D1519" s="10"/>
      <c r="E1519" s="10"/>
    </row>
    <row r="1520">
      <c r="A1520" s="10"/>
      <c r="B1520" s="18"/>
      <c r="C1520" s="10"/>
      <c r="D1520" s="10"/>
      <c r="E1520" s="10"/>
    </row>
    <row r="1521">
      <c r="A1521" s="10"/>
      <c r="B1521" s="18"/>
      <c r="C1521" s="10"/>
      <c r="D1521" s="10"/>
      <c r="E1521" s="10"/>
    </row>
    <row r="1522">
      <c r="A1522" s="10"/>
      <c r="B1522" s="18"/>
      <c r="C1522" s="10"/>
      <c r="D1522" s="10"/>
      <c r="E1522" s="10"/>
    </row>
    <row r="1523">
      <c r="A1523" s="10"/>
      <c r="B1523" s="18"/>
      <c r="C1523" s="10"/>
      <c r="D1523" s="10"/>
      <c r="E1523" s="10"/>
    </row>
    <row r="1524">
      <c r="A1524" s="10"/>
      <c r="B1524" s="18"/>
      <c r="C1524" s="10"/>
      <c r="D1524" s="10"/>
      <c r="E1524" s="10"/>
    </row>
    <row r="1525">
      <c r="A1525" s="10"/>
      <c r="B1525" s="18"/>
      <c r="C1525" s="10"/>
      <c r="D1525" s="10"/>
      <c r="E1525" s="10"/>
    </row>
    <row r="1526">
      <c r="A1526" s="10"/>
      <c r="B1526" s="18"/>
      <c r="C1526" s="10"/>
      <c r="D1526" s="10"/>
      <c r="E1526" s="10"/>
    </row>
    <row r="1527">
      <c r="A1527" s="10"/>
      <c r="B1527" s="18"/>
      <c r="C1527" s="10"/>
      <c r="D1527" s="10"/>
      <c r="E1527" s="10"/>
    </row>
    <row r="1528">
      <c r="A1528" s="10"/>
      <c r="B1528" s="18"/>
      <c r="C1528" s="10"/>
      <c r="D1528" s="10"/>
      <c r="E1528" s="10"/>
    </row>
    <row r="1529">
      <c r="A1529" s="10"/>
      <c r="B1529" s="18"/>
      <c r="C1529" s="10"/>
      <c r="D1529" s="10"/>
      <c r="E1529" s="10"/>
    </row>
    <row r="1530">
      <c r="A1530" s="10"/>
      <c r="B1530" s="18"/>
      <c r="C1530" s="10"/>
      <c r="D1530" s="10"/>
      <c r="E1530" s="10"/>
    </row>
    <row r="1531">
      <c r="A1531" s="10"/>
      <c r="B1531" s="18"/>
      <c r="C1531" s="10"/>
      <c r="D1531" s="10"/>
      <c r="E1531" s="10"/>
    </row>
    <row r="1532">
      <c r="A1532" s="10"/>
      <c r="B1532" s="18"/>
      <c r="C1532" s="10"/>
      <c r="D1532" s="10"/>
      <c r="E1532" s="10"/>
    </row>
    <row r="1533">
      <c r="A1533" s="10"/>
      <c r="B1533" s="18"/>
      <c r="C1533" s="10"/>
      <c r="D1533" s="10"/>
      <c r="E1533" s="10"/>
    </row>
    <row r="1534">
      <c r="A1534" s="10"/>
      <c r="B1534" s="18"/>
      <c r="C1534" s="10"/>
      <c r="D1534" s="10"/>
      <c r="E1534" s="10"/>
    </row>
    <row r="1535">
      <c r="A1535" s="10"/>
      <c r="B1535" s="18"/>
      <c r="C1535" s="10"/>
      <c r="D1535" s="10"/>
      <c r="E1535" s="10"/>
    </row>
    <row r="1536">
      <c r="A1536" s="10"/>
      <c r="B1536" s="18"/>
      <c r="C1536" s="10"/>
      <c r="D1536" s="10"/>
      <c r="E1536" s="10"/>
    </row>
    <row r="1537">
      <c r="A1537" s="10"/>
      <c r="B1537" s="18"/>
      <c r="C1537" s="10"/>
      <c r="D1537" s="10"/>
      <c r="E1537" s="10"/>
    </row>
    <row r="1538">
      <c r="A1538" s="10"/>
      <c r="B1538" s="18"/>
      <c r="C1538" s="10"/>
      <c r="D1538" s="10"/>
      <c r="E1538" s="10"/>
    </row>
    <row r="1539">
      <c r="A1539" s="10"/>
      <c r="B1539" s="18"/>
      <c r="C1539" s="10"/>
      <c r="D1539" s="10"/>
      <c r="E1539" s="10"/>
    </row>
    <row r="1540">
      <c r="A1540" s="10"/>
      <c r="B1540" s="18"/>
      <c r="C1540" s="10"/>
      <c r="D1540" s="10"/>
      <c r="E1540" s="10"/>
    </row>
    <row r="1541">
      <c r="A1541" s="10"/>
      <c r="B1541" s="18"/>
      <c r="C1541" s="10"/>
      <c r="D1541" s="10"/>
      <c r="E1541" s="10"/>
    </row>
    <row r="1542">
      <c r="A1542" s="10"/>
      <c r="B1542" s="18"/>
      <c r="C1542" s="10"/>
      <c r="D1542" s="10"/>
      <c r="E1542" s="10"/>
    </row>
    <row r="1543">
      <c r="A1543" s="10"/>
      <c r="B1543" s="18"/>
      <c r="C1543" s="10"/>
      <c r="D1543" s="10"/>
      <c r="E1543" s="10"/>
    </row>
    <row r="1544">
      <c r="A1544" s="10"/>
      <c r="B1544" s="18"/>
      <c r="C1544" s="10"/>
      <c r="D1544" s="10"/>
      <c r="E1544" s="10"/>
    </row>
    <row r="1545">
      <c r="A1545" s="10"/>
      <c r="B1545" s="18"/>
      <c r="C1545" s="10"/>
      <c r="D1545" s="10"/>
      <c r="E1545" s="10"/>
    </row>
    <row r="1546">
      <c r="A1546" s="10"/>
      <c r="B1546" s="18"/>
      <c r="C1546" s="10"/>
      <c r="D1546" s="10"/>
      <c r="E1546" s="10"/>
    </row>
    <row r="1547">
      <c r="A1547" s="10"/>
      <c r="B1547" s="18"/>
      <c r="C1547" s="10"/>
      <c r="D1547" s="10"/>
      <c r="E1547" s="10"/>
    </row>
    <row r="1548">
      <c r="A1548" s="10"/>
      <c r="B1548" s="18"/>
      <c r="C1548" s="10"/>
      <c r="D1548" s="10"/>
      <c r="E1548" s="10"/>
    </row>
    <row r="1549">
      <c r="A1549" s="10"/>
      <c r="B1549" s="18"/>
      <c r="C1549" s="10"/>
      <c r="D1549" s="10"/>
      <c r="E1549" s="10"/>
    </row>
    <row r="1550">
      <c r="A1550" s="10"/>
      <c r="B1550" s="18"/>
      <c r="C1550" s="10"/>
      <c r="D1550" s="10"/>
      <c r="E1550" s="10"/>
    </row>
    <row r="1551">
      <c r="A1551" s="10"/>
      <c r="B1551" s="18"/>
      <c r="C1551" s="10"/>
      <c r="D1551" s="10"/>
      <c r="E1551" s="10"/>
    </row>
    <row r="1552">
      <c r="A1552" s="10"/>
      <c r="B1552" s="18"/>
      <c r="C1552" s="10"/>
      <c r="D1552" s="10"/>
      <c r="E1552" s="10"/>
    </row>
    <row r="1553">
      <c r="A1553" s="10"/>
      <c r="B1553" s="18"/>
      <c r="C1553" s="10"/>
      <c r="D1553" s="10"/>
      <c r="E1553" s="10"/>
    </row>
    <row r="1554">
      <c r="A1554" s="10"/>
      <c r="B1554" s="18"/>
      <c r="C1554" s="10"/>
      <c r="D1554" s="10"/>
      <c r="E1554" s="10"/>
    </row>
    <row r="1555">
      <c r="A1555" s="10"/>
      <c r="B1555" s="18"/>
      <c r="C1555" s="10"/>
      <c r="D1555" s="10"/>
      <c r="E1555" s="10"/>
    </row>
    <row r="1556">
      <c r="A1556" s="10"/>
      <c r="B1556" s="18"/>
      <c r="C1556" s="10"/>
      <c r="D1556" s="10"/>
      <c r="E1556" s="10"/>
    </row>
    <row r="1557">
      <c r="A1557" s="10"/>
      <c r="B1557" s="18"/>
      <c r="C1557" s="10"/>
      <c r="D1557" s="10"/>
      <c r="E1557" s="10"/>
    </row>
    <row r="1558">
      <c r="A1558" s="10"/>
      <c r="B1558" s="18"/>
      <c r="C1558" s="10"/>
      <c r="D1558" s="10"/>
      <c r="E1558" s="10"/>
    </row>
    <row r="1559">
      <c r="A1559" s="10"/>
      <c r="B1559" s="18"/>
      <c r="C1559" s="10"/>
      <c r="D1559" s="10"/>
      <c r="E1559" s="10"/>
    </row>
    <row r="1560">
      <c r="A1560" s="10"/>
      <c r="B1560" s="18"/>
      <c r="C1560" s="10"/>
      <c r="D1560" s="10"/>
      <c r="E1560" s="10"/>
    </row>
    <row r="1561">
      <c r="A1561" s="10"/>
      <c r="B1561" s="18"/>
      <c r="C1561" s="10"/>
      <c r="D1561" s="10"/>
      <c r="E1561" s="10"/>
    </row>
    <row r="1562">
      <c r="A1562" s="10"/>
      <c r="B1562" s="18"/>
      <c r="C1562" s="10"/>
      <c r="D1562" s="10"/>
      <c r="E1562" s="10"/>
    </row>
    <row r="1563">
      <c r="A1563" s="10"/>
      <c r="B1563" s="18"/>
      <c r="C1563" s="10"/>
      <c r="D1563" s="10"/>
      <c r="E1563" s="10"/>
    </row>
    <row r="1564">
      <c r="A1564" s="10"/>
      <c r="B1564" s="18"/>
      <c r="C1564" s="10"/>
      <c r="D1564" s="10"/>
      <c r="E1564" s="10"/>
    </row>
    <row r="1565">
      <c r="A1565" s="10"/>
      <c r="B1565" s="18"/>
      <c r="C1565" s="10"/>
      <c r="D1565" s="10"/>
      <c r="E1565" s="10"/>
    </row>
    <row r="1566">
      <c r="A1566" s="10"/>
      <c r="B1566" s="18"/>
      <c r="C1566" s="10"/>
      <c r="D1566" s="10"/>
      <c r="E1566" s="10"/>
    </row>
    <row r="1567">
      <c r="A1567" s="10"/>
      <c r="B1567" s="18"/>
      <c r="C1567" s="10"/>
      <c r="D1567" s="10"/>
      <c r="E1567" s="10"/>
    </row>
    <row r="1568">
      <c r="A1568" s="10"/>
      <c r="B1568" s="18"/>
      <c r="C1568" s="10"/>
      <c r="D1568" s="10"/>
      <c r="E1568" s="10"/>
    </row>
    <row r="1569">
      <c r="A1569" s="10"/>
      <c r="B1569" s="18"/>
      <c r="C1569" s="10"/>
      <c r="D1569" s="10"/>
      <c r="E1569" s="10"/>
    </row>
    <row r="1570">
      <c r="A1570" s="10"/>
      <c r="B1570" s="18"/>
      <c r="C1570" s="10"/>
      <c r="D1570" s="10"/>
      <c r="E1570" s="10"/>
    </row>
    <row r="1571">
      <c r="A1571" s="10"/>
      <c r="B1571" s="18"/>
      <c r="C1571" s="10"/>
      <c r="D1571" s="10"/>
      <c r="E1571" s="10"/>
    </row>
    <row r="1572">
      <c r="A1572" s="10"/>
      <c r="B1572" s="18"/>
      <c r="C1572" s="10"/>
      <c r="D1572" s="10"/>
      <c r="E1572" s="10"/>
    </row>
    <row r="1573">
      <c r="A1573" s="10"/>
      <c r="B1573" s="18"/>
      <c r="C1573" s="10"/>
      <c r="D1573" s="10"/>
      <c r="E1573" s="10"/>
    </row>
    <row r="1574">
      <c r="A1574" s="10"/>
      <c r="B1574" s="18"/>
      <c r="C1574" s="10"/>
      <c r="D1574" s="10"/>
      <c r="E1574" s="10"/>
    </row>
    <row r="1575">
      <c r="A1575" s="10"/>
      <c r="B1575" s="18"/>
      <c r="C1575" s="10"/>
      <c r="D1575" s="10"/>
      <c r="E1575" s="10"/>
    </row>
    <row r="1576">
      <c r="A1576" s="10"/>
      <c r="B1576" s="18"/>
      <c r="C1576" s="10"/>
      <c r="D1576" s="10"/>
      <c r="E1576" s="10"/>
    </row>
    <row r="1577">
      <c r="A1577" s="10"/>
      <c r="B1577" s="18"/>
      <c r="C1577" s="10"/>
      <c r="D1577" s="10"/>
      <c r="E1577" s="10"/>
    </row>
    <row r="1578">
      <c r="A1578" s="10"/>
      <c r="B1578" s="18"/>
      <c r="C1578" s="10"/>
      <c r="D1578" s="10"/>
      <c r="E1578" s="10"/>
    </row>
    <row r="1579">
      <c r="A1579" s="10"/>
      <c r="B1579" s="18"/>
      <c r="C1579" s="10"/>
      <c r="D1579" s="10"/>
      <c r="E1579" s="10"/>
    </row>
    <row r="1580">
      <c r="A1580" s="10"/>
      <c r="B1580" s="18"/>
      <c r="C1580" s="10"/>
      <c r="D1580" s="10"/>
      <c r="E1580" s="10"/>
    </row>
    <row r="1581">
      <c r="A1581" s="10"/>
      <c r="B1581" s="18"/>
      <c r="C1581" s="10"/>
      <c r="D1581" s="10"/>
      <c r="E1581" s="10"/>
    </row>
    <row r="1582">
      <c r="A1582" s="10"/>
      <c r="B1582" s="18"/>
      <c r="C1582" s="10"/>
      <c r="D1582" s="10"/>
      <c r="E1582" s="10"/>
    </row>
    <row r="1583">
      <c r="A1583" s="10"/>
      <c r="B1583" s="18"/>
      <c r="C1583" s="10"/>
      <c r="D1583" s="10"/>
      <c r="E1583" s="10"/>
    </row>
    <row r="1584">
      <c r="A1584" s="10"/>
      <c r="B1584" s="18"/>
      <c r="C1584" s="10"/>
      <c r="D1584" s="10"/>
      <c r="E1584" s="10"/>
    </row>
    <row r="1585">
      <c r="A1585" s="10"/>
      <c r="B1585" s="18"/>
      <c r="C1585" s="10"/>
      <c r="D1585" s="10"/>
      <c r="E1585" s="10"/>
    </row>
    <row r="1586">
      <c r="A1586" s="10"/>
      <c r="B1586" s="18"/>
      <c r="C1586" s="10"/>
      <c r="D1586" s="10"/>
      <c r="E1586" s="10"/>
    </row>
    <row r="1587">
      <c r="A1587" s="10"/>
      <c r="B1587" s="18"/>
      <c r="C1587" s="10"/>
      <c r="D1587" s="10"/>
      <c r="E1587" s="10"/>
    </row>
    <row r="1588">
      <c r="A1588" s="10"/>
      <c r="B1588" s="18"/>
      <c r="C1588" s="10"/>
      <c r="D1588" s="10"/>
      <c r="E1588" s="10"/>
    </row>
    <row r="1589">
      <c r="A1589" s="10"/>
      <c r="B1589" s="18"/>
      <c r="C1589" s="10"/>
      <c r="D1589" s="10"/>
      <c r="E1589" s="10"/>
    </row>
    <row r="1590">
      <c r="A1590" s="10"/>
      <c r="B1590" s="18"/>
      <c r="C1590" s="10"/>
      <c r="D1590" s="10"/>
      <c r="E1590" s="10"/>
    </row>
    <row r="1591">
      <c r="A1591" s="10"/>
      <c r="B1591" s="18"/>
      <c r="C1591" s="10"/>
      <c r="D1591" s="10"/>
      <c r="E1591" s="10"/>
    </row>
    <row r="1592">
      <c r="A1592" s="10"/>
      <c r="B1592" s="18"/>
      <c r="C1592" s="10"/>
      <c r="D1592" s="10"/>
      <c r="E1592" s="10"/>
    </row>
    <row r="1593">
      <c r="A1593" s="10"/>
      <c r="B1593" s="18"/>
      <c r="C1593" s="10"/>
      <c r="D1593" s="10"/>
      <c r="E1593" s="10"/>
    </row>
    <row r="1594">
      <c r="A1594" s="10"/>
      <c r="B1594" s="18"/>
      <c r="C1594" s="10"/>
      <c r="D1594" s="10"/>
      <c r="E1594" s="10"/>
    </row>
    <row r="1595">
      <c r="A1595" s="10"/>
      <c r="B1595" s="18"/>
      <c r="C1595" s="10"/>
      <c r="D1595" s="10"/>
      <c r="E1595" s="10"/>
    </row>
    <row r="1596">
      <c r="A1596" s="10"/>
      <c r="B1596" s="18"/>
      <c r="C1596" s="10"/>
      <c r="D1596" s="10"/>
      <c r="E1596" s="10"/>
    </row>
    <row r="1597">
      <c r="A1597" s="10"/>
      <c r="B1597" s="18"/>
      <c r="C1597" s="10"/>
      <c r="D1597" s="10"/>
      <c r="E1597" s="10"/>
    </row>
    <row r="1598">
      <c r="A1598" s="10"/>
      <c r="B1598" s="18"/>
      <c r="C1598" s="10"/>
      <c r="D1598" s="10"/>
      <c r="E1598" s="10"/>
    </row>
    <row r="1599">
      <c r="A1599" s="10"/>
      <c r="B1599" s="18"/>
      <c r="C1599" s="10"/>
      <c r="D1599" s="10"/>
      <c r="E1599" s="10"/>
    </row>
    <row r="1600">
      <c r="A1600" s="10"/>
      <c r="B1600" s="18"/>
      <c r="C1600" s="10"/>
      <c r="D1600" s="10"/>
      <c r="E1600" s="10"/>
    </row>
    <row r="1601">
      <c r="A1601" s="10"/>
      <c r="B1601" s="18"/>
      <c r="C1601" s="10"/>
      <c r="D1601" s="10"/>
      <c r="E1601" s="10"/>
    </row>
    <row r="1602">
      <c r="A1602" s="10"/>
      <c r="B1602" s="18"/>
      <c r="C1602" s="10"/>
      <c r="D1602" s="10"/>
      <c r="E1602" s="10"/>
    </row>
    <row r="1603">
      <c r="A1603" s="10"/>
      <c r="B1603" s="18"/>
      <c r="C1603" s="10"/>
      <c r="D1603" s="10"/>
      <c r="E1603" s="10"/>
    </row>
    <row r="1604">
      <c r="A1604" s="10"/>
      <c r="B1604" s="18"/>
      <c r="C1604" s="10"/>
      <c r="D1604" s="10"/>
      <c r="E1604" s="10"/>
    </row>
    <row r="1605">
      <c r="A1605" s="10"/>
      <c r="B1605" s="18"/>
      <c r="C1605" s="10"/>
      <c r="D1605" s="10"/>
      <c r="E1605" s="10"/>
    </row>
    <row r="1606">
      <c r="A1606" s="10"/>
      <c r="B1606" s="18"/>
      <c r="C1606" s="10"/>
      <c r="D1606" s="10"/>
      <c r="E1606" s="10"/>
    </row>
    <row r="1607">
      <c r="A1607" s="10"/>
      <c r="B1607" s="18"/>
      <c r="C1607" s="10"/>
      <c r="D1607" s="10"/>
      <c r="E1607" s="10"/>
    </row>
    <row r="1608">
      <c r="A1608" s="10"/>
      <c r="B1608" s="18"/>
      <c r="C1608" s="10"/>
      <c r="D1608" s="10"/>
      <c r="E1608" s="10"/>
    </row>
    <row r="1609">
      <c r="A1609" s="10"/>
      <c r="B1609" s="18"/>
      <c r="C1609" s="10"/>
      <c r="D1609" s="10"/>
      <c r="E1609" s="10"/>
    </row>
    <row r="1610">
      <c r="A1610" s="10"/>
      <c r="B1610" s="18"/>
      <c r="C1610" s="10"/>
      <c r="D1610" s="10"/>
      <c r="E1610" s="10"/>
    </row>
    <row r="1611">
      <c r="A1611" s="10"/>
      <c r="B1611" s="18"/>
      <c r="C1611" s="10"/>
      <c r="D1611" s="10"/>
      <c r="E1611" s="10"/>
    </row>
    <row r="1612">
      <c r="A1612" s="10"/>
      <c r="B1612" s="18"/>
      <c r="C1612" s="10"/>
      <c r="D1612" s="10"/>
      <c r="E1612" s="10"/>
    </row>
    <row r="1613">
      <c r="A1613" s="10"/>
      <c r="B1613" s="18"/>
      <c r="C1613" s="10"/>
      <c r="D1613" s="10"/>
      <c r="E1613" s="10"/>
    </row>
    <row r="1614">
      <c r="A1614" s="10"/>
      <c r="B1614" s="18"/>
      <c r="C1614" s="10"/>
      <c r="D1614" s="10"/>
      <c r="E1614" s="10"/>
    </row>
    <row r="1615">
      <c r="A1615" s="10"/>
      <c r="B1615" s="18"/>
      <c r="C1615" s="10"/>
      <c r="D1615" s="10"/>
      <c r="E1615" s="10"/>
    </row>
    <row r="1616">
      <c r="A1616" s="10"/>
      <c r="B1616" s="18"/>
      <c r="C1616" s="10"/>
      <c r="D1616" s="10"/>
      <c r="E1616" s="10"/>
    </row>
    <row r="1617">
      <c r="A1617" s="10"/>
      <c r="B1617" s="18"/>
      <c r="C1617" s="10"/>
      <c r="D1617" s="10"/>
      <c r="E1617" s="10"/>
    </row>
    <row r="1618">
      <c r="A1618" s="10"/>
      <c r="B1618" s="18"/>
      <c r="C1618" s="10"/>
      <c r="D1618" s="10"/>
      <c r="E1618" s="10"/>
    </row>
    <row r="1619">
      <c r="A1619" s="10"/>
      <c r="B1619" s="18"/>
      <c r="C1619" s="10"/>
      <c r="D1619" s="10"/>
      <c r="E1619" s="10"/>
    </row>
    <row r="1620">
      <c r="A1620" s="10"/>
      <c r="B1620" s="18"/>
      <c r="C1620" s="10"/>
      <c r="D1620" s="10"/>
      <c r="E1620" s="10"/>
    </row>
    <row r="1621">
      <c r="A1621" s="10"/>
      <c r="B1621" s="18"/>
      <c r="C1621" s="10"/>
      <c r="D1621" s="10"/>
      <c r="E1621" s="10"/>
    </row>
    <row r="1622">
      <c r="A1622" s="10"/>
      <c r="B1622" s="18"/>
      <c r="C1622" s="10"/>
      <c r="D1622" s="10"/>
      <c r="E1622" s="10"/>
    </row>
    <row r="1623">
      <c r="A1623" s="10"/>
      <c r="B1623" s="18"/>
      <c r="C1623" s="10"/>
      <c r="D1623" s="10"/>
      <c r="E1623" s="10"/>
    </row>
    <row r="1624">
      <c r="A1624" s="10"/>
      <c r="B1624" s="18"/>
      <c r="C1624" s="10"/>
      <c r="D1624" s="10"/>
      <c r="E1624" s="10"/>
    </row>
    <row r="1625">
      <c r="A1625" s="10"/>
      <c r="B1625" s="18"/>
      <c r="C1625" s="10"/>
      <c r="D1625" s="10"/>
      <c r="E1625" s="10"/>
    </row>
    <row r="1626">
      <c r="A1626" s="10"/>
      <c r="B1626" s="18"/>
      <c r="C1626" s="10"/>
      <c r="D1626" s="10"/>
      <c r="E1626" s="10"/>
    </row>
    <row r="1627">
      <c r="A1627" s="10"/>
      <c r="B1627" s="18"/>
      <c r="C1627" s="10"/>
      <c r="D1627" s="10"/>
      <c r="E1627" s="10"/>
    </row>
    <row r="1628">
      <c r="A1628" s="10"/>
      <c r="B1628" s="18"/>
      <c r="C1628" s="10"/>
      <c r="D1628" s="10"/>
      <c r="E1628" s="10"/>
    </row>
    <row r="1629">
      <c r="A1629" s="10"/>
      <c r="B1629" s="18"/>
      <c r="C1629" s="10"/>
      <c r="D1629" s="10"/>
      <c r="E1629" s="10"/>
    </row>
    <row r="1630">
      <c r="A1630" s="10"/>
      <c r="B1630" s="18"/>
      <c r="C1630" s="10"/>
      <c r="D1630" s="10"/>
      <c r="E1630" s="10"/>
    </row>
    <row r="1631">
      <c r="A1631" s="10"/>
      <c r="B1631" s="18"/>
      <c r="C1631" s="10"/>
      <c r="D1631" s="10"/>
      <c r="E1631" s="10"/>
    </row>
    <row r="1632">
      <c r="A1632" s="10"/>
      <c r="B1632" s="18"/>
      <c r="C1632" s="10"/>
      <c r="D1632" s="10"/>
      <c r="E1632" s="10"/>
    </row>
    <row r="1633">
      <c r="A1633" s="10"/>
      <c r="B1633" s="18"/>
      <c r="C1633" s="10"/>
      <c r="D1633" s="10"/>
      <c r="E1633" s="10"/>
    </row>
    <row r="1634">
      <c r="A1634" s="10"/>
      <c r="B1634" s="18"/>
      <c r="C1634" s="10"/>
      <c r="D1634" s="10"/>
      <c r="E1634" s="10"/>
    </row>
    <row r="1635">
      <c r="A1635" s="10"/>
      <c r="B1635" s="18"/>
      <c r="C1635" s="10"/>
      <c r="D1635" s="10"/>
      <c r="E1635" s="10"/>
    </row>
    <row r="1636">
      <c r="A1636" s="10"/>
      <c r="B1636" s="18"/>
      <c r="C1636" s="10"/>
      <c r="D1636" s="10"/>
      <c r="E1636" s="10"/>
    </row>
    <row r="1637">
      <c r="A1637" s="10"/>
      <c r="B1637" s="18"/>
      <c r="C1637" s="10"/>
      <c r="D1637" s="10"/>
      <c r="E1637" s="10"/>
    </row>
    <row r="1638">
      <c r="A1638" s="10"/>
      <c r="B1638" s="18"/>
      <c r="C1638" s="10"/>
      <c r="D1638" s="10"/>
      <c r="E1638" s="10"/>
    </row>
    <row r="1639">
      <c r="A1639" s="10"/>
      <c r="B1639" s="18"/>
      <c r="C1639" s="10"/>
      <c r="D1639" s="10"/>
      <c r="E1639" s="10"/>
    </row>
    <row r="1640">
      <c r="A1640" s="10"/>
      <c r="B1640" s="18"/>
      <c r="C1640" s="10"/>
      <c r="D1640" s="10"/>
      <c r="E1640" s="10"/>
    </row>
    <row r="1641">
      <c r="A1641" s="10"/>
      <c r="B1641" s="18"/>
      <c r="C1641" s="10"/>
      <c r="D1641" s="10"/>
      <c r="E1641" s="10"/>
    </row>
    <row r="1642">
      <c r="A1642" s="10"/>
      <c r="B1642" s="18"/>
      <c r="C1642" s="10"/>
      <c r="D1642" s="10"/>
      <c r="E1642" s="10"/>
    </row>
    <row r="1643">
      <c r="A1643" s="10"/>
      <c r="B1643" s="18"/>
      <c r="C1643" s="10"/>
      <c r="D1643" s="10"/>
      <c r="E1643" s="10"/>
    </row>
    <row r="1644">
      <c r="A1644" s="10"/>
      <c r="B1644" s="18"/>
      <c r="C1644" s="10"/>
      <c r="D1644" s="10"/>
      <c r="E1644" s="10"/>
    </row>
    <row r="1645">
      <c r="A1645" s="10"/>
      <c r="B1645" s="18"/>
      <c r="C1645" s="10"/>
      <c r="D1645" s="10"/>
      <c r="E1645" s="10"/>
    </row>
    <row r="1646">
      <c r="A1646" s="10"/>
      <c r="B1646" s="18"/>
      <c r="C1646" s="10"/>
      <c r="D1646" s="10"/>
      <c r="E1646" s="10"/>
    </row>
    <row r="1647">
      <c r="A1647" s="10"/>
      <c r="B1647" s="18"/>
      <c r="C1647" s="10"/>
      <c r="D1647" s="10"/>
      <c r="E1647" s="10"/>
    </row>
    <row r="1648">
      <c r="A1648" s="10"/>
      <c r="B1648" s="18"/>
      <c r="C1648" s="10"/>
      <c r="D1648" s="10"/>
      <c r="E1648" s="10"/>
    </row>
    <row r="1649">
      <c r="A1649" s="10"/>
      <c r="B1649" s="18"/>
      <c r="C1649" s="10"/>
      <c r="D1649" s="10"/>
      <c r="E1649" s="10"/>
    </row>
    <row r="1650">
      <c r="A1650" s="10"/>
      <c r="B1650" s="18"/>
      <c r="C1650" s="10"/>
      <c r="D1650" s="10"/>
      <c r="E1650" s="10"/>
    </row>
    <row r="1651">
      <c r="A1651" s="10"/>
      <c r="B1651" s="18"/>
      <c r="C1651" s="10"/>
      <c r="D1651" s="10"/>
      <c r="E1651" s="10"/>
    </row>
    <row r="1652">
      <c r="A1652" s="10"/>
      <c r="B1652" s="18"/>
      <c r="C1652" s="10"/>
      <c r="D1652" s="10"/>
      <c r="E1652" s="10"/>
    </row>
    <row r="1653">
      <c r="A1653" s="10"/>
      <c r="B1653" s="18"/>
      <c r="C1653" s="10"/>
      <c r="D1653" s="10"/>
      <c r="E1653" s="10"/>
    </row>
    <row r="1654">
      <c r="A1654" s="10"/>
      <c r="B1654" s="18"/>
      <c r="C1654" s="10"/>
      <c r="D1654" s="10"/>
      <c r="E1654" s="10"/>
    </row>
    <row r="1655">
      <c r="A1655" s="10"/>
      <c r="B1655" s="18"/>
      <c r="C1655" s="10"/>
      <c r="D1655" s="10"/>
      <c r="E1655" s="10"/>
    </row>
    <row r="1656">
      <c r="A1656" s="10"/>
      <c r="B1656" s="18"/>
      <c r="C1656" s="10"/>
      <c r="D1656" s="10"/>
      <c r="E1656" s="10"/>
    </row>
    <row r="1657">
      <c r="A1657" s="10"/>
      <c r="B1657" s="18"/>
      <c r="C1657" s="10"/>
      <c r="D1657" s="10"/>
      <c r="E1657" s="10"/>
    </row>
    <row r="1658">
      <c r="A1658" s="10"/>
      <c r="B1658" s="18"/>
      <c r="C1658" s="10"/>
      <c r="D1658" s="10"/>
      <c r="E1658" s="10"/>
    </row>
    <row r="1659">
      <c r="A1659" s="10"/>
      <c r="B1659" s="18"/>
      <c r="C1659" s="10"/>
      <c r="D1659" s="10"/>
      <c r="E1659" s="10"/>
    </row>
    <row r="1660">
      <c r="A1660" s="10"/>
      <c r="B1660" s="18"/>
      <c r="C1660" s="10"/>
      <c r="D1660" s="10"/>
      <c r="E1660" s="10"/>
    </row>
    <row r="1661">
      <c r="A1661" s="10"/>
      <c r="B1661" s="18"/>
      <c r="C1661" s="10"/>
      <c r="D1661" s="10"/>
      <c r="E1661" s="10"/>
    </row>
    <row r="1662">
      <c r="A1662" s="10"/>
      <c r="B1662" s="18"/>
      <c r="C1662" s="10"/>
      <c r="D1662" s="10"/>
      <c r="E1662" s="10"/>
    </row>
    <row r="1663">
      <c r="A1663" s="10"/>
      <c r="B1663" s="18"/>
      <c r="C1663" s="10"/>
      <c r="D1663" s="10"/>
      <c r="E1663" s="10"/>
    </row>
    <row r="1664">
      <c r="A1664" s="10"/>
      <c r="B1664" s="18"/>
      <c r="C1664" s="10"/>
      <c r="D1664" s="10"/>
      <c r="E1664" s="10"/>
    </row>
    <row r="1665">
      <c r="A1665" s="10"/>
      <c r="B1665" s="18"/>
      <c r="C1665" s="10"/>
      <c r="D1665" s="10"/>
      <c r="E1665" s="10"/>
    </row>
    <row r="1666">
      <c r="A1666" s="10"/>
      <c r="B1666" s="18"/>
      <c r="C1666" s="10"/>
      <c r="D1666" s="10"/>
      <c r="E1666" s="10"/>
    </row>
    <row r="1667">
      <c r="A1667" s="10"/>
      <c r="B1667" s="18"/>
      <c r="C1667" s="10"/>
      <c r="D1667" s="10"/>
      <c r="E1667" s="10"/>
    </row>
    <row r="1668">
      <c r="A1668" s="10"/>
      <c r="B1668" s="18"/>
      <c r="C1668" s="10"/>
      <c r="D1668" s="10"/>
      <c r="E1668" s="10"/>
    </row>
    <row r="1669">
      <c r="A1669" s="10"/>
      <c r="B1669" s="18"/>
      <c r="C1669" s="10"/>
      <c r="D1669" s="10"/>
      <c r="E1669" s="10"/>
    </row>
    <row r="1670">
      <c r="A1670" s="10"/>
      <c r="B1670" s="18"/>
      <c r="C1670" s="10"/>
      <c r="D1670" s="10"/>
      <c r="E1670" s="10"/>
    </row>
    <row r="1671">
      <c r="A1671" s="10"/>
      <c r="B1671" s="18"/>
      <c r="C1671" s="10"/>
      <c r="D1671" s="10"/>
      <c r="E1671" s="10"/>
    </row>
    <row r="1672">
      <c r="A1672" s="10"/>
      <c r="B1672" s="18"/>
      <c r="C1672" s="10"/>
      <c r="D1672" s="10"/>
      <c r="E1672" s="10"/>
    </row>
    <row r="1673">
      <c r="A1673" s="10"/>
      <c r="B1673" s="18"/>
      <c r="C1673" s="10"/>
      <c r="D1673" s="10"/>
      <c r="E1673" s="10"/>
    </row>
    <row r="1674">
      <c r="A1674" s="10"/>
      <c r="B1674" s="18"/>
      <c r="C1674" s="10"/>
      <c r="D1674" s="10"/>
      <c r="E1674" s="10"/>
    </row>
    <row r="1675">
      <c r="A1675" s="10"/>
      <c r="B1675" s="18"/>
      <c r="C1675" s="10"/>
      <c r="D1675" s="10"/>
      <c r="E1675" s="10"/>
    </row>
    <row r="1676">
      <c r="A1676" s="10"/>
      <c r="B1676" s="18"/>
      <c r="C1676" s="10"/>
      <c r="D1676" s="10"/>
      <c r="E1676" s="10"/>
    </row>
    <row r="1677">
      <c r="A1677" s="10"/>
      <c r="B1677" s="18"/>
      <c r="C1677" s="10"/>
      <c r="D1677" s="10"/>
      <c r="E1677" s="10"/>
    </row>
    <row r="1678">
      <c r="A1678" s="10"/>
      <c r="B1678" s="18"/>
      <c r="C1678" s="10"/>
      <c r="D1678" s="10"/>
      <c r="E1678" s="10"/>
    </row>
    <row r="1679">
      <c r="A1679" s="10"/>
      <c r="B1679" s="18"/>
      <c r="C1679" s="10"/>
      <c r="D1679" s="10"/>
      <c r="E1679" s="10"/>
    </row>
    <row r="1680">
      <c r="A1680" s="10"/>
      <c r="B1680" s="18"/>
      <c r="C1680" s="10"/>
      <c r="D1680" s="10"/>
      <c r="E1680" s="10"/>
    </row>
    <row r="1681">
      <c r="A1681" s="10"/>
      <c r="B1681" s="18"/>
      <c r="C1681" s="10"/>
      <c r="D1681" s="10"/>
      <c r="E1681" s="10"/>
    </row>
    <row r="1682">
      <c r="A1682" s="10"/>
      <c r="B1682" s="18"/>
      <c r="C1682" s="10"/>
      <c r="D1682" s="10"/>
      <c r="E1682" s="10"/>
    </row>
    <row r="1683">
      <c r="A1683" s="10"/>
      <c r="B1683" s="18"/>
      <c r="C1683" s="10"/>
      <c r="D1683" s="10"/>
      <c r="E1683" s="10"/>
    </row>
    <row r="1684">
      <c r="A1684" s="10"/>
      <c r="B1684" s="18"/>
      <c r="C1684" s="10"/>
      <c r="D1684" s="10"/>
      <c r="E1684" s="10"/>
    </row>
    <row r="1685">
      <c r="A1685" s="10"/>
      <c r="B1685" s="18"/>
      <c r="C1685" s="10"/>
      <c r="D1685" s="10"/>
      <c r="E1685" s="10"/>
    </row>
    <row r="1686">
      <c r="A1686" s="10"/>
      <c r="B1686" s="18"/>
      <c r="C1686" s="10"/>
      <c r="D1686" s="10"/>
      <c r="E1686" s="10"/>
    </row>
    <row r="1687">
      <c r="A1687" s="10"/>
      <c r="B1687" s="18"/>
      <c r="C1687" s="10"/>
      <c r="D1687" s="10"/>
      <c r="E1687" s="10"/>
    </row>
    <row r="1688">
      <c r="A1688" s="10"/>
      <c r="B1688" s="18"/>
      <c r="C1688" s="10"/>
      <c r="D1688" s="10"/>
      <c r="E1688" s="10"/>
    </row>
    <row r="1689">
      <c r="A1689" s="10"/>
      <c r="B1689" s="18"/>
      <c r="C1689" s="10"/>
      <c r="D1689" s="10"/>
      <c r="E1689" s="10"/>
    </row>
    <row r="1690">
      <c r="A1690" s="10"/>
      <c r="B1690" s="18"/>
      <c r="C1690" s="10"/>
      <c r="D1690" s="10"/>
      <c r="E1690" s="10"/>
    </row>
    <row r="1691">
      <c r="A1691" s="10"/>
      <c r="B1691" s="18"/>
      <c r="C1691" s="10"/>
      <c r="D1691" s="10"/>
      <c r="E1691" s="10"/>
    </row>
    <row r="1692">
      <c r="A1692" s="10"/>
      <c r="B1692" s="18"/>
      <c r="C1692" s="10"/>
      <c r="D1692" s="10"/>
      <c r="E1692" s="10"/>
    </row>
    <row r="1693">
      <c r="A1693" s="10"/>
      <c r="B1693" s="18"/>
      <c r="C1693" s="10"/>
      <c r="D1693" s="10"/>
      <c r="E1693" s="10"/>
    </row>
    <row r="1694">
      <c r="A1694" s="10"/>
      <c r="B1694" s="18"/>
      <c r="C1694" s="10"/>
      <c r="D1694" s="10"/>
      <c r="E1694" s="10"/>
    </row>
    <row r="1695">
      <c r="A1695" s="10"/>
      <c r="B1695" s="18"/>
      <c r="C1695" s="10"/>
      <c r="D1695" s="10"/>
      <c r="E1695" s="10"/>
    </row>
    <row r="1696">
      <c r="A1696" s="10"/>
      <c r="B1696" s="18"/>
      <c r="C1696" s="10"/>
      <c r="D1696" s="10"/>
      <c r="E1696" s="10"/>
    </row>
    <row r="1697">
      <c r="A1697" s="10"/>
      <c r="B1697" s="18"/>
      <c r="C1697" s="10"/>
      <c r="D1697" s="10"/>
      <c r="E1697" s="10"/>
    </row>
    <row r="1698">
      <c r="A1698" s="10"/>
      <c r="B1698" s="18"/>
      <c r="C1698" s="10"/>
      <c r="D1698" s="10"/>
      <c r="E1698" s="10"/>
    </row>
    <row r="1699">
      <c r="A1699" s="10"/>
      <c r="B1699" s="18"/>
      <c r="C1699" s="10"/>
      <c r="D1699" s="10"/>
      <c r="E1699" s="10"/>
    </row>
    <row r="1700">
      <c r="A1700" s="10"/>
      <c r="B1700" s="18"/>
      <c r="C1700" s="10"/>
      <c r="D1700" s="10"/>
      <c r="E1700" s="10"/>
    </row>
    <row r="1701">
      <c r="A1701" s="10"/>
      <c r="B1701" s="18"/>
      <c r="C1701" s="10"/>
      <c r="D1701" s="10"/>
      <c r="E1701" s="10"/>
    </row>
    <row r="1702">
      <c r="A1702" s="10"/>
      <c r="B1702" s="18"/>
      <c r="C1702" s="10"/>
      <c r="D1702" s="10"/>
      <c r="E1702" s="10"/>
    </row>
    <row r="1703">
      <c r="A1703" s="10"/>
      <c r="B1703" s="18"/>
      <c r="C1703" s="10"/>
      <c r="D1703" s="10"/>
      <c r="E1703" s="10"/>
    </row>
    <row r="1704">
      <c r="A1704" s="10"/>
      <c r="B1704" s="18"/>
      <c r="C1704" s="10"/>
      <c r="D1704" s="10"/>
      <c r="E1704" s="10"/>
    </row>
    <row r="1705">
      <c r="A1705" s="10"/>
      <c r="B1705" s="18"/>
      <c r="C1705" s="10"/>
      <c r="D1705" s="10"/>
      <c r="E1705" s="10"/>
    </row>
    <row r="1706">
      <c r="A1706" s="10"/>
      <c r="B1706" s="18"/>
      <c r="C1706" s="10"/>
      <c r="D1706" s="10"/>
      <c r="E1706" s="10"/>
    </row>
    <row r="1707">
      <c r="A1707" s="10"/>
      <c r="B1707" s="18"/>
      <c r="C1707" s="10"/>
      <c r="D1707" s="10"/>
      <c r="E1707" s="10"/>
    </row>
    <row r="1708">
      <c r="A1708" s="10"/>
      <c r="B1708" s="18"/>
      <c r="C1708" s="10"/>
      <c r="D1708" s="10"/>
      <c r="E1708" s="10"/>
    </row>
    <row r="1709">
      <c r="A1709" s="10"/>
      <c r="B1709" s="18"/>
      <c r="C1709" s="10"/>
      <c r="D1709" s="10"/>
      <c r="E1709" s="10"/>
    </row>
    <row r="1710">
      <c r="A1710" s="10"/>
      <c r="B1710" s="18"/>
      <c r="C1710" s="10"/>
      <c r="D1710" s="10"/>
      <c r="E1710" s="10"/>
    </row>
    <row r="1711">
      <c r="A1711" s="10"/>
      <c r="B1711" s="18"/>
      <c r="C1711" s="10"/>
      <c r="D1711" s="10"/>
      <c r="E1711" s="10"/>
    </row>
    <row r="1712">
      <c r="A1712" s="10"/>
      <c r="B1712" s="18"/>
      <c r="C1712" s="10"/>
      <c r="D1712" s="10"/>
      <c r="E1712" s="10"/>
    </row>
    <row r="1713">
      <c r="A1713" s="10"/>
      <c r="B1713" s="18"/>
      <c r="C1713" s="10"/>
      <c r="D1713" s="10"/>
      <c r="E1713" s="10"/>
    </row>
    <row r="1714">
      <c r="A1714" s="10"/>
      <c r="B1714" s="18"/>
      <c r="C1714" s="10"/>
      <c r="D1714" s="10"/>
      <c r="E1714" s="10"/>
    </row>
    <row r="1715">
      <c r="A1715" s="10"/>
      <c r="B1715" s="18"/>
      <c r="C1715" s="10"/>
      <c r="D1715" s="10"/>
      <c r="E1715" s="10"/>
    </row>
    <row r="1716">
      <c r="A1716" s="10"/>
      <c r="B1716" s="18"/>
      <c r="C1716" s="10"/>
      <c r="D1716" s="10"/>
      <c r="E1716" s="10"/>
    </row>
    <row r="1717">
      <c r="A1717" s="10"/>
      <c r="B1717" s="18"/>
      <c r="C1717" s="10"/>
      <c r="D1717" s="10"/>
      <c r="E1717" s="10"/>
    </row>
    <row r="1718">
      <c r="A1718" s="10"/>
      <c r="B1718" s="18"/>
      <c r="C1718" s="10"/>
      <c r="D1718" s="10"/>
      <c r="E1718" s="10"/>
    </row>
    <row r="1719">
      <c r="A1719" s="10"/>
      <c r="B1719" s="18"/>
      <c r="C1719" s="10"/>
      <c r="D1719" s="10"/>
      <c r="E1719" s="10"/>
    </row>
    <row r="1720">
      <c r="A1720" s="10"/>
      <c r="B1720" s="18"/>
      <c r="C1720" s="10"/>
      <c r="D1720" s="10"/>
      <c r="E1720" s="10"/>
    </row>
    <row r="1721">
      <c r="A1721" s="10"/>
      <c r="B1721" s="18"/>
      <c r="C1721" s="10"/>
      <c r="D1721" s="10"/>
      <c r="E1721" s="10"/>
    </row>
    <row r="1722">
      <c r="A1722" s="10"/>
      <c r="B1722" s="18"/>
      <c r="C1722" s="10"/>
      <c r="D1722" s="10"/>
      <c r="E1722" s="10"/>
    </row>
    <row r="1723">
      <c r="A1723" s="10"/>
      <c r="B1723" s="18"/>
      <c r="C1723" s="10"/>
      <c r="D1723" s="10"/>
      <c r="E1723" s="10"/>
    </row>
    <row r="1724">
      <c r="A1724" s="10"/>
      <c r="B1724" s="18"/>
      <c r="C1724" s="10"/>
      <c r="D1724" s="10"/>
      <c r="E1724" s="10"/>
    </row>
    <row r="1725">
      <c r="A1725" s="10"/>
      <c r="B1725" s="18"/>
      <c r="C1725" s="10"/>
      <c r="D1725" s="10"/>
      <c r="E1725" s="10"/>
    </row>
    <row r="1726">
      <c r="A1726" s="10"/>
      <c r="B1726" s="18"/>
      <c r="C1726" s="10"/>
      <c r="D1726" s="10"/>
      <c r="E1726" s="10"/>
    </row>
    <row r="1727">
      <c r="A1727" s="10"/>
      <c r="B1727" s="18"/>
      <c r="C1727" s="10"/>
      <c r="D1727" s="10"/>
      <c r="E1727" s="10"/>
    </row>
    <row r="1728">
      <c r="A1728" s="10"/>
      <c r="B1728" s="18"/>
      <c r="C1728" s="10"/>
      <c r="D1728" s="10"/>
      <c r="E1728" s="10"/>
    </row>
    <row r="1729">
      <c r="A1729" s="10"/>
      <c r="B1729" s="18"/>
      <c r="C1729" s="10"/>
      <c r="D1729" s="10"/>
      <c r="E1729" s="10"/>
    </row>
    <row r="1730">
      <c r="A1730" s="10"/>
      <c r="B1730" s="18"/>
      <c r="C1730" s="10"/>
      <c r="D1730" s="10"/>
      <c r="E1730" s="10"/>
    </row>
    <row r="1731">
      <c r="A1731" s="10"/>
      <c r="B1731" s="18"/>
      <c r="C1731" s="10"/>
      <c r="D1731" s="10"/>
      <c r="E1731" s="10"/>
    </row>
    <row r="1732">
      <c r="A1732" s="10"/>
      <c r="B1732" s="18"/>
      <c r="C1732" s="10"/>
      <c r="D1732" s="10"/>
      <c r="E1732" s="10"/>
    </row>
    <row r="1733">
      <c r="A1733" s="10"/>
      <c r="B1733" s="18"/>
      <c r="C1733" s="10"/>
      <c r="D1733" s="10"/>
      <c r="E1733" s="10"/>
    </row>
    <row r="1734">
      <c r="A1734" s="10"/>
      <c r="B1734" s="18"/>
      <c r="C1734" s="10"/>
      <c r="D1734" s="10"/>
      <c r="E1734" s="10"/>
    </row>
    <row r="1735">
      <c r="A1735" s="10"/>
      <c r="B1735" s="18"/>
      <c r="C1735" s="10"/>
      <c r="D1735" s="10"/>
      <c r="E1735" s="10"/>
    </row>
    <row r="1736">
      <c r="A1736" s="10"/>
      <c r="B1736" s="18"/>
      <c r="C1736" s="10"/>
      <c r="D1736" s="10"/>
      <c r="E1736" s="10"/>
    </row>
    <row r="1737">
      <c r="A1737" s="10"/>
      <c r="B1737" s="18"/>
      <c r="C1737" s="10"/>
      <c r="D1737" s="10"/>
      <c r="E1737" s="10"/>
    </row>
    <row r="1738">
      <c r="A1738" s="10"/>
      <c r="B1738" s="18"/>
      <c r="C1738" s="10"/>
      <c r="D1738" s="10"/>
      <c r="E1738" s="10"/>
    </row>
    <row r="1739">
      <c r="A1739" s="10"/>
      <c r="B1739" s="18"/>
      <c r="C1739" s="10"/>
      <c r="D1739" s="10"/>
      <c r="E1739" s="10"/>
    </row>
    <row r="1740">
      <c r="A1740" s="10"/>
      <c r="B1740" s="18"/>
      <c r="C1740" s="10"/>
      <c r="D1740" s="10"/>
      <c r="E1740" s="10"/>
    </row>
    <row r="1741">
      <c r="A1741" s="10"/>
      <c r="B1741" s="18"/>
      <c r="C1741" s="10"/>
      <c r="D1741" s="10"/>
      <c r="E1741" s="10"/>
    </row>
    <row r="1742">
      <c r="A1742" s="10"/>
      <c r="B1742" s="18"/>
      <c r="C1742" s="10"/>
      <c r="D1742" s="10"/>
      <c r="E1742" s="10"/>
    </row>
    <row r="1743">
      <c r="A1743" s="10"/>
      <c r="B1743" s="18"/>
      <c r="C1743" s="10"/>
      <c r="D1743" s="10"/>
      <c r="E1743" s="10"/>
    </row>
    <row r="1744">
      <c r="A1744" s="10"/>
      <c r="B1744" s="18"/>
      <c r="C1744" s="10"/>
      <c r="D1744" s="10"/>
      <c r="E1744" s="10"/>
    </row>
    <row r="1745">
      <c r="A1745" s="10"/>
      <c r="B1745" s="18"/>
      <c r="C1745" s="10"/>
      <c r="D1745" s="10"/>
      <c r="E1745" s="10"/>
    </row>
    <row r="1746">
      <c r="A1746" s="10"/>
      <c r="B1746" s="18"/>
      <c r="C1746" s="10"/>
      <c r="D1746" s="10"/>
      <c r="E1746" s="10"/>
    </row>
    <row r="1747">
      <c r="A1747" s="10"/>
      <c r="B1747" s="18"/>
      <c r="C1747" s="10"/>
      <c r="D1747" s="10"/>
      <c r="E1747" s="10"/>
    </row>
    <row r="1748">
      <c r="A1748" s="10"/>
      <c r="B1748" s="18"/>
      <c r="C1748" s="10"/>
      <c r="D1748" s="10"/>
      <c r="E1748" s="10"/>
    </row>
    <row r="1749">
      <c r="A1749" s="10"/>
      <c r="B1749" s="18"/>
      <c r="C1749" s="10"/>
      <c r="D1749" s="10"/>
      <c r="E1749" s="10"/>
    </row>
    <row r="1750">
      <c r="A1750" s="10"/>
      <c r="B1750" s="18"/>
      <c r="C1750" s="10"/>
      <c r="D1750" s="10"/>
      <c r="E1750" s="10"/>
    </row>
    <row r="1751">
      <c r="A1751" s="10"/>
      <c r="B1751" s="18"/>
      <c r="C1751" s="10"/>
      <c r="D1751" s="10"/>
      <c r="E1751" s="10"/>
    </row>
    <row r="1752">
      <c r="A1752" s="10"/>
      <c r="B1752" s="18"/>
      <c r="C1752" s="10"/>
      <c r="D1752" s="10"/>
      <c r="E1752" s="10"/>
    </row>
    <row r="1753">
      <c r="A1753" s="10"/>
      <c r="B1753" s="18"/>
      <c r="C1753" s="10"/>
      <c r="D1753" s="10"/>
      <c r="E1753" s="10"/>
    </row>
    <row r="1754">
      <c r="A1754" s="10"/>
      <c r="B1754" s="18"/>
      <c r="C1754" s="10"/>
      <c r="D1754" s="10"/>
      <c r="E1754" s="10"/>
    </row>
    <row r="1755">
      <c r="A1755" s="10"/>
      <c r="B1755" s="18"/>
      <c r="C1755" s="10"/>
      <c r="D1755" s="10"/>
      <c r="E1755" s="10"/>
    </row>
    <row r="1756">
      <c r="A1756" s="10"/>
      <c r="B1756" s="18"/>
      <c r="C1756" s="10"/>
      <c r="D1756" s="10"/>
      <c r="E1756" s="10"/>
    </row>
    <row r="1757">
      <c r="A1757" s="10"/>
      <c r="B1757" s="18"/>
      <c r="C1757" s="10"/>
      <c r="D1757" s="10"/>
      <c r="E1757" s="10"/>
    </row>
    <row r="1758">
      <c r="A1758" s="10"/>
      <c r="B1758" s="18"/>
      <c r="C1758" s="10"/>
      <c r="D1758" s="10"/>
      <c r="E1758" s="10"/>
    </row>
    <row r="1759">
      <c r="A1759" s="10"/>
      <c r="B1759" s="18"/>
      <c r="C1759" s="10"/>
      <c r="D1759" s="10"/>
      <c r="E1759" s="10"/>
    </row>
    <row r="1760">
      <c r="A1760" s="10"/>
      <c r="B1760" s="18"/>
      <c r="C1760" s="10"/>
      <c r="D1760" s="10"/>
      <c r="E1760" s="10"/>
    </row>
    <row r="1761">
      <c r="A1761" s="10"/>
      <c r="B1761" s="18"/>
      <c r="C1761" s="10"/>
      <c r="D1761" s="10"/>
      <c r="E1761" s="10"/>
    </row>
    <row r="1762">
      <c r="A1762" s="10"/>
      <c r="B1762" s="18"/>
      <c r="C1762" s="10"/>
      <c r="D1762" s="10"/>
      <c r="E1762" s="10"/>
    </row>
    <row r="1763">
      <c r="A1763" s="10"/>
      <c r="B1763" s="18"/>
      <c r="C1763" s="10"/>
      <c r="D1763" s="10"/>
      <c r="E1763" s="10"/>
    </row>
    <row r="1764">
      <c r="A1764" s="10"/>
      <c r="B1764" s="18"/>
      <c r="C1764" s="10"/>
      <c r="D1764" s="10"/>
      <c r="E1764" s="10"/>
    </row>
    <row r="1765">
      <c r="A1765" s="10"/>
      <c r="B1765" s="18"/>
      <c r="C1765" s="10"/>
      <c r="D1765" s="10"/>
      <c r="E1765" s="10"/>
    </row>
    <row r="1766">
      <c r="A1766" s="10"/>
      <c r="B1766" s="18"/>
      <c r="C1766" s="10"/>
      <c r="D1766" s="10"/>
      <c r="E1766" s="10"/>
    </row>
    <row r="1767">
      <c r="A1767" s="10"/>
      <c r="B1767" s="18"/>
      <c r="C1767" s="10"/>
      <c r="D1767" s="10"/>
      <c r="E1767" s="10"/>
    </row>
    <row r="1768">
      <c r="A1768" s="10"/>
      <c r="B1768" s="18"/>
      <c r="C1768" s="10"/>
      <c r="D1768" s="10"/>
      <c r="E1768" s="10"/>
    </row>
    <row r="1769">
      <c r="A1769" s="10"/>
      <c r="B1769" s="18"/>
      <c r="C1769" s="10"/>
      <c r="D1769" s="10"/>
      <c r="E1769" s="10"/>
    </row>
    <row r="1770">
      <c r="A1770" s="10"/>
      <c r="B1770" s="18"/>
      <c r="C1770" s="10"/>
      <c r="D1770" s="10"/>
      <c r="E1770" s="10"/>
    </row>
    <row r="1771">
      <c r="A1771" s="10"/>
      <c r="B1771" s="18"/>
      <c r="C1771" s="10"/>
      <c r="D1771" s="10"/>
      <c r="E1771" s="10"/>
    </row>
    <row r="1772">
      <c r="A1772" s="10"/>
      <c r="B1772" s="18"/>
      <c r="C1772" s="10"/>
      <c r="D1772" s="10"/>
      <c r="E1772" s="10"/>
    </row>
    <row r="1773">
      <c r="A1773" s="10"/>
      <c r="B1773" s="18"/>
      <c r="C1773" s="10"/>
      <c r="D1773" s="10"/>
      <c r="E1773" s="10"/>
    </row>
    <row r="1774">
      <c r="A1774" s="10"/>
      <c r="B1774" s="18"/>
      <c r="C1774" s="10"/>
      <c r="D1774" s="10"/>
      <c r="E1774" s="10"/>
    </row>
    <row r="1775">
      <c r="A1775" s="10"/>
      <c r="B1775" s="18"/>
      <c r="C1775" s="10"/>
      <c r="D1775" s="10"/>
      <c r="E1775" s="10"/>
    </row>
    <row r="1776">
      <c r="A1776" s="10"/>
      <c r="B1776" s="18"/>
      <c r="C1776" s="10"/>
      <c r="D1776" s="10"/>
      <c r="E1776" s="10"/>
    </row>
    <row r="1777">
      <c r="A1777" s="10"/>
      <c r="B1777" s="18"/>
      <c r="C1777" s="10"/>
      <c r="D1777" s="10"/>
      <c r="E1777" s="10"/>
    </row>
    <row r="1778">
      <c r="A1778" s="10"/>
      <c r="B1778" s="18"/>
      <c r="C1778" s="10"/>
      <c r="D1778" s="10"/>
      <c r="E1778" s="10"/>
    </row>
    <row r="1779">
      <c r="A1779" s="10"/>
      <c r="B1779" s="18"/>
      <c r="C1779" s="10"/>
      <c r="D1779" s="10"/>
      <c r="E1779" s="10"/>
    </row>
    <row r="1780">
      <c r="A1780" s="10"/>
      <c r="B1780" s="18"/>
      <c r="C1780" s="10"/>
      <c r="D1780" s="10"/>
      <c r="E1780" s="10"/>
    </row>
    <row r="1781">
      <c r="A1781" s="10"/>
      <c r="B1781" s="18"/>
      <c r="C1781" s="10"/>
      <c r="D1781" s="10"/>
      <c r="E1781" s="10"/>
    </row>
    <row r="1782">
      <c r="A1782" s="10"/>
      <c r="B1782" s="18"/>
      <c r="C1782" s="10"/>
      <c r="D1782" s="10"/>
      <c r="E1782" s="10"/>
    </row>
    <row r="1783">
      <c r="A1783" s="10"/>
      <c r="B1783" s="18"/>
      <c r="C1783" s="10"/>
      <c r="D1783" s="10"/>
      <c r="E1783" s="10"/>
    </row>
    <row r="1784">
      <c r="A1784" s="10"/>
      <c r="B1784" s="18"/>
      <c r="C1784" s="10"/>
      <c r="D1784" s="10"/>
      <c r="E1784" s="10"/>
    </row>
    <row r="1785">
      <c r="A1785" s="10"/>
      <c r="B1785" s="18"/>
      <c r="C1785" s="10"/>
      <c r="D1785" s="10"/>
      <c r="E1785" s="10"/>
    </row>
    <row r="1786">
      <c r="A1786" s="10"/>
      <c r="B1786" s="18"/>
      <c r="C1786" s="10"/>
      <c r="D1786" s="10"/>
      <c r="E1786" s="10"/>
    </row>
    <row r="1787">
      <c r="A1787" s="10"/>
      <c r="B1787" s="18"/>
      <c r="C1787" s="10"/>
      <c r="D1787" s="10"/>
      <c r="E1787" s="10"/>
    </row>
    <row r="1788">
      <c r="A1788" s="10"/>
      <c r="B1788" s="18"/>
      <c r="C1788" s="10"/>
      <c r="D1788" s="10"/>
      <c r="E1788" s="10"/>
    </row>
    <row r="1789">
      <c r="A1789" s="10"/>
      <c r="B1789" s="18"/>
      <c r="C1789" s="10"/>
      <c r="D1789" s="10"/>
      <c r="E1789" s="10"/>
    </row>
    <row r="1790">
      <c r="A1790" s="10"/>
      <c r="B1790" s="18"/>
      <c r="C1790" s="10"/>
      <c r="D1790" s="10"/>
      <c r="E1790" s="10"/>
    </row>
    <row r="1791">
      <c r="A1791" s="10"/>
      <c r="B1791" s="18"/>
      <c r="C1791" s="10"/>
      <c r="D1791" s="10"/>
      <c r="E1791" s="10"/>
    </row>
    <row r="1792">
      <c r="A1792" s="10"/>
      <c r="B1792" s="18"/>
      <c r="C1792" s="10"/>
      <c r="D1792" s="10"/>
      <c r="E1792" s="10"/>
    </row>
    <row r="1793">
      <c r="A1793" s="10"/>
      <c r="B1793" s="18"/>
      <c r="C1793" s="10"/>
      <c r="D1793" s="10"/>
      <c r="E1793" s="10"/>
    </row>
    <row r="1794">
      <c r="A1794" s="10"/>
      <c r="B1794" s="18"/>
      <c r="C1794" s="10"/>
      <c r="D1794" s="10"/>
      <c r="E1794" s="10"/>
    </row>
    <row r="1795">
      <c r="A1795" s="10"/>
      <c r="B1795" s="18"/>
      <c r="C1795" s="10"/>
      <c r="D1795" s="10"/>
      <c r="E1795" s="10"/>
    </row>
    <row r="1796">
      <c r="A1796" s="10"/>
      <c r="B1796" s="18"/>
      <c r="C1796" s="10"/>
      <c r="D1796" s="10"/>
      <c r="E1796" s="10"/>
    </row>
    <row r="1797">
      <c r="A1797" s="10"/>
      <c r="B1797" s="18"/>
      <c r="C1797" s="10"/>
      <c r="D1797" s="10"/>
      <c r="E1797" s="10"/>
    </row>
    <row r="1798">
      <c r="A1798" s="10"/>
      <c r="B1798" s="18"/>
      <c r="C1798" s="10"/>
      <c r="D1798" s="10"/>
      <c r="E1798" s="10"/>
    </row>
    <row r="1799">
      <c r="A1799" s="10"/>
      <c r="B1799" s="18"/>
      <c r="C1799" s="10"/>
      <c r="D1799" s="10"/>
      <c r="E1799" s="10"/>
    </row>
    <row r="1800">
      <c r="A1800" s="10"/>
      <c r="B1800" s="18"/>
      <c r="C1800" s="10"/>
      <c r="D1800" s="10"/>
      <c r="E1800" s="10"/>
    </row>
    <row r="1801">
      <c r="A1801" s="10"/>
      <c r="B1801" s="18"/>
      <c r="C1801" s="10"/>
      <c r="D1801" s="10"/>
      <c r="E1801" s="10"/>
    </row>
    <row r="1802">
      <c r="A1802" s="10"/>
      <c r="B1802" s="18"/>
      <c r="C1802" s="10"/>
      <c r="D1802" s="10"/>
      <c r="E1802" s="10"/>
    </row>
    <row r="1803">
      <c r="A1803" s="10"/>
      <c r="B1803" s="18"/>
      <c r="C1803" s="10"/>
      <c r="D1803" s="10"/>
      <c r="E1803" s="10"/>
    </row>
    <row r="1804">
      <c r="A1804" s="10"/>
      <c r="B1804" s="18"/>
      <c r="C1804" s="10"/>
      <c r="D1804" s="10"/>
      <c r="E1804" s="10"/>
    </row>
    <row r="1805">
      <c r="A1805" s="10"/>
      <c r="B1805" s="18"/>
      <c r="C1805" s="10"/>
      <c r="D1805" s="10"/>
      <c r="E1805" s="10"/>
    </row>
    <row r="1806">
      <c r="A1806" s="10"/>
      <c r="B1806" s="18"/>
      <c r="C1806" s="10"/>
      <c r="D1806" s="10"/>
      <c r="E1806" s="10"/>
    </row>
    <row r="1807">
      <c r="A1807" s="10"/>
      <c r="B1807" s="18"/>
      <c r="C1807" s="10"/>
      <c r="D1807" s="10"/>
      <c r="E1807" s="10"/>
    </row>
    <row r="1808">
      <c r="A1808" s="10"/>
      <c r="B1808" s="18"/>
      <c r="C1808" s="10"/>
      <c r="D1808" s="10"/>
      <c r="E1808" s="10"/>
    </row>
    <row r="1809">
      <c r="A1809" s="10"/>
      <c r="B1809" s="18"/>
      <c r="C1809" s="10"/>
      <c r="D1809" s="10"/>
      <c r="E1809" s="10"/>
    </row>
    <row r="1810">
      <c r="A1810" s="10"/>
      <c r="B1810" s="18"/>
      <c r="C1810" s="10"/>
      <c r="D1810" s="10"/>
      <c r="E1810" s="10"/>
    </row>
    <row r="1811">
      <c r="A1811" s="10"/>
      <c r="B1811" s="18"/>
      <c r="C1811" s="10"/>
      <c r="D1811" s="10"/>
      <c r="E1811" s="10"/>
    </row>
    <row r="1812">
      <c r="A1812" s="10"/>
      <c r="B1812" s="18"/>
      <c r="C1812" s="10"/>
      <c r="D1812" s="10"/>
      <c r="E1812" s="10"/>
    </row>
    <row r="1813">
      <c r="A1813" s="10"/>
      <c r="B1813" s="18"/>
      <c r="C1813" s="10"/>
      <c r="D1813" s="10"/>
      <c r="E1813" s="10"/>
    </row>
    <row r="1814">
      <c r="A1814" s="10"/>
      <c r="B1814" s="18"/>
      <c r="C1814" s="10"/>
      <c r="D1814" s="10"/>
      <c r="E1814" s="10"/>
    </row>
    <row r="1815">
      <c r="A1815" s="10"/>
      <c r="B1815" s="18"/>
      <c r="C1815" s="10"/>
      <c r="D1815" s="10"/>
      <c r="E1815" s="10"/>
    </row>
    <row r="1816">
      <c r="A1816" s="10"/>
      <c r="B1816" s="18"/>
      <c r="C1816" s="10"/>
      <c r="D1816" s="10"/>
      <c r="E1816" s="10"/>
    </row>
    <row r="1817">
      <c r="A1817" s="10"/>
      <c r="B1817" s="18"/>
      <c r="C1817" s="10"/>
      <c r="D1817" s="10"/>
      <c r="E1817" s="10"/>
    </row>
    <row r="1818">
      <c r="A1818" s="10"/>
      <c r="B1818" s="18"/>
      <c r="C1818" s="10"/>
      <c r="D1818" s="10"/>
      <c r="E1818" s="10"/>
    </row>
    <row r="1819">
      <c r="A1819" s="10"/>
      <c r="B1819" s="18"/>
      <c r="C1819" s="10"/>
      <c r="D1819" s="10"/>
      <c r="E1819" s="10"/>
    </row>
    <row r="1820">
      <c r="A1820" s="10"/>
      <c r="B1820" s="18"/>
      <c r="C1820" s="10"/>
      <c r="D1820" s="10"/>
      <c r="E1820" s="10"/>
    </row>
    <row r="1821">
      <c r="A1821" s="10"/>
      <c r="B1821" s="18"/>
      <c r="C1821" s="10"/>
      <c r="D1821" s="10"/>
      <c r="E1821" s="10"/>
    </row>
    <row r="1822">
      <c r="A1822" s="10"/>
      <c r="B1822" s="18"/>
      <c r="C1822" s="10"/>
      <c r="D1822" s="10"/>
      <c r="E1822" s="10"/>
    </row>
    <row r="1823">
      <c r="A1823" s="10"/>
      <c r="B1823" s="18"/>
      <c r="C1823" s="10"/>
      <c r="D1823" s="10"/>
      <c r="E1823" s="10"/>
    </row>
    <row r="1824">
      <c r="A1824" s="10"/>
      <c r="B1824" s="18"/>
      <c r="C1824" s="10"/>
      <c r="D1824" s="10"/>
      <c r="E1824" s="10"/>
    </row>
    <row r="1825">
      <c r="A1825" s="10"/>
      <c r="B1825" s="18"/>
      <c r="C1825" s="10"/>
      <c r="D1825" s="10"/>
      <c r="E1825" s="10"/>
    </row>
    <row r="1826">
      <c r="A1826" s="10"/>
      <c r="B1826" s="18"/>
      <c r="C1826" s="10"/>
      <c r="D1826" s="10"/>
      <c r="E1826" s="10"/>
    </row>
    <row r="1827">
      <c r="A1827" s="10"/>
      <c r="B1827" s="18"/>
      <c r="C1827" s="10"/>
      <c r="D1827" s="10"/>
      <c r="E1827" s="10"/>
    </row>
    <row r="1828">
      <c r="A1828" s="10"/>
      <c r="B1828" s="18"/>
      <c r="C1828" s="10"/>
      <c r="D1828" s="10"/>
      <c r="E1828" s="10"/>
    </row>
    <row r="1829">
      <c r="A1829" s="10"/>
      <c r="B1829" s="18"/>
      <c r="C1829" s="10"/>
      <c r="D1829" s="10"/>
      <c r="E1829" s="10"/>
    </row>
    <row r="1830">
      <c r="A1830" s="10"/>
      <c r="B1830" s="18"/>
      <c r="C1830" s="10"/>
      <c r="D1830" s="10"/>
      <c r="E1830" s="10"/>
    </row>
    <row r="1831">
      <c r="A1831" s="10"/>
      <c r="B1831" s="18"/>
      <c r="C1831" s="10"/>
      <c r="D1831" s="10"/>
      <c r="E1831" s="10"/>
    </row>
    <row r="1832">
      <c r="A1832" s="10"/>
      <c r="B1832" s="18"/>
      <c r="C1832" s="10"/>
      <c r="D1832" s="10"/>
      <c r="E1832" s="10"/>
    </row>
    <row r="1833">
      <c r="A1833" s="10"/>
      <c r="B1833" s="18"/>
      <c r="C1833" s="10"/>
      <c r="D1833" s="10"/>
      <c r="E1833" s="10"/>
    </row>
    <row r="1834">
      <c r="A1834" s="10"/>
      <c r="B1834" s="18"/>
      <c r="C1834" s="10"/>
      <c r="D1834" s="10"/>
      <c r="E1834" s="10"/>
    </row>
    <row r="1835">
      <c r="A1835" s="10"/>
      <c r="B1835" s="18"/>
      <c r="C1835" s="10"/>
      <c r="D1835" s="10"/>
      <c r="E1835" s="10"/>
    </row>
    <row r="1836">
      <c r="A1836" s="10"/>
      <c r="B1836" s="18"/>
      <c r="C1836" s="10"/>
      <c r="D1836" s="10"/>
      <c r="E1836" s="10"/>
    </row>
    <row r="1837">
      <c r="A1837" s="10"/>
      <c r="B1837" s="18"/>
      <c r="C1837" s="10"/>
      <c r="D1837" s="10"/>
      <c r="E1837" s="10"/>
    </row>
    <row r="1838">
      <c r="A1838" s="10"/>
      <c r="B1838" s="18"/>
      <c r="C1838" s="10"/>
      <c r="D1838" s="10"/>
      <c r="E1838" s="10"/>
    </row>
    <row r="1839">
      <c r="A1839" s="10"/>
      <c r="B1839" s="18"/>
      <c r="C1839" s="10"/>
      <c r="D1839" s="10"/>
      <c r="E1839" s="10"/>
    </row>
    <row r="1840">
      <c r="A1840" s="10"/>
      <c r="B1840" s="18"/>
      <c r="C1840" s="10"/>
      <c r="D1840" s="10"/>
      <c r="E1840" s="10"/>
    </row>
    <row r="1841">
      <c r="A1841" s="10"/>
      <c r="B1841" s="18"/>
      <c r="C1841" s="10"/>
      <c r="D1841" s="10"/>
      <c r="E1841" s="10"/>
    </row>
    <row r="1842">
      <c r="A1842" s="10"/>
      <c r="B1842" s="18"/>
      <c r="C1842" s="10"/>
      <c r="D1842" s="10"/>
      <c r="E1842" s="10"/>
    </row>
    <row r="1843">
      <c r="A1843" s="10"/>
      <c r="B1843" s="18"/>
      <c r="C1843" s="10"/>
      <c r="D1843" s="10"/>
      <c r="E1843" s="10"/>
    </row>
    <row r="1844">
      <c r="A1844" s="10"/>
      <c r="B1844" s="18"/>
      <c r="C1844" s="10"/>
      <c r="D1844" s="10"/>
      <c r="E1844" s="10"/>
    </row>
    <row r="1845">
      <c r="A1845" s="10"/>
      <c r="B1845" s="18"/>
      <c r="C1845" s="10"/>
      <c r="D1845" s="10"/>
      <c r="E1845" s="10"/>
    </row>
    <row r="1846">
      <c r="A1846" s="10"/>
      <c r="B1846" s="18"/>
      <c r="C1846" s="10"/>
      <c r="D1846" s="10"/>
      <c r="E1846" s="10"/>
    </row>
    <row r="1847">
      <c r="A1847" s="10"/>
      <c r="B1847" s="18"/>
      <c r="C1847" s="10"/>
      <c r="D1847" s="10"/>
      <c r="E1847" s="10"/>
    </row>
    <row r="1848">
      <c r="A1848" s="10"/>
      <c r="B1848" s="18"/>
      <c r="C1848" s="10"/>
      <c r="D1848" s="10"/>
      <c r="E1848" s="10"/>
    </row>
    <row r="1849">
      <c r="A1849" s="10"/>
      <c r="B1849" s="18"/>
      <c r="C1849" s="10"/>
      <c r="D1849" s="10"/>
      <c r="E1849" s="10"/>
    </row>
    <row r="1850">
      <c r="A1850" s="10"/>
      <c r="B1850" s="18"/>
      <c r="C1850" s="10"/>
      <c r="D1850" s="10"/>
      <c r="E1850" s="10"/>
    </row>
    <row r="1851">
      <c r="A1851" s="10"/>
      <c r="B1851" s="18"/>
      <c r="C1851" s="10"/>
      <c r="D1851" s="10"/>
      <c r="E1851" s="10"/>
    </row>
    <row r="1852">
      <c r="A1852" s="10"/>
      <c r="B1852" s="18"/>
      <c r="C1852" s="10"/>
      <c r="D1852" s="10"/>
      <c r="E1852" s="10"/>
    </row>
    <row r="1853">
      <c r="A1853" s="10"/>
      <c r="B1853" s="18"/>
      <c r="C1853" s="10"/>
      <c r="D1853" s="10"/>
      <c r="E1853" s="10"/>
    </row>
    <row r="1854">
      <c r="A1854" s="10"/>
      <c r="B1854" s="18"/>
      <c r="C1854" s="10"/>
      <c r="D1854" s="10"/>
      <c r="E1854" s="10"/>
    </row>
    <row r="1855">
      <c r="A1855" s="10"/>
      <c r="B1855" s="18"/>
      <c r="C1855" s="10"/>
      <c r="D1855" s="10"/>
      <c r="E1855" s="10"/>
    </row>
    <row r="1856">
      <c r="A1856" s="10"/>
      <c r="B1856" s="18"/>
      <c r="C1856" s="10"/>
      <c r="D1856" s="10"/>
      <c r="E1856" s="10"/>
    </row>
    <row r="1857">
      <c r="A1857" s="10"/>
      <c r="B1857" s="18"/>
      <c r="C1857" s="10"/>
      <c r="D1857" s="10"/>
      <c r="E1857" s="10"/>
    </row>
    <row r="1858">
      <c r="A1858" s="10"/>
      <c r="B1858" s="18"/>
      <c r="C1858" s="10"/>
      <c r="D1858" s="10"/>
      <c r="E1858" s="10"/>
    </row>
    <row r="1859">
      <c r="A1859" s="10"/>
      <c r="B1859" s="18"/>
      <c r="C1859" s="10"/>
      <c r="D1859" s="10"/>
      <c r="E1859" s="10"/>
    </row>
    <row r="1860">
      <c r="A1860" s="10"/>
      <c r="B1860" s="18"/>
      <c r="C1860" s="10"/>
      <c r="D1860" s="10"/>
      <c r="E1860" s="10"/>
    </row>
    <row r="1861">
      <c r="A1861" s="10"/>
      <c r="B1861" s="18"/>
      <c r="C1861" s="10"/>
      <c r="D1861" s="10"/>
      <c r="E1861" s="10"/>
    </row>
    <row r="1862">
      <c r="A1862" s="10"/>
      <c r="B1862" s="18"/>
      <c r="C1862" s="10"/>
      <c r="D1862" s="10"/>
      <c r="E1862" s="10"/>
    </row>
    <row r="1863">
      <c r="A1863" s="10"/>
      <c r="B1863" s="18"/>
      <c r="C1863" s="10"/>
      <c r="D1863" s="10"/>
      <c r="E1863" s="10"/>
    </row>
    <row r="1864">
      <c r="A1864" s="10"/>
      <c r="B1864" s="18"/>
      <c r="C1864" s="10"/>
      <c r="D1864" s="10"/>
      <c r="E1864" s="10"/>
    </row>
    <row r="1865">
      <c r="A1865" s="10"/>
      <c r="B1865" s="18"/>
      <c r="C1865" s="10"/>
      <c r="D1865" s="10"/>
      <c r="E1865" s="10"/>
    </row>
    <row r="1866">
      <c r="A1866" s="10"/>
      <c r="B1866" s="18"/>
      <c r="C1866" s="10"/>
      <c r="D1866" s="10"/>
      <c r="E1866" s="10"/>
    </row>
    <row r="1867">
      <c r="A1867" s="10"/>
      <c r="B1867" s="18"/>
      <c r="C1867" s="10"/>
      <c r="D1867" s="10"/>
      <c r="E1867" s="10"/>
    </row>
    <row r="1868">
      <c r="A1868" s="10"/>
      <c r="B1868" s="18"/>
      <c r="C1868" s="10"/>
      <c r="D1868" s="10"/>
      <c r="E1868" s="10"/>
    </row>
    <row r="1869">
      <c r="A1869" s="10"/>
      <c r="B1869" s="18"/>
      <c r="C1869" s="10"/>
      <c r="D1869" s="10"/>
      <c r="E1869" s="10"/>
    </row>
    <row r="1870">
      <c r="A1870" s="10"/>
      <c r="B1870" s="18"/>
      <c r="C1870" s="10"/>
      <c r="D1870" s="10"/>
      <c r="E1870" s="10"/>
    </row>
    <row r="1871">
      <c r="A1871" s="10"/>
      <c r="B1871" s="18"/>
      <c r="C1871" s="10"/>
      <c r="D1871" s="10"/>
      <c r="E1871" s="10"/>
    </row>
    <row r="1872">
      <c r="A1872" s="10"/>
      <c r="B1872" s="18"/>
      <c r="C1872" s="10"/>
      <c r="D1872" s="10"/>
      <c r="E1872" s="10"/>
    </row>
    <row r="1873">
      <c r="A1873" s="10"/>
      <c r="B1873" s="18"/>
      <c r="C1873" s="10"/>
      <c r="D1873" s="10"/>
      <c r="E1873" s="10"/>
    </row>
    <row r="1874">
      <c r="A1874" s="10"/>
      <c r="B1874" s="18"/>
      <c r="C1874" s="10"/>
      <c r="D1874" s="10"/>
      <c r="E1874" s="10"/>
    </row>
    <row r="1875">
      <c r="A1875" s="10"/>
      <c r="B1875" s="18"/>
      <c r="C1875" s="10"/>
      <c r="D1875" s="10"/>
      <c r="E1875" s="10"/>
    </row>
    <row r="1876">
      <c r="A1876" s="10"/>
      <c r="B1876" s="18"/>
      <c r="C1876" s="10"/>
      <c r="D1876" s="10"/>
      <c r="E1876" s="10"/>
    </row>
    <row r="1877">
      <c r="A1877" s="10"/>
      <c r="B1877" s="18"/>
      <c r="C1877" s="10"/>
      <c r="D1877" s="10"/>
      <c r="E1877" s="10"/>
    </row>
    <row r="1878">
      <c r="A1878" s="10"/>
      <c r="B1878" s="18"/>
      <c r="C1878" s="10"/>
      <c r="D1878" s="10"/>
      <c r="E1878" s="10"/>
    </row>
    <row r="1879">
      <c r="A1879" s="10"/>
      <c r="B1879" s="18"/>
      <c r="C1879" s="10"/>
      <c r="D1879" s="10"/>
      <c r="E1879" s="10"/>
    </row>
    <row r="1880">
      <c r="A1880" s="10"/>
      <c r="B1880" s="18"/>
      <c r="C1880" s="10"/>
      <c r="D1880" s="10"/>
      <c r="E1880" s="10"/>
    </row>
    <row r="1881">
      <c r="A1881" s="10"/>
      <c r="B1881" s="18"/>
      <c r="C1881" s="10"/>
      <c r="D1881" s="10"/>
      <c r="E1881" s="10"/>
    </row>
    <row r="1882">
      <c r="A1882" s="10"/>
      <c r="B1882" s="18"/>
      <c r="C1882" s="10"/>
      <c r="D1882" s="10"/>
      <c r="E1882" s="10"/>
    </row>
    <row r="1883">
      <c r="A1883" s="10"/>
      <c r="B1883" s="18"/>
      <c r="C1883" s="10"/>
      <c r="D1883" s="10"/>
      <c r="E1883" s="10"/>
    </row>
    <row r="1884">
      <c r="A1884" s="10"/>
      <c r="B1884" s="18"/>
      <c r="C1884" s="10"/>
      <c r="D1884" s="10"/>
      <c r="E1884" s="10"/>
    </row>
    <row r="1885">
      <c r="A1885" s="10"/>
      <c r="B1885" s="18"/>
      <c r="C1885" s="10"/>
      <c r="D1885" s="10"/>
      <c r="E1885" s="10"/>
    </row>
    <row r="1886">
      <c r="A1886" s="10"/>
      <c r="B1886" s="18"/>
      <c r="C1886" s="10"/>
      <c r="D1886" s="10"/>
      <c r="E1886" s="10"/>
    </row>
    <row r="1887">
      <c r="A1887" s="10"/>
      <c r="B1887" s="18"/>
      <c r="C1887" s="10"/>
      <c r="D1887" s="10"/>
      <c r="E1887" s="10"/>
    </row>
    <row r="1888">
      <c r="A1888" s="10"/>
      <c r="B1888" s="18"/>
      <c r="C1888" s="10"/>
      <c r="D1888" s="10"/>
      <c r="E1888" s="10"/>
    </row>
    <row r="1889">
      <c r="A1889" s="10"/>
      <c r="B1889" s="18"/>
      <c r="C1889" s="10"/>
      <c r="D1889" s="10"/>
      <c r="E1889" s="10"/>
    </row>
    <row r="1890">
      <c r="A1890" s="10"/>
      <c r="B1890" s="18"/>
      <c r="C1890" s="10"/>
      <c r="D1890" s="10"/>
      <c r="E1890" s="10"/>
    </row>
    <row r="1891">
      <c r="A1891" s="10"/>
      <c r="B1891" s="18"/>
      <c r="C1891" s="10"/>
      <c r="D1891" s="10"/>
      <c r="E1891" s="10"/>
    </row>
    <row r="1892">
      <c r="A1892" s="10"/>
      <c r="B1892" s="18"/>
      <c r="C1892" s="10"/>
      <c r="D1892" s="10"/>
      <c r="E1892" s="10"/>
    </row>
    <row r="1893">
      <c r="A1893" s="10"/>
      <c r="B1893" s="18"/>
      <c r="C1893" s="10"/>
      <c r="D1893" s="10"/>
      <c r="E1893" s="10"/>
    </row>
    <row r="1894">
      <c r="A1894" s="10"/>
      <c r="B1894" s="18"/>
      <c r="C1894" s="10"/>
      <c r="D1894" s="10"/>
      <c r="E1894" s="10"/>
    </row>
    <row r="1895">
      <c r="A1895" s="10"/>
      <c r="B1895" s="18"/>
      <c r="C1895" s="10"/>
      <c r="D1895" s="10"/>
      <c r="E1895" s="10"/>
    </row>
    <row r="1896">
      <c r="A1896" s="10"/>
      <c r="B1896" s="18"/>
      <c r="C1896" s="10"/>
      <c r="D1896" s="10"/>
      <c r="E1896" s="10"/>
    </row>
    <row r="1897">
      <c r="A1897" s="10"/>
      <c r="B1897" s="18"/>
      <c r="C1897" s="10"/>
      <c r="D1897" s="10"/>
      <c r="E1897" s="10"/>
    </row>
    <row r="1898">
      <c r="A1898" s="10"/>
      <c r="B1898" s="18"/>
      <c r="C1898" s="10"/>
      <c r="D1898" s="10"/>
      <c r="E1898" s="10"/>
    </row>
    <row r="1899">
      <c r="A1899" s="10"/>
      <c r="B1899" s="18"/>
      <c r="C1899" s="10"/>
      <c r="D1899" s="10"/>
      <c r="E1899" s="10"/>
    </row>
    <row r="1900">
      <c r="A1900" s="10"/>
      <c r="B1900" s="18"/>
      <c r="C1900" s="10"/>
      <c r="D1900" s="10"/>
      <c r="E1900" s="10"/>
    </row>
    <row r="1901">
      <c r="A1901" s="10"/>
      <c r="B1901" s="18"/>
      <c r="C1901" s="10"/>
      <c r="D1901" s="10"/>
      <c r="E1901" s="10"/>
    </row>
    <row r="1902">
      <c r="A1902" s="10"/>
      <c r="B1902" s="18"/>
      <c r="C1902" s="10"/>
      <c r="D1902" s="10"/>
      <c r="E1902" s="10"/>
    </row>
    <row r="1903">
      <c r="A1903" s="10"/>
      <c r="B1903" s="18"/>
      <c r="C1903" s="10"/>
      <c r="D1903" s="10"/>
      <c r="E1903" s="10"/>
    </row>
    <row r="1904">
      <c r="A1904" s="10"/>
      <c r="B1904" s="18"/>
      <c r="C1904" s="10"/>
      <c r="D1904" s="10"/>
      <c r="E1904" s="10"/>
    </row>
    <row r="1905">
      <c r="A1905" s="10"/>
      <c r="B1905" s="18"/>
      <c r="C1905" s="10"/>
      <c r="D1905" s="10"/>
      <c r="E1905" s="10"/>
    </row>
    <row r="1906">
      <c r="A1906" s="10"/>
      <c r="B1906" s="18"/>
      <c r="C1906" s="10"/>
      <c r="D1906" s="10"/>
      <c r="E1906" s="10"/>
    </row>
    <row r="1907">
      <c r="A1907" s="10"/>
      <c r="B1907" s="18"/>
      <c r="C1907" s="10"/>
      <c r="D1907" s="10"/>
      <c r="E1907" s="10"/>
    </row>
    <row r="1908">
      <c r="A1908" s="10"/>
      <c r="B1908" s="18"/>
      <c r="C1908" s="10"/>
      <c r="D1908" s="10"/>
      <c r="E1908" s="10"/>
    </row>
    <row r="1909">
      <c r="A1909" s="10"/>
      <c r="B1909" s="18"/>
      <c r="C1909" s="10"/>
      <c r="D1909" s="10"/>
      <c r="E1909" s="10"/>
    </row>
    <row r="1910">
      <c r="A1910" s="10"/>
      <c r="B1910" s="18"/>
      <c r="C1910" s="10"/>
      <c r="D1910" s="10"/>
      <c r="E1910" s="10"/>
    </row>
    <row r="1911">
      <c r="A1911" s="10"/>
      <c r="B1911" s="18"/>
      <c r="C1911" s="10"/>
      <c r="D1911" s="10"/>
      <c r="E1911" s="10"/>
    </row>
    <row r="1912">
      <c r="A1912" s="10"/>
      <c r="B1912" s="18"/>
      <c r="C1912" s="10"/>
      <c r="D1912" s="10"/>
      <c r="E1912" s="10"/>
    </row>
    <row r="1913">
      <c r="A1913" s="10"/>
      <c r="B1913" s="18"/>
      <c r="C1913" s="10"/>
      <c r="D1913" s="10"/>
      <c r="E1913" s="10"/>
    </row>
    <row r="1914">
      <c r="A1914" s="10"/>
      <c r="B1914" s="18"/>
      <c r="C1914" s="10"/>
      <c r="D1914" s="10"/>
      <c r="E1914" s="10"/>
    </row>
    <row r="1915">
      <c r="A1915" s="10"/>
      <c r="B1915" s="18"/>
      <c r="C1915" s="10"/>
      <c r="D1915" s="10"/>
      <c r="E1915" s="10"/>
    </row>
    <row r="1916">
      <c r="A1916" s="10"/>
      <c r="B1916" s="18"/>
      <c r="C1916" s="10"/>
      <c r="D1916" s="10"/>
      <c r="E1916" s="10"/>
    </row>
    <row r="1917">
      <c r="A1917" s="10"/>
      <c r="B1917" s="18"/>
      <c r="C1917" s="10"/>
      <c r="D1917" s="10"/>
      <c r="E1917" s="10"/>
    </row>
    <row r="1918">
      <c r="A1918" s="10"/>
      <c r="B1918" s="18"/>
      <c r="C1918" s="10"/>
      <c r="D1918" s="10"/>
      <c r="E1918" s="10"/>
    </row>
    <row r="1919">
      <c r="A1919" s="10"/>
      <c r="B1919" s="18"/>
      <c r="C1919" s="10"/>
      <c r="D1919" s="10"/>
      <c r="E1919" s="10"/>
    </row>
    <row r="1920">
      <c r="A1920" s="10"/>
      <c r="B1920" s="18"/>
      <c r="C1920" s="10"/>
      <c r="D1920" s="10"/>
      <c r="E1920" s="10"/>
    </row>
    <row r="1921">
      <c r="A1921" s="10"/>
      <c r="B1921" s="18"/>
      <c r="C1921" s="10"/>
      <c r="D1921" s="10"/>
      <c r="E1921" s="10"/>
    </row>
    <row r="1922">
      <c r="A1922" s="10"/>
      <c r="B1922" s="18"/>
      <c r="C1922" s="10"/>
      <c r="D1922" s="10"/>
      <c r="E1922" s="10"/>
    </row>
    <row r="1923">
      <c r="A1923" s="10"/>
      <c r="B1923" s="18"/>
      <c r="C1923" s="10"/>
      <c r="D1923" s="10"/>
      <c r="E1923" s="10"/>
    </row>
    <row r="1924">
      <c r="A1924" s="10"/>
      <c r="B1924" s="18"/>
      <c r="C1924" s="10"/>
      <c r="D1924" s="10"/>
      <c r="E1924" s="10"/>
    </row>
    <row r="1925">
      <c r="A1925" s="10"/>
      <c r="B1925" s="18"/>
      <c r="C1925" s="10"/>
      <c r="D1925" s="10"/>
      <c r="E1925" s="10"/>
    </row>
    <row r="1926">
      <c r="A1926" s="10"/>
      <c r="B1926" s="18"/>
      <c r="C1926" s="10"/>
      <c r="D1926" s="10"/>
      <c r="E1926" s="10"/>
    </row>
    <row r="1927">
      <c r="A1927" s="10"/>
      <c r="B1927" s="18"/>
      <c r="C1927" s="10"/>
      <c r="D1927" s="10"/>
      <c r="E1927" s="10"/>
    </row>
    <row r="1928">
      <c r="A1928" s="10"/>
      <c r="B1928" s="18"/>
      <c r="C1928" s="10"/>
      <c r="D1928" s="10"/>
      <c r="E1928" s="10"/>
    </row>
    <row r="1929">
      <c r="A1929" s="10"/>
      <c r="B1929" s="18"/>
      <c r="C1929" s="10"/>
      <c r="D1929" s="10"/>
      <c r="E1929" s="10"/>
    </row>
    <row r="1930">
      <c r="A1930" s="10"/>
      <c r="B1930" s="18"/>
      <c r="C1930" s="10"/>
      <c r="D1930" s="10"/>
      <c r="E1930" s="10"/>
    </row>
    <row r="1931">
      <c r="A1931" s="10"/>
      <c r="B1931" s="18"/>
      <c r="C1931" s="10"/>
      <c r="D1931" s="10"/>
      <c r="E1931" s="10"/>
    </row>
    <row r="1932">
      <c r="A1932" s="10"/>
      <c r="B1932" s="18"/>
      <c r="C1932" s="10"/>
      <c r="D1932" s="10"/>
      <c r="E1932" s="10"/>
    </row>
    <row r="1933">
      <c r="A1933" s="10"/>
      <c r="B1933" s="18"/>
      <c r="C1933" s="10"/>
      <c r="D1933" s="10"/>
      <c r="E1933" s="10"/>
    </row>
    <row r="1934">
      <c r="A1934" s="10"/>
      <c r="B1934" s="18"/>
      <c r="C1934" s="10"/>
      <c r="D1934" s="10"/>
      <c r="E1934" s="10"/>
    </row>
    <row r="1935">
      <c r="A1935" s="10"/>
      <c r="B1935" s="18"/>
      <c r="C1935" s="10"/>
      <c r="D1935" s="10"/>
      <c r="E1935" s="10"/>
    </row>
    <row r="1936">
      <c r="A1936" s="10"/>
      <c r="B1936" s="18"/>
      <c r="C1936" s="10"/>
      <c r="D1936" s="10"/>
      <c r="E1936" s="10"/>
    </row>
    <row r="1937">
      <c r="A1937" s="10"/>
      <c r="B1937" s="18"/>
      <c r="C1937" s="10"/>
      <c r="D1937" s="10"/>
      <c r="E1937" s="10"/>
    </row>
    <row r="1938">
      <c r="A1938" s="10"/>
      <c r="B1938" s="18"/>
      <c r="C1938" s="10"/>
      <c r="D1938" s="10"/>
      <c r="E1938" s="10"/>
    </row>
    <row r="1939">
      <c r="A1939" s="10"/>
      <c r="B1939" s="18"/>
      <c r="C1939" s="10"/>
      <c r="D1939" s="10"/>
      <c r="E1939" s="10"/>
    </row>
    <row r="1940">
      <c r="A1940" s="10"/>
      <c r="B1940" s="18"/>
      <c r="C1940" s="10"/>
      <c r="D1940" s="10"/>
      <c r="E1940" s="10"/>
    </row>
    <row r="1941">
      <c r="A1941" s="10"/>
      <c r="B1941" s="18"/>
      <c r="C1941" s="10"/>
      <c r="D1941" s="10"/>
      <c r="E1941" s="10"/>
    </row>
    <row r="1942">
      <c r="A1942" s="10"/>
      <c r="B1942" s="18"/>
      <c r="C1942" s="10"/>
      <c r="D1942" s="10"/>
      <c r="E1942" s="10"/>
    </row>
    <row r="1943">
      <c r="A1943" s="10"/>
      <c r="B1943" s="18"/>
      <c r="C1943" s="10"/>
      <c r="D1943" s="10"/>
      <c r="E1943" s="10"/>
    </row>
    <row r="1944">
      <c r="A1944" s="10"/>
      <c r="B1944" s="18"/>
      <c r="C1944" s="10"/>
      <c r="D1944" s="10"/>
      <c r="E1944" s="10"/>
    </row>
    <row r="1945">
      <c r="A1945" s="10"/>
      <c r="B1945" s="18"/>
      <c r="C1945" s="10"/>
      <c r="D1945" s="10"/>
      <c r="E1945" s="10"/>
    </row>
    <row r="1946">
      <c r="A1946" s="10"/>
      <c r="B1946" s="18"/>
      <c r="C1946" s="10"/>
      <c r="D1946" s="10"/>
      <c r="E1946" s="10"/>
    </row>
    <row r="1947">
      <c r="A1947" s="10"/>
      <c r="B1947" s="18"/>
      <c r="C1947" s="10"/>
      <c r="D1947" s="10"/>
      <c r="E1947" s="10"/>
    </row>
    <row r="1948">
      <c r="A1948" s="10"/>
      <c r="B1948" s="18"/>
      <c r="C1948" s="10"/>
      <c r="D1948" s="10"/>
      <c r="E1948" s="10"/>
    </row>
    <row r="1949">
      <c r="A1949" s="10"/>
      <c r="B1949" s="18"/>
      <c r="C1949" s="10"/>
      <c r="D1949" s="10"/>
      <c r="E1949" s="10"/>
    </row>
    <row r="1950">
      <c r="A1950" s="10"/>
      <c r="B1950" s="18"/>
      <c r="C1950" s="10"/>
      <c r="D1950" s="10"/>
      <c r="E1950" s="10"/>
    </row>
    <row r="1951">
      <c r="A1951" s="10"/>
      <c r="B1951" s="18"/>
      <c r="C1951" s="10"/>
      <c r="D1951" s="10"/>
      <c r="E1951" s="10"/>
    </row>
    <row r="1952">
      <c r="A1952" s="10"/>
      <c r="B1952" s="18"/>
      <c r="C1952" s="10"/>
      <c r="D1952" s="10"/>
      <c r="E1952" s="10"/>
    </row>
    <row r="1953">
      <c r="A1953" s="10"/>
      <c r="B1953" s="18"/>
      <c r="C1953" s="10"/>
      <c r="D1953" s="10"/>
      <c r="E1953" s="10"/>
    </row>
    <row r="1954">
      <c r="A1954" s="10"/>
      <c r="B1954" s="18"/>
      <c r="C1954" s="10"/>
      <c r="D1954" s="10"/>
      <c r="E1954" s="10"/>
    </row>
    <row r="1955">
      <c r="A1955" s="10"/>
      <c r="B1955" s="18"/>
      <c r="C1955" s="10"/>
      <c r="D1955" s="10"/>
      <c r="E1955" s="10"/>
    </row>
    <row r="1956">
      <c r="A1956" s="10"/>
      <c r="B1956" s="18"/>
      <c r="C1956" s="10"/>
      <c r="D1956" s="10"/>
      <c r="E1956" s="10"/>
    </row>
    <row r="1957">
      <c r="A1957" s="10"/>
      <c r="B1957" s="18"/>
      <c r="C1957" s="10"/>
      <c r="D1957" s="10"/>
      <c r="E1957" s="10"/>
    </row>
    <row r="1958">
      <c r="A1958" s="10"/>
      <c r="B1958" s="18"/>
      <c r="C1958" s="10"/>
      <c r="D1958" s="10"/>
      <c r="E1958" s="10"/>
    </row>
    <row r="1959">
      <c r="A1959" s="10"/>
      <c r="B1959" s="18"/>
      <c r="C1959" s="10"/>
      <c r="D1959" s="10"/>
      <c r="E1959" s="10"/>
    </row>
    <row r="1960">
      <c r="A1960" s="10"/>
      <c r="B1960" s="18"/>
      <c r="C1960" s="10"/>
      <c r="D1960" s="10"/>
      <c r="E1960" s="10"/>
    </row>
    <row r="1961">
      <c r="A1961" s="10"/>
      <c r="B1961" s="18"/>
      <c r="C1961" s="10"/>
      <c r="D1961" s="10"/>
      <c r="E1961" s="10"/>
    </row>
    <row r="1962">
      <c r="A1962" s="10"/>
      <c r="B1962" s="18"/>
      <c r="C1962" s="10"/>
      <c r="D1962" s="10"/>
      <c r="E1962" s="10"/>
    </row>
    <row r="1963">
      <c r="A1963" s="10"/>
      <c r="B1963" s="18"/>
      <c r="C1963" s="10"/>
      <c r="D1963" s="10"/>
      <c r="E1963" s="10"/>
    </row>
    <row r="1964">
      <c r="A1964" s="10"/>
      <c r="B1964" s="18"/>
      <c r="C1964" s="10"/>
      <c r="D1964" s="10"/>
      <c r="E1964" s="10"/>
    </row>
    <row r="1965">
      <c r="A1965" s="10"/>
      <c r="B1965" s="18"/>
      <c r="C1965" s="10"/>
      <c r="D1965" s="10"/>
      <c r="E1965" s="10"/>
    </row>
    <row r="1966">
      <c r="A1966" s="10"/>
      <c r="B1966" s="18"/>
      <c r="C1966" s="10"/>
      <c r="D1966" s="10"/>
      <c r="E1966" s="10"/>
    </row>
    <row r="1967">
      <c r="A1967" s="10"/>
      <c r="B1967" s="18"/>
      <c r="C1967" s="10"/>
      <c r="D1967" s="10"/>
      <c r="E1967" s="10"/>
    </row>
    <row r="1968">
      <c r="A1968" s="10"/>
      <c r="B1968" s="18"/>
      <c r="C1968" s="10"/>
      <c r="D1968" s="10"/>
      <c r="E1968" s="10"/>
    </row>
    <row r="1969">
      <c r="A1969" s="10"/>
      <c r="B1969" s="18"/>
      <c r="C1969" s="10"/>
      <c r="D1969" s="10"/>
      <c r="E1969" s="10"/>
    </row>
    <row r="1970">
      <c r="A1970" s="10"/>
      <c r="B1970" s="18"/>
      <c r="C1970" s="10"/>
      <c r="D1970" s="10"/>
      <c r="E1970" s="10"/>
    </row>
    <row r="1971">
      <c r="A1971" s="10"/>
      <c r="B1971" s="18"/>
      <c r="C1971" s="10"/>
      <c r="D1971" s="10"/>
      <c r="E1971" s="10"/>
    </row>
    <row r="1972">
      <c r="A1972" s="10"/>
      <c r="B1972" s="18"/>
      <c r="C1972" s="10"/>
      <c r="D1972" s="10"/>
      <c r="E1972" s="10"/>
    </row>
    <row r="1973">
      <c r="A1973" s="10"/>
      <c r="B1973" s="18"/>
      <c r="C1973" s="10"/>
      <c r="D1973" s="10"/>
      <c r="E1973" s="10"/>
    </row>
    <row r="1974">
      <c r="A1974" s="10"/>
      <c r="B1974" s="18"/>
      <c r="C1974" s="10"/>
      <c r="D1974" s="10"/>
      <c r="E1974" s="10"/>
    </row>
    <row r="1975">
      <c r="A1975" s="10"/>
      <c r="B1975" s="18"/>
      <c r="C1975" s="10"/>
      <c r="D1975" s="10"/>
      <c r="E1975" s="10"/>
    </row>
    <row r="1976">
      <c r="A1976" s="10"/>
      <c r="B1976" s="18"/>
      <c r="C1976" s="10"/>
      <c r="D1976" s="10"/>
      <c r="E1976" s="10"/>
    </row>
    <row r="1977">
      <c r="A1977" s="10"/>
      <c r="B1977" s="18"/>
      <c r="C1977" s="10"/>
      <c r="D1977" s="10"/>
      <c r="E1977" s="10"/>
    </row>
    <row r="1978">
      <c r="A1978" s="10"/>
      <c r="B1978" s="18"/>
      <c r="C1978" s="10"/>
      <c r="D1978" s="10"/>
      <c r="E1978" s="10"/>
    </row>
    <row r="1979">
      <c r="A1979" s="10"/>
      <c r="B1979" s="18"/>
      <c r="C1979" s="10"/>
      <c r="D1979" s="10"/>
      <c r="E1979" s="10"/>
    </row>
    <row r="1980">
      <c r="A1980" s="10"/>
      <c r="B1980" s="18"/>
      <c r="C1980" s="10"/>
      <c r="D1980" s="10"/>
      <c r="E1980" s="10"/>
    </row>
    <row r="1981">
      <c r="A1981" s="10"/>
      <c r="B1981" s="18"/>
      <c r="C1981" s="10"/>
      <c r="D1981" s="10"/>
      <c r="E1981" s="10"/>
    </row>
    <row r="1982">
      <c r="A1982" s="10"/>
      <c r="B1982" s="18"/>
      <c r="C1982" s="10"/>
      <c r="D1982" s="10"/>
      <c r="E1982" s="10"/>
    </row>
    <row r="1983">
      <c r="A1983" s="10"/>
      <c r="B1983" s="18"/>
      <c r="C1983" s="10"/>
      <c r="D1983" s="10"/>
      <c r="E1983" s="10"/>
    </row>
    <row r="1984">
      <c r="A1984" s="10"/>
      <c r="B1984" s="18"/>
      <c r="C1984" s="10"/>
      <c r="D1984" s="10"/>
      <c r="E1984" s="10"/>
    </row>
    <row r="1985">
      <c r="A1985" s="10"/>
      <c r="B1985" s="18"/>
      <c r="C1985" s="10"/>
      <c r="D1985" s="10"/>
      <c r="E1985" s="10"/>
    </row>
    <row r="1986">
      <c r="A1986" s="10"/>
      <c r="B1986" s="18"/>
      <c r="C1986" s="10"/>
      <c r="D1986" s="10"/>
      <c r="E1986" s="10"/>
    </row>
    <row r="1987">
      <c r="A1987" s="10"/>
      <c r="B1987" s="18"/>
      <c r="C1987" s="10"/>
      <c r="D1987" s="10"/>
      <c r="E1987" s="10"/>
    </row>
    <row r="1988">
      <c r="A1988" s="10"/>
      <c r="B1988" s="18"/>
      <c r="C1988" s="10"/>
      <c r="D1988" s="10"/>
      <c r="E1988" s="10"/>
    </row>
    <row r="1989">
      <c r="A1989" s="10"/>
      <c r="B1989" s="18"/>
      <c r="C1989" s="10"/>
      <c r="D1989" s="10"/>
      <c r="E1989" s="10"/>
    </row>
    <row r="1990">
      <c r="A1990" s="10"/>
      <c r="B1990" s="18"/>
      <c r="C1990" s="10"/>
      <c r="D1990" s="10"/>
      <c r="E1990" s="10"/>
    </row>
    <row r="1991">
      <c r="A1991" s="10"/>
      <c r="B1991" s="18"/>
      <c r="C1991" s="10"/>
      <c r="D1991" s="10"/>
      <c r="E1991" s="10"/>
    </row>
    <row r="1992">
      <c r="A1992" s="10"/>
      <c r="B1992" s="18"/>
      <c r="C1992" s="10"/>
      <c r="D1992" s="10"/>
      <c r="E1992" s="10"/>
    </row>
    <row r="1993">
      <c r="A1993" s="10"/>
      <c r="B1993" s="18"/>
      <c r="C1993" s="10"/>
      <c r="D1993" s="10"/>
      <c r="E1993" s="10"/>
    </row>
    <row r="1994">
      <c r="A1994" s="10"/>
      <c r="B1994" s="18"/>
      <c r="C1994" s="10"/>
      <c r="D1994" s="10"/>
      <c r="E1994" s="10"/>
    </row>
    <row r="1995">
      <c r="A1995" s="10"/>
      <c r="B1995" s="18"/>
      <c r="C1995" s="10"/>
      <c r="D1995" s="10"/>
      <c r="E1995" s="10"/>
    </row>
    <row r="1996">
      <c r="A1996" s="10"/>
      <c r="B1996" s="18"/>
      <c r="C1996" s="10"/>
      <c r="D1996" s="10"/>
      <c r="E1996" s="10"/>
    </row>
    <row r="1997">
      <c r="A1997" s="10"/>
      <c r="B1997" s="18"/>
      <c r="C1997" s="10"/>
      <c r="D1997" s="10"/>
      <c r="E1997" s="10"/>
    </row>
    <row r="1998">
      <c r="A1998" s="10"/>
      <c r="B1998" s="18"/>
      <c r="C1998" s="10"/>
      <c r="D1998" s="10"/>
      <c r="E1998" s="10"/>
    </row>
    <row r="1999">
      <c r="A1999" s="10"/>
      <c r="B1999" s="18"/>
      <c r="C1999" s="10"/>
      <c r="D1999" s="10"/>
      <c r="E1999" s="10"/>
    </row>
    <row r="2000">
      <c r="A2000" s="10"/>
      <c r="B2000" s="18"/>
      <c r="C2000" s="10"/>
      <c r="D2000" s="10"/>
      <c r="E2000" s="10"/>
    </row>
    <row r="2001">
      <c r="A2001" s="10"/>
      <c r="B2001" s="18"/>
      <c r="C2001" s="10"/>
      <c r="D2001" s="10"/>
      <c r="E2001" s="10"/>
    </row>
    <row r="2002">
      <c r="A2002" s="10"/>
      <c r="B2002" s="18"/>
      <c r="C2002" s="10"/>
      <c r="D2002" s="10"/>
      <c r="E2002" s="10"/>
    </row>
    <row r="2003">
      <c r="A2003" s="10"/>
      <c r="B2003" s="18"/>
      <c r="C2003" s="10"/>
      <c r="D2003" s="10"/>
      <c r="E2003" s="10"/>
    </row>
    <row r="2004">
      <c r="A2004" s="10"/>
      <c r="B2004" s="18"/>
      <c r="C2004" s="10"/>
      <c r="D2004" s="10"/>
      <c r="E2004" s="10"/>
    </row>
    <row r="2005">
      <c r="A2005" s="10"/>
      <c r="B2005" s="18"/>
      <c r="C2005" s="10"/>
      <c r="D2005" s="10"/>
      <c r="E2005" s="10"/>
    </row>
    <row r="2006">
      <c r="A2006" s="10"/>
      <c r="B2006" s="18"/>
      <c r="C2006" s="10"/>
      <c r="D2006" s="10"/>
      <c r="E2006" s="10"/>
    </row>
    <row r="2007">
      <c r="A2007" s="10"/>
      <c r="B2007" s="18"/>
      <c r="C2007" s="10"/>
      <c r="D2007" s="10"/>
      <c r="E2007" s="10"/>
    </row>
    <row r="2008">
      <c r="A2008" s="10"/>
      <c r="B2008" s="18"/>
      <c r="C2008" s="10"/>
      <c r="D2008" s="10"/>
      <c r="E2008" s="10"/>
    </row>
    <row r="2009">
      <c r="A2009" s="10"/>
      <c r="B2009" s="18"/>
      <c r="C2009" s="10"/>
      <c r="D2009" s="10"/>
      <c r="E2009" s="10"/>
    </row>
    <row r="2010">
      <c r="A2010" s="10"/>
      <c r="B2010" s="18"/>
      <c r="C2010" s="10"/>
      <c r="D2010" s="10"/>
      <c r="E2010" s="10"/>
    </row>
    <row r="2011">
      <c r="A2011" s="10"/>
      <c r="B2011" s="18"/>
      <c r="C2011" s="10"/>
      <c r="D2011" s="10"/>
      <c r="E2011" s="10"/>
    </row>
    <row r="2012">
      <c r="A2012" s="10"/>
      <c r="B2012" s="18"/>
      <c r="C2012" s="10"/>
      <c r="D2012" s="10"/>
      <c r="E2012" s="10"/>
    </row>
    <row r="2013">
      <c r="A2013" s="10"/>
      <c r="B2013" s="18"/>
      <c r="C2013" s="10"/>
      <c r="D2013" s="10"/>
      <c r="E2013" s="10"/>
    </row>
    <row r="2014">
      <c r="A2014" s="10"/>
      <c r="B2014" s="18"/>
      <c r="C2014" s="10"/>
      <c r="D2014" s="10"/>
      <c r="E2014" s="10"/>
    </row>
    <row r="2015">
      <c r="A2015" s="10"/>
      <c r="B2015" s="18"/>
      <c r="C2015" s="10"/>
      <c r="D2015" s="10"/>
      <c r="E2015" s="10"/>
    </row>
    <row r="2016">
      <c r="A2016" s="10"/>
      <c r="B2016" s="18"/>
      <c r="C2016" s="10"/>
      <c r="D2016" s="10"/>
      <c r="E2016" s="10"/>
    </row>
    <row r="2017">
      <c r="A2017" s="10"/>
      <c r="B2017" s="18"/>
      <c r="C2017" s="10"/>
      <c r="D2017" s="10"/>
      <c r="E2017" s="10"/>
    </row>
    <row r="2018">
      <c r="A2018" s="10"/>
      <c r="B2018" s="18"/>
      <c r="C2018" s="10"/>
      <c r="D2018" s="10"/>
      <c r="E2018" s="10"/>
    </row>
    <row r="2019">
      <c r="A2019" s="10"/>
      <c r="B2019" s="18"/>
      <c r="C2019" s="10"/>
      <c r="D2019" s="10"/>
      <c r="E2019" s="10"/>
    </row>
    <row r="2020">
      <c r="A2020" s="10"/>
      <c r="B2020" s="18"/>
      <c r="C2020" s="10"/>
      <c r="D2020" s="10"/>
      <c r="E2020" s="10"/>
    </row>
    <row r="2021">
      <c r="A2021" s="10"/>
      <c r="B2021" s="18"/>
      <c r="C2021" s="10"/>
      <c r="D2021" s="10"/>
      <c r="E2021" s="10"/>
    </row>
    <row r="2022">
      <c r="A2022" s="10"/>
      <c r="B2022" s="18"/>
      <c r="C2022" s="10"/>
      <c r="D2022" s="10"/>
      <c r="E2022" s="10"/>
    </row>
    <row r="2023">
      <c r="A2023" s="10"/>
      <c r="B2023" s="18"/>
      <c r="C2023" s="10"/>
      <c r="D2023" s="10"/>
      <c r="E2023" s="10"/>
    </row>
    <row r="2024">
      <c r="A2024" s="10"/>
      <c r="B2024" s="18"/>
      <c r="C2024" s="10"/>
      <c r="D2024" s="10"/>
      <c r="E2024" s="10"/>
    </row>
    <row r="2025">
      <c r="A2025" s="10"/>
      <c r="B2025" s="18"/>
      <c r="C2025" s="10"/>
      <c r="D2025" s="10"/>
      <c r="E2025" s="10"/>
    </row>
    <row r="2026">
      <c r="A2026" s="10"/>
      <c r="B2026" s="18"/>
      <c r="C2026" s="10"/>
      <c r="D2026" s="10"/>
      <c r="E2026" s="10"/>
    </row>
    <row r="2027">
      <c r="A2027" s="10"/>
      <c r="B2027" s="18"/>
      <c r="C2027" s="10"/>
      <c r="D2027" s="10"/>
      <c r="E2027" s="10"/>
    </row>
    <row r="2028">
      <c r="A2028" s="10"/>
      <c r="B2028" s="18"/>
      <c r="C2028" s="10"/>
      <c r="D2028" s="10"/>
      <c r="E2028" s="10"/>
    </row>
    <row r="2029">
      <c r="A2029" s="10"/>
      <c r="B2029" s="18"/>
      <c r="C2029" s="10"/>
      <c r="D2029" s="10"/>
      <c r="E2029" s="10"/>
    </row>
    <row r="2030">
      <c r="A2030" s="10"/>
      <c r="B2030" s="18"/>
      <c r="C2030" s="10"/>
      <c r="D2030" s="10"/>
      <c r="E2030" s="10"/>
    </row>
    <row r="2031">
      <c r="A2031" s="10"/>
      <c r="B2031" s="18"/>
      <c r="C2031" s="10"/>
      <c r="D2031" s="10"/>
      <c r="E2031" s="10"/>
    </row>
    <row r="2032">
      <c r="A2032" s="10"/>
      <c r="B2032" s="18"/>
      <c r="C2032" s="10"/>
      <c r="D2032" s="10"/>
      <c r="E2032" s="10"/>
    </row>
    <row r="2033">
      <c r="A2033" s="10"/>
      <c r="B2033" s="18"/>
      <c r="C2033" s="10"/>
      <c r="D2033" s="10"/>
      <c r="E2033" s="10"/>
    </row>
    <row r="2034">
      <c r="A2034" s="10"/>
      <c r="B2034" s="18"/>
      <c r="C2034" s="10"/>
      <c r="D2034" s="10"/>
      <c r="E2034" s="10"/>
    </row>
    <row r="2035">
      <c r="A2035" s="10"/>
      <c r="B2035" s="18"/>
      <c r="C2035" s="10"/>
      <c r="D2035" s="10"/>
      <c r="E2035" s="10"/>
    </row>
    <row r="2036">
      <c r="A2036" s="10"/>
      <c r="B2036" s="18"/>
      <c r="C2036" s="10"/>
      <c r="D2036" s="10"/>
      <c r="E2036" s="10"/>
    </row>
    <row r="2037">
      <c r="A2037" s="10"/>
      <c r="B2037" s="18"/>
      <c r="C2037" s="10"/>
      <c r="D2037" s="10"/>
      <c r="E2037" s="10"/>
    </row>
    <row r="2038">
      <c r="A2038" s="10"/>
      <c r="B2038" s="18"/>
      <c r="C2038" s="10"/>
      <c r="D2038" s="10"/>
      <c r="E2038" s="10"/>
    </row>
    <row r="2039">
      <c r="A2039" s="10"/>
      <c r="B2039" s="18"/>
      <c r="C2039" s="10"/>
      <c r="D2039" s="10"/>
      <c r="E2039" s="10"/>
    </row>
    <row r="2040">
      <c r="A2040" s="10"/>
      <c r="B2040" s="18"/>
      <c r="C2040" s="10"/>
      <c r="D2040" s="10"/>
      <c r="E2040" s="10"/>
    </row>
    <row r="2041">
      <c r="A2041" s="10"/>
      <c r="B2041" s="18"/>
      <c r="C2041" s="10"/>
      <c r="D2041" s="10"/>
      <c r="E2041" s="10"/>
    </row>
    <row r="2042">
      <c r="A2042" s="10"/>
      <c r="B2042" s="18"/>
      <c r="C2042" s="10"/>
      <c r="D2042" s="10"/>
      <c r="E2042" s="10"/>
    </row>
    <row r="2043">
      <c r="A2043" s="10"/>
      <c r="B2043" s="18"/>
      <c r="C2043" s="10"/>
      <c r="D2043" s="10"/>
      <c r="E2043" s="10"/>
    </row>
    <row r="2044">
      <c r="A2044" s="10"/>
      <c r="B2044" s="18"/>
      <c r="C2044" s="10"/>
      <c r="D2044" s="10"/>
      <c r="E2044" s="10"/>
    </row>
    <row r="2045">
      <c r="A2045" s="10"/>
      <c r="B2045" s="18"/>
      <c r="C2045" s="10"/>
      <c r="D2045" s="10"/>
      <c r="E2045" s="10"/>
    </row>
    <row r="2046">
      <c r="A2046" s="10"/>
      <c r="B2046" s="18"/>
      <c r="C2046" s="10"/>
      <c r="D2046" s="10"/>
      <c r="E2046" s="10"/>
    </row>
    <row r="2047">
      <c r="A2047" s="10"/>
      <c r="B2047" s="18"/>
      <c r="C2047" s="10"/>
      <c r="D2047" s="10"/>
      <c r="E2047" s="10"/>
    </row>
    <row r="2048">
      <c r="A2048" s="10"/>
      <c r="B2048" s="18"/>
      <c r="C2048" s="10"/>
      <c r="D2048" s="10"/>
      <c r="E2048" s="10"/>
    </row>
    <row r="2049">
      <c r="A2049" s="10"/>
      <c r="B2049" s="18"/>
      <c r="C2049" s="10"/>
      <c r="D2049" s="10"/>
      <c r="E2049" s="10"/>
    </row>
    <row r="2050">
      <c r="A2050" s="10"/>
      <c r="B2050" s="18"/>
      <c r="C2050" s="10"/>
      <c r="D2050" s="10"/>
      <c r="E2050" s="10"/>
    </row>
    <row r="2051">
      <c r="A2051" s="10"/>
      <c r="B2051" s="18"/>
      <c r="C2051" s="10"/>
      <c r="D2051" s="10"/>
      <c r="E2051" s="10"/>
    </row>
    <row r="2052">
      <c r="A2052" s="10"/>
      <c r="B2052" s="18"/>
      <c r="C2052" s="10"/>
      <c r="D2052" s="10"/>
      <c r="E2052" s="10"/>
    </row>
    <row r="2053">
      <c r="A2053" s="10"/>
      <c r="B2053" s="18"/>
      <c r="C2053" s="10"/>
      <c r="D2053" s="10"/>
      <c r="E2053" s="10"/>
    </row>
  </sheetData>
  <drawing r:id="rId1"/>
</worksheet>
</file>