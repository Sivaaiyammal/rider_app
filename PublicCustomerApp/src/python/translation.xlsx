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nvertcsv" sheetId="1" r:id="rId4"/>
  </sheets>
  <definedNames/>
  <calcPr/>
</workbook>
</file>

<file path=xl/sharedStrings.xml><?xml version="1.0" encoding="utf-8"?>
<sst xmlns="http://schemas.openxmlformats.org/spreadsheetml/2006/main" count="631" uniqueCount="630">
  <si>
    <t>Key</t>
  </si>
  <si>
    <t>EN</t>
  </si>
  <si>
    <t>TA</t>
  </si>
  <si>
    <t>HI</t>
  </si>
  <si>
    <t>ML</t>
  </si>
  <si>
    <t>TE</t>
  </si>
  <si>
    <t>KN</t>
  </si>
  <si>
    <t>choose_language</t>
  </si>
  <si>
    <t>Choose 
 Your Language</t>
  </si>
  <si>
    <t>next</t>
  </si>
  <si>
    <t>Next</t>
  </si>
  <si>
    <t>get_started</t>
  </si>
  <si>
    <t>Get Started</t>
  </si>
  <si>
    <t>quick_and_easy_bookings</t>
  </si>
  <si>
    <t>Quick and Easy Bookings</t>
  </si>
  <si>
    <t>quick_and_easy_bookings_description</t>
  </si>
  <si>
    <t>Choose your destination, pick your ride, and you're on your way in just a few taps.</t>
  </si>
  <si>
    <t>set_your_destination</t>
  </si>
  <si>
    <t>Set Your Destination</t>
  </si>
  <si>
    <t>set_your_destination_description</t>
  </si>
  <si>
    <t>Whether it`s a ride home, the office, or an adventure, "Namma Ooru Taxi ®" is ready to take you there.</t>
  </si>
  <si>
    <t>track_your_ride</t>
  </si>
  <si>
    <t>Track Your Ride</t>
  </si>
  <si>
    <t>track_your_ride_description</t>
  </si>
  <si>
    <t>Watch your driver's arrival in real-time and stay updated with their location. No more guessing when your ride will arrive.</t>
  </si>
  <si>
    <t>where_do_you_want_to_go</t>
  </si>
  <si>
    <t>Where do you want to go?</t>
  </si>
  <si>
    <t>dismiss</t>
  </si>
  <si>
    <t>Dismiss</t>
  </si>
  <si>
    <t>location_not_found</t>
  </si>
  <si>
    <t>Location not found</t>
  </si>
  <si>
    <t>add_favorite_places</t>
  </si>
  <si>
    <t>Add Favorite Places</t>
  </si>
  <si>
    <t>your_location</t>
  </si>
  <si>
    <t>Your Location</t>
  </si>
  <si>
    <t>my_account</t>
  </si>
  <si>
    <t>My Account</t>
  </si>
  <si>
    <t>my_rides</t>
  </si>
  <si>
    <t>My Rides</t>
  </si>
  <si>
    <t>saved_places</t>
  </si>
  <si>
    <t>Saved Places</t>
  </si>
  <si>
    <t>preferences</t>
  </si>
  <si>
    <t>Preferences</t>
  </si>
  <si>
    <t>notification</t>
  </si>
  <si>
    <t>Notification</t>
  </si>
  <si>
    <t>language</t>
  </si>
  <si>
    <t>Language</t>
  </si>
  <si>
    <t>support</t>
  </si>
  <si>
    <t>Support</t>
  </si>
  <si>
    <t>contact_us</t>
  </si>
  <si>
    <t>Contact Us</t>
  </si>
  <si>
    <t>legal</t>
  </si>
  <si>
    <t>Legal</t>
  </si>
  <si>
    <t>test_screen</t>
  </si>
  <si>
    <t>Test Screen</t>
  </si>
  <si>
    <t>full_name</t>
  </si>
  <si>
    <t>Full Name</t>
  </si>
  <si>
    <t>gender</t>
  </si>
  <si>
    <t>Gender</t>
  </si>
  <si>
    <t>phone_number</t>
  </si>
  <si>
    <t>Phone Number</t>
  </si>
  <si>
    <t>email_address</t>
  </si>
  <si>
    <t>Email Address</t>
  </si>
  <si>
    <t>swipe_to_logout</t>
  </si>
  <si>
    <t>SWIPE TO LOGOUT</t>
  </si>
  <si>
    <t>delete_account</t>
  </si>
  <si>
    <t>DELETE ACCOUNT</t>
  </si>
  <si>
    <t>account_deletion_requested</t>
  </si>
  <si>
    <t>Account Deletion Requested</t>
  </si>
  <si>
    <t>account_deletion_message</t>
  </si>
  <si>
    <t>Your account will be deleted after 15 days. You have been logged out.</t>
  </si>
  <si>
    <t>your_rides</t>
  </si>
  <si>
    <t>Your Rides</t>
  </si>
  <si>
    <t>trip_history</t>
  </si>
  <si>
    <t>Trip History</t>
  </si>
  <si>
    <t>upcoming_rides</t>
  </si>
  <si>
    <t>Upcoming Rides</t>
  </si>
  <si>
    <t>no_trips_found</t>
  </si>
  <si>
    <t>No trips found</t>
  </si>
  <si>
    <t>failed_to_get_rides</t>
  </si>
  <si>
    <t>Failed to get rides</t>
  </si>
  <si>
    <t>network_error_occurred</t>
  </si>
  <si>
    <t>Network error occurred</t>
  </si>
  <si>
    <t>trip_details</t>
  </si>
  <si>
    <t>Trip Details</t>
  </si>
  <si>
    <t>fare_details</t>
  </si>
  <si>
    <t>Fare Details</t>
  </si>
  <si>
    <t>payment_details</t>
  </si>
  <si>
    <t>Payment Details</t>
  </si>
  <si>
    <t>pay_now</t>
  </si>
  <si>
    <t>Pay Now</t>
  </si>
  <si>
    <t>support_section</t>
  </si>
  <si>
    <t>Support Section</t>
  </si>
  <si>
    <t>contact_support</t>
  </si>
  <si>
    <t>Contact Support</t>
  </si>
  <si>
    <t>trip_stats</t>
  </si>
  <si>
    <t>Trip Stats</t>
  </si>
  <si>
    <t>distance</t>
  </si>
  <si>
    <t>Distance</t>
  </si>
  <si>
    <t>duration</t>
  </si>
  <si>
    <t>Duration</t>
  </si>
  <si>
    <t>fare</t>
  </si>
  <si>
    <t>Fare</t>
  </si>
  <si>
    <t>driver_info</t>
  </si>
  <si>
    <t>Driver Info</t>
  </si>
  <si>
    <t>vehicle_info</t>
  </si>
  <si>
    <t>Vehicle Info</t>
  </si>
  <si>
    <t>trip_meta_info</t>
  </si>
  <si>
    <t>Trip Meta Info</t>
  </si>
  <si>
    <t>booking_time</t>
  </si>
  <si>
    <t>Booking Time</t>
  </si>
  <si>
    <t>trip_status</t>
  </si>
  <si>
    <t>Trip Status</t>
  </si>
  <si>
    <t>completed</t>
  </si>
  <si>
    <t>Completed</t>
  </si>
  <si>
    <t>cancelled</t>
  </si>
  <si>
    <t>Cancelled</t>
  </si>
  <si>
    <t>ongoing</t>
  </si>
  <si>
    <t>Ongoing</t>
  </si>
  <si>
    <t>pickup</t>
  </si>
  <si>
    <t>Pickup</t>
  </si>
  <si>
    <t>drop</t>
  </si>
  <si>
    <t>Drop</t>
  </si>
  <si>
    <t>payment_method</t>
  </si>
  <si>
    <t>Payment Method</t>
  </si>
  <si>
    <t>payment_status</t>
  </si>
  <si>
    <t>Payment Status</t>
  </si>
  <si>
    <t>ride_fare</t>
  </si>
  <si>
    <t>Ride Fare</t>
  </si>
  <si>
    <t>total_fare</t>
  </si>
  <si>
    <t>Total Fare</t>
  </si>
  <si>
    <t>get_help_from_support</t>
  </si>
  <si>
    <t>Get Help from Support</t>
  </si>
  <si>
    <t>all</t>
  </si>
  <si>
    <t>All</t>
  </si>
  <si>
    <t>today</t>
  </si>
  <si>
    <t>Today</t>
  </si>
  <si>
    <t>yesterday</t>
  </si>
  <si>
    <t>Yesterday</t>
  </si>
  <si>
    <t>week</t>
  </si>
  <si>
    <t>This Week</t>
  </si>
  <si>
    <t>this_month</t>
  </si>
  <si>
    <t>This Month</t>
  </si>
  <si>
    <t>this_year</t>
  </si>
  <si>
    <t>This Year</t>
  </si>
  <si>
    <t>custom_date</t>
  </si>
  <si>
    <t>Custom Date</t>
  </si>
  <si>
    <t>select_date_range</t>
  </si>
  <si>
    <t>Select Date Range</t>
  </si>
  <si>
    <t>from</t>
  </si>
  <si>
    <t>From</t>
  </si>
  <si>
    <t>to</t>
  </si>
  <si>
    <t>To</t>
  </si>
  <si>
    <t>cancel</t>
  </si>
  <si>
    <t>Cancel</t>
  </si>
  <si>
    <t>confirm</t>
  </si>
  <si>
    <t>Confirm</t>
  </si>
  <si>
    <t>no_saved_places</t>
  </si>
  <si>
    <t>No Saved Places</t>
  </si>
  <si>
    <t>saved_places_empty_subtitle</t>
  </si>
  <si>
    <t>Your saved locations will appear here</t>
  </si>
  <si>
    <t>saved_places_empty_description</t>
  </si>
  <si>
    <t>Tap the + button to add your first saved place</t>
  </si>
  <si>
    <t>delete_place</t>
  </si>
  <si>
    <t>Delete Place</t>
  </si>
  <si>
    <t>delete_place_confirmation</t>
  </si>
  <si>
    <t>Are you sure you want to delete this place?</t>
  </si>
  <si>
    <t>place_deleted_successfully</t>
  </si>
  <si>
    <t>Place deleted successfully</t>
  </si>
  <si>
    <t>failed_to_delete_place</t>
  </si>
  <si>
    <t>Failed to delete place</t>
  </si>
  <si>
    <t>failed_to_delete_place_try_again</t>
  </si>
  <si>
    <t>Failed to delete place. Please try again.</t>
  </si>
  <si>
    <t>success</t>
  </si>
  <si>
    <t>Success</t>
  </si>
  <si>
    <t>error</t>
  </si>
  <si>
    <t>Error</t>
  </si>
  <si>
    <t>add_place</t>
  </si>
  <si>
    <t>Add Place</t>
  </si>
  <si>
    <t>edit_place</t>
  </si>
  <si>
    <t>Edit Place</t>
  </si>
  <si>
    <t>address</t>
  </si>
  <si>
    <t>Address</t>
  </si>
  <si>
    <t>save_as</t>
  </si>
  <si>
    <t>Save as</t>
  </si>
  <si>
    <t>home</t>
  </si>
  <si>
    <t>Home</t>
  </si>
  <si>
    <t>work</t>
  </si>
  <si>
    <t>Work</t>
  </si>
  <si>
    <t>other</t>
  </si>
  <si>
    <t>Other</t>
  </si>
  <si>
    <t>custom_nickname</t>
  </si>
  <si>
    <t>Custom Nickname</t>
  </si>
  <si>
    <t>enter_nickname_placeholder</t>
  </si>
  <si>
    <t>Enter nickname for this place</t>
  </si>
  <si>
    <t>save_place</t>
  </si>
  <si>
    <t>SAVE PLACE</t>
  </si>
  <si>
    <t>update_place</t>
  </si>
  <si>
    <t>UPDATE PLACE</t>
  </si>
  <si>
    <t>place_saved_successfully</t>
  </si>
  <si>
    <t>Place saved successfully</t>
  </si>
  <si>
    <t>place_updated_successfully</t>
  </si>
  <si>
    <t>Place updated successfully</t>
  </si>
  <si>
    <t>failed_to_save_place</t>
  </si>
  <si>
    <t>Failed to save place</t>
  </si>
  <si>
    <t>failed_to_update_place</t>
  </si>
  <si>
    <t>Failed to update place</t>
  </si>
  <si>
    <t>failed_to_update_place_try_again</t>
  </si>
  <si>
    <t>Failed to update place. Please try again.</t>
  </si>
  <si>
    <t>search_tickets</t>
  </si>
  <si>
    <t>Search tickets...</t>
  </si>
  <si>
    <t>open</t>
  </si>
  <si>
    <t>Open</t>
  </si>
  <si>
    <t>in_progress</t>
  </si>
  <si>
    <t>In Progress</t>
  </si>
  <si>
    <t>resolved</t>
  </si>
  <si>
    <t>Resolved</t>
  </si>
  <si>
    <t>closed</t>
  </si>
  <si>
    <t>Closed</t>
  </si>
  <si>
    <t>no_tickets_found</t>
  </si>
  <si>
    <t>No tickets found</t>
  </si>
  <si>
    <t>try_adjusting_search</t>
  </si>
  <si>
    <t>Try adjusting your search terms</t>
  </si>
  <si>
    <t>create_first_support_ticket</t>
  </si>
  <si>
    <t>Create your first support ticket</t>
  </si>
  <si>
    <t>create_ticket</t>
  </si>
  <si>
    <t>Create Ticket</t>
  </si>
  <si>
    <t>ticket_created_successfully</t>
  </si>
  <si>
    <t>Ticket created successfully!</t>
  </si>
  <si>
    <t>failed_to_create_ticket</t>
  </si>
  <si>
    <t>Failed to create ticket. Please try again.</t>
  </si>
  <si>
    <t>retry</t>
  </si>
  <si>
    <t>Retry</t>
  </si>
  <si>
    <t>failed_to_load_tickets</t>
  </si>
  <si>
    <t>Failed to load tickets</t>
  </si>
  <si>
    <t>failed_to_refresh_tickets</t>
  </si>
  <si>
    <t>Failed to refresh tickets</t>
  </si>
  <si>
    <t>ticket_not_found</t>
  </si>
  <si>
    <t>Ticket not found</t>
  </si>
  <si>
    <t>go_back</t>
  </si>
  <si>
    <t>Go Back</t>
  </si>
  <si>
    <t>category</t>
  </si>
  <si>
    <t>Category:</t>
  </si>
  <si>
    <t>priority</t>
  </si>
  <si>
    <t>Priority:</t>
  </si>
  <si>
    <t>created</t>
  </si>
  <si>
    <t>Created:</t>
  </si>
  <si>
    <t>agent_is_typing</t>
  </si>
  <si>
    <t>Agent is typing...</t>
  </si>
  <si>
    <t>no_messages_yet</t>
  </si>
  <si>
    <t>No messages yet</t>
  </si>
  <si>
    <t>start_conversation_message</t>
  </si>
  <si>
    <t>Start the conversation by sending your first message</t>
  </si>
  <si>
    <t>type_your_message</t>
  </si>
  <si>
    <t>Type your message...</t>
  </si>
  <si>
    <t>failed_to_send_message</t>
  </si>
  <si>
    <t>Failed to send message. Please try again.</t>
  </si>
  <si>
    <t>select_trip</t>
  </si>
  <si>
    <t>Select Trip</t>
  </si>
  <si>
    <t>failed_to_load_trips</t>
  </si>
  <si>
    <t>Failed to load trips</t>
  </si>
  <si>
    <t>select</t>
  </si>
  <si>
    <t>Select</t>
  </si>
  <si>
    <t>status</t>
  </si>
  <si>
    <t>Status</t>
  </si>
  <si>
    <t>date_time</t>
  </si>
  <si>
    <t>Date &amp; Time</t>
  </si>
  <si>
    <t>plan_your_trip</t>
  </si>
  <si>
    <t>Plan your trip</t>
  </si>
  <si>
    <t>myself</t>
  </si>
  <si>
    <t>Myself</t>
  </si>
  <si>
    <t>others</t>
  </si>
  <si>
    <t>Others</t>
  </si>
  <si>
    <t>continue</t>
  </si>
  <si>
    <t>Continue</t>
  </si>
  <si>
    <t>schedule_ride</t>
  </si>
  <si>
    <t>Schedule Ride</t>
  </si>
  <si>
    <t>ride_type</t>
  </si>
  <si>
    <t>Ride Type</t>
  </si>
  <si>
    <t>trip_for</t>
  </si>
  <si>
    <t>Trip For</t>
  </si>
  <si>
    <t>pickup_location</t>
  </si>
  <si>
    <t>Pickup Location</t>
  </si>
  <si>
    <t>dropoff_location</t>
  </si>
  <si>
    <t>Dropoff Location</t>
  </si>
  <si>
    <t>add_waypoint</t>
  </si>
  <si>
    <t>Add Waypoint</t>
  </si>
  <si>
    <t>select_ride_type</t>
  </si>
  <si>
    <t>Select Ride Type</t>
  </si>
  <si>
    <t>select_trip_for</t>
  </si>
  <si>
    <t>Select Trip For</t>
  </si>
  <si>
    <t>select_pickup</t>
  </si>
  <si>
    <t>Select Pickup</t>
  </si>
  <si>
    <t>select_dropoff</t>
  </si>
  <si>
    <t>Select Dropoff</t>
  </si>
  <si>
    <t>book_ride</t>
  </si>
  <si>
    <t>Book Ride</t>
  </si>
  <si>
    <t>fare_estimate</t>
  </si>
  <si>
    <t>Fare Estimate</t>
  </si>
  <si>
    <t>vehicle_type</t>
  </si>
  <si>
    <t>Vehicle Type</t>
  </si>
  <si>
    <t>confirm_booking</t>
  </si>
  <si>
    <t>Confirm Booking</t>
  </si>
  <si>
    <t>cancel_booking</t>
  </si>
  <si>
    <t>Cancel Booking</t>
  </si>
  <si>
    <t>booking_confirmed</t>
  </si>
  <si>
    <t>Booking Confirmed</t>
  </si>
  <si>
    <t>booking_failed</t>
  </si>
  <si>
    <t>Booking Failed</t>
  </si>
  <si>
    <t>driver_assigned</t>
  </si>
  <si>
    <t>Driver Assigned</t>
  </si>
  <si>
    <t>driver_arriving</t>
  </si>
  <si>
    <t>Driver Arriving</t>
  </si>
  <si>
    <t>ride_started</t>
  </si>
  <si>
    <t>Ride Started</t>
  </si>
  <si>
    <t>ride_completed</t>
  </si>
  <si>
    <t>Ride Completed</t>
  </si>
  <si>
    <t>rate_your_ride</t>
  </si>
  <si>
    <t>Rate Your Ride</t>
  </si>
  <si>
    <t>thank_you</t>
  </si>
  <si>
    <t>Thank You</t>
  </si>
  <si>
    <t>female_driver</t>
  </si>
  <si>
    <t>Female Driver</t>
  </si>
  <si>
    <t>offer_coupons</t>
  </si>
  <si>
    <t>Offer Coupons</t>
  </si>
  <si>
    <t>coupon</t>
  </si>
  <si>
    <t>Coupon</t>
  </si>
  <si>
    <t>applied</t>
  </si>
  <si>
    <t>Applied</t>
  </si>
  <si>
    <t>pay_by</t>
  </si>
  <si>
    <t>Pay by</t>
  </si>
  <si>
    <t>booking</t>
  </si>
  <si>
    <t>BOOKING...</t>
  </si>
  <si>
    <t>confirm_ride</t>
  </si>
  <si>
    <t>CONFIRM RIDE</t>
  </si>
  <si>
    <t>updated_fare_details</t>
  </si>
  <si>
    <t>Updated Fare Details</t>
  </si>
  <si>
    <t>wait_time</t>
  </si>
  <si>
    <t>Wait Time</t>
  </si>
  <si>
    <t>fare_disclaimer</t>
  </si>
  <si>
    <t>Final fare may change based on actual pickup time, route taken, and actual waiting time during the trip.</t>
  </si>
  <si>
    <t>waiting_for_driver_approval</t>
  </si>
  <si>
    <t>Waiting for driver approval</t>
  </si>
  <si>
    <t>confirming</t>
  </si>
  <si>
    <t>Confirming...</t>
  </si>
  <si>
    <t>calculating</t>
  </si>
  <si>
    <t>Calculating...</t>
  </si>
  <si>
    <t>km</t>
  </si>
  <si>
    <t>Km</t>
  </si>
  <si>
    <t>min</t>
  </si>
  <si>
    <t>fare_may_vary</t>
  </si>
  <si>
    <t>Fare may vary</t>
  </si>
  <si>
    <t>capacity</t>
  </si>
  <si>
    <t>Capacity</t>
  </si>
  <si>
    <t>estimated_fare</t>
  </si>
  <si>
    <t>Estimated Fare</t>
  </si>
  <si>
    <t>select_vehicle</t>
  </si>
  <si>
    <t>Select Vehicle</t>
  </si>
  <si>
    <t>no_vehicles_available</t>
  </si>
  <si>
    <t>No vehicles available</t>
  </si>
  <si>
    <t>loading_vehicles</t>
  </si>
  <si>
    <t>Loading vehicles...</t>
  </si>
  <si>
    <t>payment_methods</t>
  </si>
  <si>
    <t>Payment Methods</t>
  </si>
  <si>
    <t>cash</t>
  </si>
  <si>
    <t>Cash</t>
  </si>
  <si>
    <t>upi</t>
  </si>
  <si>
    <t>UPI</t>
  </si>
  <si>
    <t>card</t>
  </si>
  <si>
    <t>Card</t>
  </si>
  <si>
    <t>select_payment</t>
  </si>
  <si>
    <t>Select Payment Method</t>
  </si>
  <si>
    <t>coupons</t>
  </si>
  <si>
    <t>Coupons</t>
  </si>
  <si>
    <t>available_coupons</t>
  </si>
  <si>
    <t>Available Coupons</t>
  </si>
  <si>
    <t>no_coupons_available</t>
  </si>
  <si>
    <t>No coupons available</t>
  </si>
  <si>
    <t>apply_coupon</t>
  </si>
  <si>
    <t>Apply Coupon</t>
  </si>
  <si>
    <t>coupon_applied</t>
  </si>
  <si>
    <t>Coupon Applied</t>
  </si>
  <si>
    <t>remove_coupon</t>
  </si>
  <si>
    <t>Remove Coupon</t>
  </si>
  <si>
    <t>discount</t>
  </si>
  <si>
    <t>Discount</t>
  </si>
  <si>
    <t>savings</t>
  </si>
  <si>
    <t>Savings</t>
  </si>
  <si>
    <t>ride_preferences</t>
  </si>
  <si>
    <t>Ride Preferences</t>
  </si>
  <si>
    <t>save_preferences</t>
  </si>
  <si>
    <t>Save Preferences</t>
  </si>
  <si>
    <t>preferences_saved</t>
  </si>
  <si>
    <t>Preferences Saved</t>
  </si>
  <si>
    <t>ride_info</t>
  </si>
  <si>
    <t>Ride Info</t>
  </si>
  <si>
    <t>estimated_duration</t>
  </si>
  <si>
    <t>Estimated Duration</t>
  </si>
  <si>
    <t>estimated_distance</t>
  </si>
  <si>
    <t>Estimated Distance</t>
  </si>
  <si>
    <t>booking_options</t>
  </si>
  <si>
    <t>Booking Options</t>
  </si>
  <si>
    <t>female_driver_preference</t>
  </si>
  <si>
    <t>Female Driver Preference</t>
  </si>
  <si>
    <t>premium_ride</t>
  </si>
  <si>
    <t>Premium Ride</t>
  </si>
  <si>
    <t>shared_ride</t>
  </si>
  <si>
    <t>Shared Ride</t>
  </si>
  <si>
    <t>express_ride</t>
  </si>
  <si>
    <t>Express Ride</t>
  </si>
  <si>
    <t>expiring_on</t>
  </si>
  <si>
    <t>Expiring on</t>
  </si>
  <si>
    <t>female_drivers_only</t>
  </si>
  <si>
    <t>Female Drivers Only</t>
  </si>
  <si>
    <t>female_driver_comfort</t>
  </si>
  <si>
    <t>Get verified female drivers for your comfort and peace of mind</t>
  </si>
  <si>
    <t>safe_night_rides</t>
  </si>
  <si>
    <t>Safe Night Rides</t>
  </si>
  <si>
    <t>night_ride_description</t>
  </si>
  <si>
    <t>Ride safely at night with our top-rated, most trusted drivers</t>
  </si>
  <si>
    <t>night_time_range</t>
  </si>
  <si>
    <t>(12 AM - 4 AM)</t>
  </si>
  <si>
    <t>book_for</t>
  </si>
  <si>
    <t>Book For</t>
  </si>
  <si>
    <t>add_new_contact</t>
  </si>
  <si>
    <t>Add New Contact</t>
  </si>
  <si>
    <t>enter_name</t>
  </si>
  <si>
    <t>Enter name</t>
  </si>
  <si>
    <t>enter_mobile_number</t>
  </si>
  <si>
    <t>Enter mobile number</t>
  </si>
  <si>
    <t>add_contact</t>
  </si>
  <si>
    <t>Add Contact</t>
  </si>
  <si>
    <t>invalid_input</t>
  </si>
  <si>
    <t>Invalid Input</t>
  </si>
  <si>
    <t>invalid_mobile_number</t>
  </si>
  <si>
    <t>Please enter a valid Indian mobile number (10 digits starting with 6-9)</t>
  </si>
  <si>
    <t>contact_exists</t>
  </si>
  <si>
    <t>Contact Exists</t>
  </si>
  <si>
    <t>contact_already_exists</t>
  </si>
  <si>
    <t>This contact already exists in your list</t>
  </si>
  <si>
    <t>user_details</t>
  </si>
  <si>
    <t>User Details</t>
  </si>
  <si>
    <t>user_details_not_available</t>
  </si>
  <si>
    <t>User details not available</t>
  </si>
  <si>
    <t>delete_contact</t>
  </si>
  <si>
    <t>Delete Contact</t>
  </si>
  <si>
    <t>delete_contact_confirm</t>
  </si>
  <si>
    <t>Are you sure you want to delete this contact?</t>
  </si>
  <si>
    <t>delete</t>
  </si>
  <si>
    <t>Delete</t>
  </si>
  <si>
    <t>confirm_payment_method</t>
  </si>
  <si>
    <t>Confirm Payment Method</t>
  </si>
  <si>
    <t>add_stop_wait_time</t>
  </si>
  <si>
    <t>Add Stop Wait Time</t>
  </si>
  <si>
    <t>wait_time_info</t>
  </si>
  <si>
    <t>Add wait time if driver needs to wait above {defaultwaitingTime} minutes for accurate fare.</t>
  </si>
  <si>
    <t>mins</t>
  </si>
  <si>
    <t>Mins</t>
  </si>
  <si>
    <t>minimum_wait_time</t>
  </si>
  <si>
    <t>Minimum wait time is {defaultwaitingTime} minutes</t>
  </si>
  <si>
    <t>wait_time_charges</t>
  </si>
  <si>
    <t>Wait Time Charges</t>
  </si>
  <si>
    <t>wait_time_charges_info</t>
  </si>
  <si>
    <t>• First {defaultwaitingTime} minutes: Free
• Additional time: ₹{waitingTimeChargesPerMinute} per minute
• Maximum wait time: {maxwaitingTime} minutes</t>
  </si>
  <si>
    <t>remove</t>
  </si>
  <si>
    <t>REMOVE</t>
  </si>
  <si>
    <t>skip</t>
  </si>
  <si>
    <t>SKIP</t>
  </si>
  <si>
    <t>set</t>
  </si>
  <si>
    <t>SET</t>
  </si>
  <si>
    <t>unknown_address</t>
  </si>
  <si>
    <t>Unknown Address</t>
  </si>
  <si>
    <t>search_destination</t>
  </si>
  <si>
    <t>Search Destination</t>
  </si>
  <si>
    <t>search_pickup_location</t>
  </si>
  <si>
    <t>Search Pickup Location</t>
  </si>
  <si>
    <t>current_location</t>
  </si>
  <si>
    <t>Current Location</t>
  </si>
  <si>
    <t>destination</t>
  </si>
  <si>
    <t>Destination</t>
  </si>
  <si>
    <t>stop</t>
  </si>
  <si>
    <t>Stop</t>
  </si>
  <si>
    <t>stops</t>
  </si>
  <si>
    <t>Stops</t>
  </si>
  <si>
    <t>star</t>
  </si>
  <si>
    <t>Star</t>
  </si>
  <si>
    <t>schedule_a_trip</t>
  </si>
  <si>
    <t>Schedule a Trip</t>
  </si>
  <si>
    <t>invalid_date_time</t>
  </si>
  <si>
    <t>Invalid Date Time</t>
  </si>
  <si>
    <t>please_select_time_greater</t>
  </si>
  <si>
    <t>Please Select Time Greater then Current Time</t>
  </si>
  <si>
    <t>add_stops</t>
  </si>
  <si>
    <t>Add Stops</t>
  </si>
  <si>
    <t>confirm_edited_route</t>
  </si>
  <si>
    <t>Confirm Edited Route</t>
  </si>
  <si>
    <t>confirm_route</t>
  </si>
  <si>
    <t>Confirm Route</t>
  </si>
  <si>
    <t>pickup_point</t>
  </si>
  <si>
    <t>Pickup Point</t>
  </si>
  <si>
    <t>drop_point</t>
  </si>
  <si>
    <t>Drop Point</t>
  </si>
  <si>
    <t>start_end_locations_required</t>
  </si>
  <si>
    <t>Start and end locations are required</t>
  </si>
  <si>
    <t>vehicle_selection_required</t>
  </si>
  <si>
    <t>Vehicle selection is required</t>
  </si>
  <si>
    <t>booking_error</t>
  </si>
  <si>
    <t>Booking Error</t>
  </si>
  <si>
    <t>failed_to_book_ride</t>
  </si>
  <si>
    <t>Failed to book ride</t>
  </si>
  <si>
    <t>please_select_start_end_locations</t>
  </si>
  <si>
    <t>Please select start and end locations</t>
  </si>
  <si>
    <t>please_select_vehicle</t>
  </si>
  <si>
    <t>Please select a vehicle</t>
  </si>
  <si>
    <t>please_select_payment_method</t>
  </si>
  <si>
    <t>Please select a payment method</t>
  </si>
  <si>
    <t>start_location_required</t>
  </si>
  <si>
    <t>Start location is required</t>
  </si>
  <si>
    <t>end_location_required</t>
  </si>
  <si>
    <t>End location is required</t>
  </si>
  <si>
    <t>payment_method_required</t>
  </si>
  <si>
    <t>Payment method is required</t>
  </si>
  <si>
    <t>pickup_now</t>
  </si>
  <si>
    <t>Pickup Now</t>
  </si>
  <si>
    <t>schedule</t>
  </si>
  <si>
    <t>Schedule</t>
  </si>
  <si>
    <t>locate_on_map</t>
  </si>
  <si>
    <t>Locate on Map</t>
  </si>
  <si>
    <t>recent</t>
  </si>
  <si>
    <t>Recent</t>
  </si>
  <si>
    <t>recent_searches</t>
  </si>
  <si>
    <t>Recent Searches</t>
  </si>
  <si>
    <t>search_region</t>
  </si>
  <si>
    <t>Search Region</t>
  </si>
  <si>
    <t>search_cities_areas_streets</t>
  </si>
  <si>
    <t>Search Cities, Areas, Streets</t>
  </si>
  <si>
    <t>search</t>
  </si>
  <si>
    <t>Search</t>
  </si>
  <si>
    <t>pick_location</t>
  </si>
  <si>
    <t>Pick Location</t>
  </si>
  <si>
    <t>confirm_location</t>
  </si>
  <si>
    <t>Confirm Location</t>
  </si>
  <si>
    <t>on_ride</t>
  </si>
  <si>
    <t>On Ride</t>
  </si>
  <si>
    <t>driver_arrival</t>
  </si>
  <si>
    <t>Driver Arrival</t>
  </si>
  <si>
    <t>ride_cancelled</t>
  </si>
  <si>
    <t>Ride Cancelled</t>
  </si>
  <si>
    <t>finding_driver</t>
  </si>
  <si>
    <t>Finding Driver</t>
  </si>
  <si>
    <t>slide_to_cancel</t>
  </si>
  <si>
    <t>Slide to Cancel</t>
  </si>
  <si>
    <t>are_you_sure_to_cancel_ride</t>
  </si>
  <si>
    <t>Are you sure to cancel ride?</t>
  </si>
  <si>
    <t>back</t>
  </si>
  <si>
    <t>Back</t>
  </si>
  <si>
    <t>cancel_ride</t>
  </si>
  <si>
    <t>Cancel Ride</t>
  </si>
  <si>
    <t>driver_not_found</t>
  </si>
  <si>
    <t>Driver Not Found</t>
  </si>
  <si>
    <t>unable_to_find_driver</t>
  </si>
  <si>
    <t>Unable to find a driver at the moment. Please try again.</t>
  </si>
  <si>
    <t>call_driver</t>
  </si>
  <si>
    <t>Call Driver</t>
  </si>
  <si>
    <t>est_price</t>
  </si>
  <si>
    <t>Est. Price</t>
  </si>
  <si>
    <t>change</t>
  </si>
  <si>
    <t>Change</t>
  </si>
  <si>
    <t>your_driver_will_arrive_in</t>
  </si>
  <si>
    <t>Your driver will arrive in</t>
  </si>
  <si>
    <t>enter_your_reason</t>
  </si>
  <si>
    <t>Enter your reason</t>
  </si>
  <si>
    <t>no_cancellation_fees_will_be_charged</t>
  </si>
  <si>
    <t>No cancellation fees will be charged</t>
  </si>
  <si>
    <t>confirm_cancellation</t>
  </si>
  <si>
    <t>Confirm Cancellation</t>
  </si>
  <si>
    <t>why_are_you_cancelling_the_trip</t>
  </si>
  <si>
    <t>Why are you cancelling the trip?</t>
  </si>
  <si>
    <t>driver_is_taking_too_long</t>
  </si>
  <si>
    <t>Driver is taking too long</t>
  </si>
  <si>
    <t>driver_asked_to_cancel</t>
  </si>
  <si>
    <t>Driver asked to cancel</t>
  </si>
  <si>
    <t>driver_not_responding</t>
  </si>
  <si>
    <t>Driver not responding</t>
  </si>
  <si>
    <t>booked_by_mistake</t>
  </si>
  <si>
    <t>Booked by mistake</t>
  </si>
  <si>
    <t>fare_is_too_high_surge</t>
  </si>
  <si>
    <t>Fare is too high (surge)</t>
  </si>
  <si>
    <t>reach_your_destination_in</t>
  </si>
  <si>
    <t>Reach your destination in</t>
  </si>
  <si>
    <t>estimated_amount_to_be_paid</t>
  </si>
  <si>
    <t>Estimated Amount to be Paid</t>
  </si>
  <si>
    <t>arrival</t>
  </si>
  <si>
    <t>Arrival</t>
  </si>
  <si>
    <t>change_payment_method</t>
  </si>
  <si>
    <t>Change Payment Method</t>
  </si>
  <si>
    <t>your_ride_is_completed</t>
  </si>
  <si>
    <t>Your ride is completed.</t>
  </si>
  <si>
    <t>your_ride_is_cancelled_inbetween_ride</t>
  </si>
  <si>
    <t>Your ride is cancelled inbetween ride</t>
  </si>
  <si>
    <t>please_proceed_with_the_payment</t>
  </si>
  <si>
    <t>Please proceed with the payment</t>
  </si>
  <si>
    <t>kindly_pay_the_fare_for_the_distance_travelled</t>
  </si>
  <si>
    <t>Kindly pay the fare for the distance travelled</t>
  </si>
  <si>
    <t>ride_stopped</t>
  </si>
  <si>
    <t>Ride Stopped</t>
  </si>
  <si>
    <t>please_pay_trip_fare</t>
  </si>
  <si>
    <t>Please PAY Trip Fare</t>
  </si>
  <si>
    <t>to_driver</t>
  </si>
  <si>
    <t>to Driver</t>
  </si>
  <si>
    <t>pay_through_upi</t>
  </si>
  <si>
    <t>PAY THROUGH UPI</t>
  </si>
  <si>
    <t>more_details</t>
  </si>
  <si>
    <t>MORE DETAILS</t>
  </si>
  <si>
    <t>pay</t>
  </si>
  <si>
    <t>PAY</t>
  </si>
  <si>
    <t>later</t>
  </si>
  <si>
    <t>LATER</t>
  </si>
  <si>
    <t>feedback_submitted_successfully</t>
  </si>
  <si>
    <t>Feedback submitted successfully</t>
  </si>
  <si>
    <t>something_went_wrong</t>
  </si>
  <si>
    <t>Something went wrong</t>
  </si>
  <si>
    <t>comments_optional</t>
  </si>
  <si>
    <t>Comments (Optional)</t>
  </si>
  <si>
    <t>submit</t>
  </si>
  <si>
    <t>Submit</t>
  </si>
  <si>
    <t>how_is_your_trips</t>
  </si>
  <si>
    <t>How is your Trips?</t>
  </si>
  <si>
    <t>your_feedback_will_help_us_improving_driving_experience_better</t>
  </si>
  <si>
    <t>Your feedback will help us improving driving experience better</t>
  </si>
</sst>
</file>

<file path=xl/styles.xml><?xml version="1.0" encoding="utf-8"?>
<styleSheet xmlns="http://schemas.openxmlformats.org/spreadsheetml/2006/main" xmlns:x14ac="http://schemas.microsoft.com/office/spreadsheetml/2009/9/ac" xmlns:mc="http://schemas.openxmlformats.org/markup-compatibility/2006">
  <fonts count="2">
    <font>
      <sz val="10.0"/>
      <color rgb="FF000000"/>
      <name val="Arial"/>
      <scheme val="minor"/>
    </font>
    <font>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3">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38"/>
    <col customWidth="1" min="3" max="3" width="20.38"/>
    <col customWidth="1" min="5" max="5" width="19.5"/>
  </cols>
  <sheetData>
    <row r="1">
      <c r="A1" s="1" t="s">
        <v>0</v>
      </c>
      <c r="B1" s="1" t="s">
        <v>1</v>
      </c>
      <c r="C1" s="1" t="s">
        <v>2</v>
      </c>
      <c r="D1" s="1" t="s">
        <v>3</v>
      </c>
      <c r="E1" s="1" t="s">
        <v>4</v>
      </c>
      <c r="F1" s="1" t="s">
        <v>5</v>
      </c>
      <c r="G1" s="1" t="s">
        <v>6</v>
      </c>
    </row>
    <row r="2">
      <c r="A2" s="1" t="s">
        <v>7</v>
      </c>
      <c r="B2" s="1" t="s">
        <v>8</v>
      </c>
      <c r="C2" s="2" t="str">
        <f>IFERROR(__xludf.DUMMYFUNCTION("GOOGLETRANSLATE(B2,""en"",""ta"")"),"தேர்வு செய்யவும் 
 உங்கள் மொழி")</f>
        <v>தேர்வு செய்யவும் 
 உங்கள் மொழி</v>
      </c>
      <c r="D2" s="2" t="str">
        <f>IFERROR(__xludf.DUMMYFUNCTION("GOOGLETRANSLATE(B2,""en"",""hi"")"),"अपनी भाषा चुनें")</f>
        <v>अपनी भाषा चुनें</v>
      </c>
      <c r="E2" s="2" t="str">
        <f>IFERROR(__xludf.DUMMYFUNCTION("GOOGLETRANSLATE(B2,""en"",""ml"")"),"തിരഞ്ഞെടുക്കുക 
 നിങ്ങളുടെ ഭാഷ")</f>
        <v>തിരഞ്ഞെടുക്കുക 
 നിങ്ങളുടെ ഭാഷ</v>
      </c>
      <c r="F2" s="2" t="str">
        <f>IFERROR(__xludf.DUMMYFUNCTION("GOOGLETRANSLATE(B2,""en"",""te"")"),"ఎంచుకోండి 
 మీ భాష")</f>
        <v>ఎంచుకోండి 
 మీ భాష</v>
      </c>
      <c r="G2" s="2" t="str">
        <f>IFERROR(__xludf.DUMMYFUNCTION("GOOGLETRANSLATE(B2,""en"",""kn"")"),"ಆಯ್ಕೆ ಮಾಡಿ 
 ನಿಮ್ಮ ಭಾಷೆ")</f>
        <v>ಆಯ್ಕೆ ಮಾಡಿ 
 ನಿಮ್ಮ ಭಾಷೆ</v>
      </c>
    </row>
    <row r="3">
      <c r="A3" s="1" t="s">
        <v>9</v>
      </c>
      <c r="B3" s="1" t="s">
        <v>10</v>
      </c>
      <c r="C3" s="2" t="str">
        <f>IFERROR(__xludf.DUMMYFUNCTION("GOOGLETRANSLATE(B3,""en"",""ta"")"),"அடுத்து")</f>
        <v>அடுத்து</v>
      </c>
      <c r="D3" s="2" t="str">
        <f>IFERROR(__xludf.DUMMYFUNCTION("GOOGLETRANSLATE(B3,""en"",""hi"")"),"अगला")</f>
        <v>अगला</v>
      </c>
      <c r="E3" s="2" t="str">
        <f>IFERROR(__xludf.DUMMYFUNCTION("GOOGLETRANSLATE(B3,""en"",""ml"")"),"അടുത്തത്")</f>
        <v>അടുത്തത്</v>
      </c>
      <c r="F3" s="2" t="str">
        <f>IFERROR(__xludf.DUMMYFUNCTION("GOOGLETRANSLATE(B3,""en"",""te"")"),"తదుపరి")</f>
        <v>తదుపరి</v>
      </c>
      <c r="G3" s="2" t="str">
        <f>IFERROR(__xludf.DUMMYFUNCTION("GOOGLETRANSLATE(B3,""en"",""kn"")"),"ಮುಂದೆ")</f>
        <v>ಮುಂದೆ</v>
      </c>
    </row>
    <row r="4">
      <c r="A4" s="1" t="s">
        <v>11</v>
      </c>
      <c r="B4" s="1" t="s">
        <v>12</v>
      </c>
      <c r="C4" s="2" t="str">
        <f>IFERROR(__xludf.DUMMYFUNCTION("GOOGLETRANSLATE(B4,""en"",""ta"")"),"தொடங்குங்கள்")</f>
        <v>தொடங்குங்கள்</v>
      </c>
      <c r="D4" s="2" t="str">
        <f>IFERROR(__xludf.DUMMYFUNCTION("GOOGLETRANSLATE(B4,""en"",""hi"")"),"शुरू हो जाओ")</f>
        <v>शुरू हो जाओ</v>
      </c>
      <c r="E4" s="2" t="str">
        <f>IFERROR(__xludf.DUMMYFUNCTION("GOOGLETRANSLATE(B4,""en"",""ml"")"),"ആരംഭിക്കുക")</f>
        <v>ആരംഭിക്കുക</v>
      </c>
      <c r="F4" s="2" t="str">
        <f>IFERROR(__xludf.DUMMYFUNCTION("GOOGLETRANSLATE(B4,""en"",""te"")"),"ప్రారంభించండి")</f>
        <v>ప్రారంభించండి</v>
      </c>
      <c r="G4" s="2" t="str">
        <f>IFERROR(__xludf.DUMMYFUNCTION("GOOGLETRANSLATE(B4,""en"",""kn"")"),"ಪ್ರಾರಂಭಿಸಿ")</f>
        <v>ಪ್ರಾರಂಭಿಸಿ</v>
      </c>
    </row>
    <row r="5">
      <c r="A5" s="1" t="s">
        <v>13</v>
      </c>
      <c r="B5" s="1" t="s">
        <v>14</v>
      </c>
      <c r="C5" s="2" t="str">
        <f>IFERROR(__xludf.DUMMYFUNCTION("GOOGLETRANSLATE(B5,""en"",""ta"")"),"விரைவான மற்றும் எளிதான முன்பதிவுகள்")</f>
        <v>விரைவான மற்றும் எளிதான முன்பதிவுகள்</v>
      </c>
      <c r="D5" s="2" t="str">
        <f>IFERROR(__xludf.DUMMYFUNCTION("GOOGLETRANSLATE(B5,""en"",""hi"")"),"त्वरित और आसान बुकिंग")</f>
        <v>त्वरित और आसान बुकिंग</v>
      </c>
      <c r="E5" s="2" t="str">
        <f>IFERROR(__xludf.DUMMYFUNCTION("GOOGLETRANSLATE(B5,""en"",""ml"")"),"വേഗത്തിലും എളുപ്പത്തിലും ബുക്കിംഗ്")</f>
        <v>വേഗത്തിലും എളുപ്പത്തിലും ബുക്കിംഗ്</v>
      </c>
      <c r="F5" s="2" t="str">
        <f>IFERROR(__xludf.DUMMYFUNCTION("GOOGLETRANSLATE(B5,""en"",""te"")"),"త్వరిత మరియు సులభమైన బుకింగ్‌లు")</f>
        <v>త్వరిత మరియు సులభమైన బుకింగ్‌లు</v>
      </c>
      <c r="G5" s="2" t="str">
        <f>IFERROR(__xludf.DUMMYFUNCTION("GOOGLETRANSLATE(B5,""en"",""kn"")"),"ತ್ವರಿತ ಮತ್ತು ಸುಲಭ ಬುಕಿಂಗ್")</f>
        <v>ತ್ವರಿತ ಮತ್ತು ಸುಲಭ ಬುಕಿಂಗ್</v>
      </c>
    </row>
    <row r="6">
      <c r="A6" s="1" t="s">
        <v>15</v>
      </c>
      <c r="B6" s="1" t="s">
        <v>16</v>
      </c>
      <c r="C6" s="2" t="str">
        <f>IFERROR(__xludf.DUMMYFUNCTION("GOOGLETRANSLATE(B6,""en"",""ta"")"),"உங்கள் இலக்கைத் தேர்வுசெய்து, உங்கள் சவாரியைத் தேர்வுசெய்து, ஒரு சில தட்டல்களில் நீங்கள் உங்கள் பயணத்தைத் தொடங்குவீர்கள்.")</f>
        <v>உங்கள் இலக்கைத் தேர்வுசெய்து, உங்கள் சவாரியைத் தேர்வுசெய்து, ஒரு சில தட்டல்களில் நீங்கள் உங்கள் பயணத்தைத் தொடங்குவீர்கள்.</v>
      </c>
      <c r="D6" s="2" t="str">
        <f>IFERROR(__xludf.DUMMYFUNCTION("GOOGLETRANSLATE(B6,""en"",""hi"")"),"अपना गंतव्य चुनें, अपनी सवारी चुनें, और आप बस कुछ ही टैप में अपने रास्ते पर होंगे।")</f>
        <v>अपना गंतव्य चुनें, अपनी सवारी चुनें, और आप बस कुछ ही टैप में अपने रास्ते पर होंगे।</v>
      </c>
      <c r="E6" s="2" t="str">
        <f>IFERROR(__xludf.DUMMYFUNCTION("GOOGLETRANSLATE(B6,""en"",""ml"")"),"നിങ്ങളുടെ ലക്ഷ്യസ്ഥാനം തിരഞ്ഞെടുക്കുക, നിങ്ങളുടെ റൈഡ് തിരഞ്ഞെടുക്കുക, ഏതാനും ടാപ്പുകളിൽ നിങ്ങൾ എത്തിച്ചേരും.")</f>
        <v>നിങ്ങളുടെ ലക്ഷ്യസ്ഥാനം തിരഞ്ഞെടുക്കുക, നിങ്ങളുടെ റൈഡ് തിരഞ്ഞെടുക്കുക, ഏതാനും ടാപ്പുകളിൽ നിങ്ങൾ എത്തിച്ചേരും.</v>
      </c>
      <c r="F6" s="2" t="str">
        <f>IFERROR(__xludf.DUMMYFUNCTION("GOOGLETRANSLATE(B6,""en"",""te"")"),"మీ గమ్యాన్ని ఎంచుకోండి, మీ రైడ్‌ను ఎంచుకోండి మరియు మీరు కేవలం కొన్ని ట్యాప్‌లలో మీ మార్గంలో చేరుకుంటారు.")</f>
        <v>మీ గమ్యాన్ని ఎంచుకోండి, మీ రైడ్‌ను ఎంచుకోండి మరియు మీరు కేవలం కొన్ని ట్యాప్‌లలో మీ మార్గంలో చేరుకుంటారు.</v>
      </c>
      <c r="G6" s="2" t="str">
        <f>IFERROR(__xludf.DUMMYFUNCTION("GOOGLETRANSLATE(B6,""en"",""kn"")"),"ನಿಮ್ಮ ಗಮ್ಯಸ್ಥಾನವನ್ನು ಆರಿಸಿ, ನಿಮ್ಮ ಸವಾರಿಯನ್ನು ಆರಿಸಿ ಮತ್ತು ನೀವು ಕೆಲವೇ ಟ್ಯಾಪ್‌ಗಳಲ್ಲಿ ನಿಮ್ಮ ದಾರಿಯಲ್ಲಿರುವಿರಿ.")</f>
        <v>ನಿಮ್ಮ ಗಮ್ಯಸ್ಥಾನವನ್ನು ಆರಿಸಿ, ನಿಮ್ಮ ಸವಾರಿಯನ್ನು ಆರಿಸಿ ಮತ್ತು ನೀವು ಕೆಲವೇ ಟ್ಯಾಪ್‌ಗಳಲ್ಲಿ ನಿಮ್ಮ ದಾರಿಯಲ್ಲಿರುವಿರಿ.</v>
      </c>
    </row>
    <row r="7">
      <c r="A7" s="1" t="s">
        <v>17</v>
      </c>
      <c r="B7" s="1" t="s">
        <v>18</v>
      </c>
      <c r="C7" s="2" t="str">
        <f>IFERROR(__xludf.DUMMYFUNCTION("GOOGLETRANSLATE(B7,""en"",""ta"")"),"உங்கள் இலக்கை அமைக்கவும்")</f>
        <v>உங்கள் இலக்கை அமைக்கவும்</v>
      </c>
      <c r="D7" s="2" t="str">
        <f>IFERROR(__xludf.DUMMYFUNCTION("GOOGLETRANSLATE(B7,""en"",""hi"")"),"अपना गंतव्य निर्धारित करें")</f>
        <v>अपना गंतव्य निर्धारित करें</v>
      </c>
      <c r="E7" s="2" t="str">
        <f>IFERROR(__xludf.DUMMYFUNCTION("GOOGLETRANSLATE(B7,""en"",""ml"")"),"നിങ്ങളുടെ ലക്ഷ്യസ്ഥാനം സജ്ജമാക്കുക")</f>
        <v>നിങ്ങളുടെ ലക്ഷ്യസ്ഥാനം സജ്ജമാക്കുക</v>
      </c>
      <c r="F7" s="2" t="str">
        <f>IFERROR(__xludf.DUMMYFUNCTION("GOOGLETRANSLATE(B7,""en"",""te"")"),"మీ గమ్యాన్ని సెట్ చేయండి")</f>
        <v>మీ గమ్యాన్ని సెట్ చేయండి</v>
      </c>
      <c r="G7" s="2" t="str">
        <f>IFERROR(__xludf.DUMMYFUNCTION("GOOGLETRANSLATE(B7,""en"",""kn"")"),"ನಿಮ್ಮ ಗಮ್ಯಸ್ಥಾನವನ್ನು ಹೊಂದಿಸಿ")</f>
        <v>ನಿಮ್ಮ ಗಮ್ಯಸ್ಥಾನವನ್ನು ಹೊಂದಿಸಿ</v>
      </c>
    </row>
    <row r="8">
      <c r="A8" s="1" t="s">
        <v>19</v>
      </c>
      <c r="B8" s="1" t="s">
        <v>20</v>
      </c>
      <c r="C8" s="2" t="str">
        <f>IFERROR(__xludf.DUMMYFUNCTION("GOOGLETRANSLATE(B8,""en"",""ta"")"),"வீடு, அலுவலகம் அல்லது சாகசப் பயணம் எதுவாக இருந்தாலும், ""நம்ம ஊரு டாக்ஸி ®"" உங்களை அங்கு அழைத்துச் செல்ல தயாராக உள்ளது.")</f>
        <v>வீடு, அலுவலகம் அல்லது சாகசப் பயணம் எதுவாக இருந்தாலும், "நம்ம ஊரு டாக்ஸி ®" உங்களை அங்கு அழைத்துச் செல்ல தயாராக உள்ளது.</v>
      </c>
      <c r="D8" s="2" t="str">
        <f>IFERROR(__xludf.DUMMYFUNCTION("GOOGLETRANSLATE(B8,""en"",""hi"")"),"चाहे घर जाना हो, कार्यालय जाना हो, या कोई साहसिक यात्रा हो, ""नम्मा ऊरु टैक्सी®"" आपको वहां ले जाने के लिए तैयार है।")</f>
        <v>चाहे घर जाना हो, कार्यालय जाना हो, या कोई साहसिक यात्रा हो, "नम्मा ऊरु टैक्सी®" आपको वहां ले जाने के लिए तैयार है।</v>
      </c>
      <c r="E8" s="2" t="str">
        <f>IFERROR(__xludf.DUMMYFUNCTION("GOOGLETRANSLATE(B8,""en"",""ml"")"),"വീട്ടിലേക്കോ ഓഫീസിലേക്കോ ഒരു സാഹസിക യാത്രയായാലും, ""നമ്മ ഊരു ടാക്സി ®"" നിങ്ങളെ അവിടെ എത്തിക്കാൻ തയ്യാറാണ്.")</f>
        <v>വീട്ടിലേക്കോ ഓഫീസിലേക്കോ ഒരു സാഹസിക യാത്രയായാലും, "നമ്മ ഊരു ടാക്സി ®" നിങ്ങളെ അവിടെ എത്തിക്കാൻ തയ്യാറാണ്.</v>
      </c>
      <c r="F8" s="2" t="str">
        <f>IFERROR(__xludf.DUMMYFUNCTION("GOOGLETRANSLATE(B8,""en"",""te"")"),"ఇంటికి వెళ్లాలన్నా, ఆఫీసుకు వెళ్లాలన్నా లేదా సాహసయాత్ర అయినా ""నమ్మ ఊరు టాక్సీ ®"" మిమ్మల్ని అక్కడికి తీసుకెళ్లేందుకు సిద్ధంగా ఉంది.")</f>
        <v>ఇంటికి వెళ్లాలన్నా, ఆఫీసుకు వెళ్లాలన్నా లేదా సాహసయాత్ర అయినా "నమ్మ ఊరు టాక్సీ ®" మిమ్మల్ని అక్కడికి తీసుకెళ్లేందుకు సిద్ధంగా ఉంది.</v>
      </c>
      <c r="G8" s="2" t="str">
        <f>IFERROR(__xludf.DUMMYFUNCTION("GOOGLETRANSLATE(B8,""en"",""kn"")"),"ಅದು ಮನೆ, ಕಛೇರಿ ಅಥವಾ ಸಾಹಸವೇ ಆಗಿರಲಿ, ""ನಮ್ಮ ಊರು ಟ್ಯಾಕ್ಸಿ ®"" ನಿಮ್ಮನ್ನು ಅಲ್ಲಿಗೆ ಕರೆದೊಯ್ಯಲು ಸಿದ್ಧವಾಗಿದೆ.")</f>
        <v>ಅದು ಮನೆ, ಕಛೇರಿ ಅಥವಾ ಸಾಹಸವೇ ಆಗಿರಲಿ, "ನಮ್ಮ ಊರು ಟ್ಯಾಕ್ಸಿ ®" ನಿಮ್ಮನ್ನು ಅಲ್ಲಿಗೆ ಕರೆದೊಯ್ಯಲು ಸಿದ್ಧವಾಗಿದೆ.</v>
      </c>
    </row>
    <row r="9">
      <c r="A9" s="1" t="s">
        <v>21</v>
      </c>
      <c r="B9" s="1" t="s">
        <v>22</v>
      </c>
      <c r="C9" s="2" t="str">
        <f>IFERROR(__xludf.DUMMYFUNCTION("GOOGLETRANSLATE(B9,""en"",""ta"")"),"உங்கள் சவாரியைக் கண்காணிக்கவும்")</f>
        <v>உங்கள் சவாரியைக் கண்காணிக்கவும்</v>
      </c>
      <c r="D9" s="2" t="str">
        <f>IFERROR(__xludf.DUMMYFUNCTION("GOOGLETRANSLATE(B9,""en"",""hi"")"),"अपनी सवारी को ट्रैक करें")</f>
        <v>अपनी सवारी को ट्रैक करें</v>
      </c>
      <c r="E9" s="2" t="str">
        <f>IFERROR(__xludf.DUMMYFUNCTION("GOOGLETRANSLATE(B9,""en"",""ml"")"),"നിങ്ങളുടെ റൈഡ് ട്രാക്ക് ചെയ്യുക")</f>
        <v>നിങ്ങളുടെ റൈഡ് ട്രാക്ക് ചെയ്യുക</v>
      </c>
      <c r="F9" s="2" t="str">
        <f>IFERROR(__xludf.DUMMYFUNCTION("GOOGLETRANSLATE(B9,""en"",""te"")"),"మీ రైడ్‌ని ట్రాక్ చేయండి")</f>
        <v>మీ రైడ్‌ని ట్రాక్ చేయండి</v>
      </c>
      <c r="G9" s="2" t="str">
        <f>IFERROR(__xludf.DUMMYFUNCTION("GOOGLETRANSLATE(B9,""en"",""kn"")"),"ನಿಮ್ಮ ಸವಾರಿಯನ್ನು ಟ್ರ್ಯಾಕ್ ಮಾಡಿ")</f>
        <v>ನಿಮ್ಮ ಸವಾರಿಯನ್ನು ಟ್ರ್ಯಾಕ್ ಮಾಡಿ</v>
      </c>
    </row>
    <row r="10">
      <c r="A10" s="1" t="s">
        <v>23</v>
      </c>
      <c r="B10" s="1" t="s">
        <v>24</v>
      </c>
      <c r="C10" s="2" t="str">
        <f>IFERROR(__xludf.DUMMYFUNCTION("GOOGLETRANSLATE(B10,""en"",""ta"")"),"உங்கள் ஓட்டுநரின் வருகையை நிகழ்நேரத்தில் பார்த்து, அவர்களின் இருப்பிடத்தைப் பற்றி தொடர்ந்து தெரிந்துகொள்ளுங்கள். உங்கள் சவாரி எப்போது வரும் என்று இனி யூகிக்க வேண்டாம்.")</f>
        <v>உங்கள் ஓட்டுநரின் வருகையை நிகழ்நேரத்தில் பார்த்து, அவர்களின் இருப்பிடத்தைப் பற்றி தொடர்ந்து தெரிந்துகொள்ளுங்கள். உங்கள் சவாரி எப்போது வரும் என்று இனி யூகிக்க வேண்டாம்.</v>
      </c>
      <c r="D10" s="2" t="str">
        <f>IFERROR(__xludf.DUMMYFUNCTION("GOOGLETRANSLATE(B10,""en"",""hi"")"),"अपने ड्राइवर के आगमन को वास्तविक समय में देखें और उनके स्थान के बारे में अपडेट रहें। अब आपको यह अनुमान लगाने की ज़रूरत नहीं है कि आपकी सवारी कब पहुँचेगी।")</f>
        <v>अपने ड्राइवर के आगमन को वास्तविक समय में देखें और उनके स्थान के बारे में अपडेट रहें। अब आपको यह अनुमान लगाने की ज़रूरत नहीं है कि आपकी सवारी कब पहुँचेगी।</v>
      </c>
      <c r="E10" s="2" t="str">
        <f>IFERROR(__xludf.DUMMYFUNCTION("GOOGLETRANSLATE(B10,""en"",""ml"")"),"നിങ്ങളുടെ ഡ്രൈവറുടെ വരവ് തത്സമയം കാണുകയും അവരുടെ ലൊക്കേഷൻ അപ്ഡേറ്റ് ചെയ്യുകയും ചെയ്യുക. നിങ്ങളുടെ റൈഡ് എപ്പോൾ എത്തുമെന്ന് ഊഹിക്കേണ്ടതില്ല.")</f>
        <v>നിങ്ങളുടെ ഡ്രൈവറുടെ വരവ് തത്സമയം കാണുകയും അവരുടെ ലൊക്കേഷൻ അപ്ഡേറ്റ് ചെയ്യുകയും ചെയ്യുക. നിങ്ങളുടെ റൈഡ് എപ്പോൾ എത്തുമെന്ന് ഊഹിക്കേണ്ടതില്ല.</v>
      </c>
      <c r="F10" s="2" t="str">
        <f>IFERROR(__xludf.DUMMYFUNCTION("GOOGLETRANSLATE(B10,""en"",""te"")"),"మీ డ్రైవర్ రాకను నిజ సమయంలో చూడండి మరియు వారి లొకేషన్‌తో అప్‌డేట్ అవ్వండి. మీ రైడ్ ఎప్పుడు వస్తుందో ఊహించడం లేదు.")</f>
        <v>మీ డ్రైవర్ రాకను నిజ సమయంలో చూడండి మరియు వారి లొకేషన్‌తో అప్‌డేట్ అవ్వండి. మీ రైడ్ ఎప్పుడు వస్తుందో ఊహించడం లేదు.</v>
      </c>
      <c r="G10" s="2" t="str">
        <f>IFERROR(__xludf.DUMMYFUNCTION("GOOGLETRANSLATE(B10,""en"",""kn"")"),"ನಿಮ್ಮ ಚಾಲಕನ ಆಗಮನವನ್ನು ನೈಜ ಸಮಯದಲ್ಲಿ ವೀಕ್ಷಿಸಿ ಮತ್ತು ಅವರ ಸ್ಥಳದೊಂದಿಗೆ ನವೀಕರಿಸಿ. ಇನ್ನು ನಿಮ್ಮ ರೈಡ್ ಯಾವಾಗ ಬರಲಿದೆ ಎಂದು ಊಹಿಸುವುದು ಬೇಡ.")</f>
        <v>ನಿಮ್ಮ ಚಾಲಕನ ಆಗಮನವನ್ನು ನೈಜ ಸಮಯದಲ್ಲಿ ವೀಕ್ಷಿಸಿ ಮತ್ತು ಅವರ ಸ್ಥಳದೊಂದಿಗೆ ನವೀಕರಿಸಿ. ಇನ್ನು ನಿಮ್ಮ ರೈಡ್ ಯಾವಾಗ ಬರಲಿದೆ ಎಂದು ಊಹಿಸುವುದು ಬೇಡ.</v>
      </c>
    </row>
    <row r="11">
      <c r="A11" s="1" t="s">
        <v>25</v>
      </c>
      <c r="B11" s="1" t="s">
        <v>26</v>
      </c>
      <c r="C11" s="2" t="str">
        <f>IFERROR(__xludf.DUMMYFUNCTION("GOOGLETRANSLATE(B11,""en"",""ta"")"),"நீங்கள் எங்கு செல்ல விரும்புகிறீர்கள்?")</f>
        <v>நீங்கள் எங்கு செல்ல விரும்புகிறீர்கள்?</v>
      </c>
      <c r="D11" s="2" t="str">
        <f>IFERROR(__xludf.DUMMYFUNCTION("GOOGLETRANSLATE(B11,""en"",""hi"")"),"आप कहाँ जाना चाहते हैं?")</f>
        <v>आप कहाँ जाना चाहते हैं?</v>
      </c>
      <c r="E11" s="2" t="str">
        <f>IFERROR(__xludf.DUMMYFUNCTION("GOOGLETRANSLATE(B11,""en"",""ml"")"),"നിങ്ങൾക്ക് എവിടെ പോകണം?")</f>
        <v>നിങ്ങൾക്ക് എവിടെ പോകണം?</v>
      </c>
      <c r="F11" s="2" t="str">
        <f>IFERROR(__xludf.DUMMYFUNCTION("GOOGLETRANSLATE(B11,""en"",""te"")"),"మీరు ఎక్కడికి వెళ్లాలనుకుంటున్నారు?")</f>
        <v>మీరు ఎక్కడికి వెళ్లాలనుకుంటున్నారు?</v>
      </c>
      <c r="G11" s="2" t="str">
        <f>IFERROR(__xludf.DUMMYFUNCTION("GOOGLETRANSLATE(B11,""en"",""kn"")"),"ನೀವು ಎಲ್ಲಿಗೆ ಹೋಗಲು ಬಯಸುತ್ತೀರಿ?")</f>
        <v>ನೀವು ಎಲ್ಲಿಗೆ ಹೋಗಲು ಬಯಸುತ್ತೀರಿ?</v>
      </c>
    </row>
    <row r="12">
      <c r="A12" s="1" t="s">
        <v>27</v>
      </c>
      <c r="B12" s="1" t="s">
        <v>28</v>
      </c>
      <c r="C12" s="2" t="str">
        <f>IFERROR(__xludf.DUMMYFUNCTION("GOOGLETRANSLATE(B12,""en"",""ta"")"),"நிராகரி")</f>
        <v>நிராகரி</v>
      </c>
      <c r="D12" s="2" t="str">
        <f>IFERROR(__xludf.DUMMYFUNCTION("GOOGLETRANSLATE(B12,""en"",""hi"")"),"नकार देना")</f>
        <v>नकार देना</v>
      </c>
      <c r="E12" s="2" t="str">
        <f>IFERROR(__xludf.DUMMYFUNCTION("GOOGLETRANSLATE(B12,""en"",""ml"")"),"പിരിച്ചുവിടുക")</f>
        <v>പിരിച്ചുവിടുക</v>
      </c>
      <c r="F12" s="2" t="str">
        <f>IFERROR(__xludf.DUMMYFUNCTION("GOOGLETRANSLATE(B12,""en"",""te"")"),"తొలగించు")</f>
        <v>తొలగించు</v>
      </c>
      <c r="G12" s="2" t="str">
        <f>IFERROR(__xludf.DUMMYFUNCTION("GOOGLETRANSLATE(B12,""en"",""kn"")"),"ವಜಾಗೊಳಿಸಿ")</f>
        <v>ವಜಾಗೊಳಿಸಿ</v>
      </c>
    </row>
    <row r="13">
      <c r="A13" s="1" t="s">
        <v>29</v>
      </c>
      <c r="B13" s="1" t="s">
        <v>30</v>
      </c>
      <c r="C13" s="2" t="str">
        <f>IFERROR(__xludf.DUMMYFUNCTION("GOOGLETRANSLATE(B13,""en"",""ta"")"),"இடம் கிடைக்கவில்லை")</f>
        <v>இடம் கிடைக்கவில்லை</v>
      </c>
      <c r="D13" s="2" t="str">
        <f>IFERROR(__xludf.DUMMYFUNCTION("GOOGLETRANSLATE(B13,""en"",""hi"")"),"स्थान नहीं मिला")</f>
        <v>स्थान नहीं मिला</v>
      </c>
      <c r="E13" s="2" t="str">
        <f>IFERROR(__xludf.DUMMYFUNCTION("GOOGLETRANSLATE(B13,""en"",""ml"")"),"സ്ഥലം കണ്ടെത്തിയില്ല")</f>
        <v>സ്ഥലം കണ്ടെത്തിയില്ല</v>
      </c>
      <c r="F13" s="2" t="str">
        <f>IFERROR(__xludf.DUMMYFUNCTION("GOOGLETRANSLATE(B13,""en"",""te"")"),"స్థానం కనుగొనబడలేదు")</f>
        <v>స్థానం కనుగొనబడలేదు</v>
      </c>
      <c r="G13" s="2" t="str">
        <f>IFERROR(__xludf.DUMMYFUNCTION("GOOGLETRANSLATE(B13,""en"",""kn"")"),"ಸ್ಥಳ ಕಂಡುಬಂದಿಲ್ಲ")</f>
        <v>ಸ್ಥಳ ಕಂಡುಬಂದಿಲ್ಲ</v>
      </c>
    </row>
    <row r="14">
      <c r="A14" s="1" t="s">
        <v>31</v>
      </c>
      <c r="B14" s="1" t="s">
        <v>32</v>
      </c>
      <c r="C14" s="2" t="str">
        <f>IFERROR(__xludf.DUMMYFUNCTION("GOOGLETRANSLATE(B14,""en"",""ta"")"),"பிடித்த இடங்களைச் சேர்க்கவும்")</f>
        <v>பிடித்த இடங்களைச் சேர்க்கவும்</v>
      </c>
      <c r="D14" s="2" t="str">
        <f>IFERROR(__xludf.DUMMYFUNCTION("GOOGLETRANSLATE(B14,""en"",""hi"")"),"पसंदीदा स्थान जोड़ें")</f>
        <v>पसंदीदा स्थान जोड़ें</v>
      </c>
      <c r="E14" s="2" t="str">
        <f>IFERROR(__xludf.DUMMYFUNCTION("GOOGLETRANSLATE(B14,""en"",""ml"")"),"പ്രിയപ്പെട്ട സ്ഥലങ്ങൾ ചേർക്കുക")</f>
        <v>പ്രിയപ്പെട്ട സ്ഥലങ്ങൾ ചേർക്കുക</v>
      </c>
      <c r="F14" s="2" t="str">
        <f>IFERROR(__xludf.DUMMYFUNCTION("GOOGLETRANSLATE(B14,""en"",""te"")"),"ఇష్టమైన స్థలాలను జోడించండి")</f>
        <v>ఇష్టమైన స్థలాలను జోడించండి</v>
      </c>
      <c r="G14" s="2" t="str">
        <f>IFERROR(__xludf.DUMMYFUNCTION("GOOGLETRANSLATE(B14,""en"",""kn"")"),"ಮೆಚ್ಚಿನ ಸ್ಥಳಗಳನ್ನು ಸೇರಿಸಿ")</f>
        <v>ಮೆಚ್ಚಿನ ಸ್ಥಳಗಳನ್ನು ಸೇರಿಸಿ</v>
      </c>
    </row>
    <row r="15">
      <c r="A15" s="1" t="s">
        <v>33</v>
      </c>
      <c r="B15" s="1" t="s">
        <v>34</v>
      </c>
      <c r="C15" s="2" t="str">
        <f>IFERROR(__xludf.DUMMYFUNCTION("GOOGLETRANSLATE(B15,""en"",""ta"")"),"உங்கள் இருப்பிடம்")</f>
        <v>உங்கள் இருப்பிடம்</v>
      </c>
      <c r="D15" s="2" t="str">
        <f>IFERROR(__xludf.DUMMYFUNCTION("GOOGLETRANSLATE(B15,""en"",""hi"")"),"आपका स्थान")</f>
        <v>आपका स्थान</v>
      </c>
      <c r="E15" s="2" t="str">
        <f>IFERROR(__xludf.DUMMYFUNCTION("GOOGLETRANSLATE(B15,""en"",""ml"")"),"നിങ്ങളുടെ സ്ഥാനം")</f>
        <v>നിങ്ങളുടെ സ്ഥാനം</v>
      </c>
      <c r="F15" s="2" t="str">
        <f>IFERROR(__xludf.DUMMYFUNCTION("GOOGLETRANSLATE(B15,""en"",""te"")"),"మీ స్థానం")</f>
        <v>మీ స్థానం</v>
      </c>
      <c r="G15" s="2" t="str">
        <f>IFERROR(__xludf.DUMMYFUNCTION("GOOGLETRANSLATE(B15,""en"",""kn"")"),"ನಿಮ್ಮ ಸ್ಥಳ")</f>
        <v>ನಿಮ್ಮ ಸ್ಥಳ</v>
      </c>
    </row>
    <row r="16">
      <c r="A16" s="1" t="s">
        <v>35</v>
      </c>
      <c r="B16" s="1" t="s">
        <v>36</v>
      </c>
      <c r="C16" s="2" t="str">
        <f>IFERROR(__xludf.DUMMYFUNCTION("GOOGLETRANSLATE(B16,""en"",""ta"")"),"எனது கணக்கு")</f>
        <v>எனது கணக்கு</v>
      </c>
      <c r="D16" s="2" t="str">
        <f>IFERROR(__xludf.DUMMYFUNCTION("GOOGLETRANSLATE(B16,""en"",""hi"")"),"मेरा खाता")</f>
        <v>मेरा खाता</v>
      </c>
      <c r="E16" s="2" t="str">
        <f>IFERROR(__xludf.DUMMYFUNCTION("GOOGLETRANSLATE(B16,""en"",""ml"")"),"എന്റെ അക്കൗണ്ട്")</f>
        <v>എന്റെ അക്കൗണ്ട്</v>
      </c>
      <c r="F16" s="2" t="str">
        <f>IFERROR(__xludf.DUMMYFUNCTION("GOOGLETRANSLATE(B16,""en"",""te"")"),"నా ఖాతా")</f>
        <v>నా ఖాతా</v>
      </c>
      <c r="G16" s="2" t="str">
        <f>IFERROR(__xludf.DUMMYFUNCTION("GOOGLETRANSLATE(B16,""en"",""kn"")"),"ನನ್ನ ಖಾತೆ")</f>
        <v>ನನ್ನ ಖಾತೆ</v>
      </c>
    </row>
    <row r="17">
      <c r="A17" s="1" t="s">
        <v>37</v>
      </c>
      <c r="B17" s="1" t="s">
        <v>38</v>
      </c>
      <c r="C17" s="2" t="str">
        <f>IFERROR(__xludf.DUMMYFUNCTION("GOOGLETRANSLATE(B17,""en"",""ta"")"),"எனது சவாரிகள்")</f>
        <v>எனது சவாரிகள்</v>
      </c>
      <c r="D17" s="2" t="str">
        <f>IFERROR(__xludf.DUMMYFUNCTION("GOOGLETRANSLATE(B17,""en"",""hi"")"),"मेरी सवारी")</f>
        <v>मेरी सवारी</v>
      </c>
      <c r="E17" s="2" t="str">
        <f>IFERROR(__xludf.DUMMYFUNCTION("GOOGLETRANSLATE(B17,""en"",""ml"")"),"എൻ്റെ റൈഡുകൾ")</f>
        <v>എൻ്റെ റൈഡുകൾ</v>
      </c>
      <c r="F17" s="2" t="str">
        <f>IFERROR(__xludf.DUMMYFUNCTION("GOOGLETRANSLATE(B17,""en"",""te"")"),"నా రైడ్స్")</f>
        <v>నా రైడ్స్</v>
      </c>
      <c r="G17" s="2" t="str">
        <f>IFERROR(__xludf.DUMMYFUNCTION("GOOGLETRANSLATE(B17,""en"",""kn"")"),"ನನ್ನ ಸವಾರಿಗಳು")</f>
        <v>ನನ್ನ ಸವಾರಿಗಳು</v>
      </c>
    </row>
    <row r="18">
      <c r="A18" s="1" t="s">
        <v>39</v>
      </c>
      <c r="B18" s="1" t="s">
        <v>40</v>
      </c>
      <c r="C18" s="2" t="str">
        <f>IFERROR(__xludf.DUMMYFUNCTION("GOOGLETRANSLATE(B18,""en"",""ta"")"),"சேமிக்கப்பட்ட இடங்கள்")</f>
        <v>சேமிக்கப்பட்ட இடங்கள்</v>
      </c>
      <c r="D18" s="2" t="str">
        <f>IFERROR(__xludf.DUMMYFUNCTION("GOOGLETRANSLATE(B18,""en"",""hi"")"),"सहेजे गए स्थान")</f>
        <v>सहेजे गए स्थान</v>
      </c>
      <c r="E18" s="2" t="str">
        <f>IFERROR(__xludf.DUMMYFUNCTION("GOOGLETRANSLATE(B18,""en"",""ml"")"),"സംരക്ഷിച്ച സ്ഥലങ്ങൾ")</f>
        <v>സംരക്ഷിച്ച സ്ഥലങ്ങൾ</v>
      </c>
      <c r="F18" s="2" t="str">
        <f>IFERROR(__xludf.DUMMYFUNCTION("GOOGLETRANSLATE(B18,""en"",""te"")"),"సేవ్ చేసిన స్థలాలు")</f>
        <v>సేవ్ చేసిన స్థలాలు</v>
      </c>
      <c r="G18" s="2" t="str">
        <f>IFERROR(__xludf.DUMMYFUNCTION("GOOGLETRANSLATE(B18,""en"",""kn"")"),"ಉಳಿಸಿದ ಸ್ಥಳಗಳು")</f>
        <v>ಉಳಿಸಿದ ಸ್ಥಳಗಳು</v>
      </c>
    </row>
    <row r="19">
      <c r="A19" s="1" t="s">
        <v>41</v>
      </c>
      <c r="B19" s="1" t="s">
        <v>42</v>
      </c>
      <c r="C19" s="2" t="str">
        <f>IFERROR(__xludf.DUMMYFUNCTION("GOOGLETRANSLATE(B19,""en"",""ta"")"),"விருப்பங்கள்")</f>
        <v>விருப்பங்கள்</v>
      </c>
      <c r="D19" s="2" t="str">
        <f>IFERROR(__xludf.DUMMYFUNCTION("GOOGLETRANSLATE(B19,""en"",""hi"")"),"प्राथमिकताएँ")</f>
        <v>प्राथमिकताएँ</v>
      </c>
      <c r="E19" s="2" t="str">
        <f>IFERROR(__xludf.DUMMYFUNCTION("GOOGLETRANSLATE(B19,""en"",""ml"")"),"മുൻഗണനകൾ")</f>
        <v>മുൻഗണനകൾ</v>
      </c>
      <c r="F19" s="2" t="str">
        <f>IFERROR(__xludf.DUMMYFUNCTION("GOOGLETRANSLATE(B19,""en"",""te"")"),"ప్రాధాన్యతలు")</f>
        <v>ప్రాధాన్యతలు</v>
      </c>
      <c r="G19" s="2" t="str">
        <f>IFERROR(__xludf.DUMMYFUNCTION("GOOGLETRANSLATE(B19,""en"",""kn"")"),"ಆದ್ಯತೆಗಳು")</f>
        <v>ಆದ್ಯತೆಗಳು</v>
      </c>
    </row>
    <row r="20">
      <c r="A20" s="1" t="s">
        <v>43</v>
      </c>
      <c r="B20" s="1" t="s">
        <v>44</v>
      </c>
      <c r="C20" s="2" t="str">
        <f>IFERROR(__xludf.DUMMYFUNCTION("GOOGLETRANSLATE(B20,""en"",""ta"")"),"அறிவிப்பு")</f>
        <v>அறிவிப்பு</v>
      </c>
      <c r="D20" s="2" t="str">
        <f>IFERROR(__xludf.DUMMYFUNCTION("GOOGLETRANSLATE(B20,""en"",""hi"")"),"अधिसूचना")</f>
        <v>अधिसूचना</v>
      </c>
      <c r="E20" s="2" t="str">
        <f>IFERROR(__xludf.DUMMYFUNCTION("GOOGLETRANSLATE(B20,""en"",""ml"")"),"അറിയിപ്പ്")</f>
        <v>അറിയിപ്പ്</v>
      </c>
      <c r="F20" s="2" t="str">
        <f>IFERROR(__xludf.DUMMYFUNCTION("GOOGLETRANSLATE(B20,""en"",""te"")"),"నోటిఫికేషన్")</f>
        <v>నోటిఫికేషన్</v>
      </c>
      <c r="G20" s="2" t="str">
        <f>IFERROR(__xludf.DUMMYFUNCTION("GOOGLETRANSLATE(B20,""en"",""kn"")"),"ಅಧಿಸೂಚನೆ")</f>
        <v>ಅಧಿಸೂಚನೆ</v>
      </c>
    </row>
    <row r="21">
      <c r="A21" s="1" t="s">
        <v>45</v>
      </c>
      <c r="B21" s="1" t="s">
        <v>46</v>
      </c>
      <c r="C21" s="2" t="str">
        <f>IFERROR(__xludf.DUMMYFUNCTION("GOOGLETRANSLATE(B21,""en"",""ta"")"),"மொழி")</f>
        <v>மொழி</v>
      </c>
      <c r="D21" s="2" t="str">
        <f>IFERROR(__xludf.DUMMYFUNCTION("GOOGLETRANSLATE(B21,""en"",""hi"")"),"भाषा")</f>
        <v>भाषा</v>
      </c>
      <c r="E21" s="2" t="str">
        <f>IFERROR(__xludf.DUMMYFUNCTION("GOOGLETRANSLATE(B21,""en"",""ml"")"),"ഭാഷ")</f>
        <v>ഭാഷ</v>
      </c>
      <c r="F21" s="2" t="str">
        <f>IFERROR(__xludf.DUMMYFUNCTION("GOOGLETRANSLATE(B21,""en"",""te"")"),"భాష")</f>
        <v>భాష</v>
      </c>
      <c r="G21" s="2" t="str">
        <f>IFERROR(__xludf.DUMMYFUNCTION("GOOGLETRANSLATE(B21,""en"",""kn"")"),"ಭಾಷೆ")</f>
        <v>ಭಾಷೆ</v>
      </c>
    </row>
    <row r="22">
      <c r="A22" s="1" t="s">
        <v>47</v>
      </c>
      <c r="B22" s="1" t="s">
        <v>48</v>
      </c>
      <c r="C22" s="2" t="str">
        <f>IFERROR(__xludf.DUMMYFUNCTION("GOOGLETRANSLATE(B22,""en"",""ta"")"),"ஆதரவு")</f>
        <v>ஆதரவு</v>
      </c>
      <c r="D22" s="2" t="str">
        <f>IFERROR(__xludf.DUMMYFUNCTION("GOOGLETRANSLATE(B22,""en"",""hi"")"),"सहायता")</f>
        <v>सहायता</v>
      </c>
      <c r="E22" s="2" t="str">
        <f>IFERROR(__xludf.DUMMYFUNCTION("GOOGLETRANSLATE(B22,""en"",""ml"")"),"പിന്തുണ")</f>
        <v>പിന്തുണ</v>
      </c>
      <c r="F22" s="2" t="str">
        <f>IFERROR(__xludf.DUMMYFUNCTION("GOOGLETRANSLATE(B22,""en"",""te"")"),"మద్దతు")</f>
        <v>మద్దతు</v>
      </c>
      <c r="G22" s="2" t="str">
        <f>IFERROR(__xludf.DUMMYFUNCTION("GOOGLETRANSLATE(B22,""en"",""kn"")"),"ಬೆಂಬಲ")</f>
        <v>ಬೆಂಬಲ</v>
      </c>
    </row>
    <row r="23">
      <c r="A23" s="1" t="s">
        <v>49</v>
      </c>
      <c r="B23" s="1" t="s">
        <v>50</v>
      </c>
      <c r="C23" s="2" t="str">
        <f>IFERROR(__xludf.DUMMYFUNCTION("GOOGLETRANSLATE(B23,""en"",""ta"")"),"எங்களை தொடர்பு கொள்ளவும்")</f>
        <v>எங்களை தொடர்பு கொள்ளவும்</v>
      </c>
      <c r="D23" s="2" t="str">
        <f>IFERROR(__xludf.DUMMYFUNCTION("GOOGLETRANSLATE(B23,""en"",""hi"")"),"हमसे संपर्क करें")</f>
        <v>हमसे संपर्क करें</v>
      </c>
      <c r="E23" s="2" t="str">
        <f>IFERROR(__xludf.DUMMYFUNCTION("GOOGLETRANSLATE(B23,""en"",""ml"")"),"ഞങ്ങളെ സമീപിക്കുക")</f>
        <v>ഞങ്ങളെ സമീപിക്കുക</v>
      </c>
      <c r="F23" s="2" t="str">
        <f>IFERROR(__xludf.DUMMYFUNCTION("GOOGLETRANSLATE(B23,""en"",""te"")"),"మమ్మల్ని సంప్రదించండి")</f>
        <v>మమ్మల్ని సంప్రదించండి</v>
      </c>
      <c r="G23" s="2" t="str">
        <f>IFERROR(__xludf.DUMMYFUNCTION("GOOGLETRANSLATE(B23,""en"",""kn"")"),"ನಮ್ಮನ್ನು ಸಂಪರ್ಕಿಸಿ")</f>
        <v>ನಮ್ಮನ್ನು ಸಂಪರ್ಕಿಸಿ</v>
      </c>
    </row>
    <row r="24">
      <c r="A24" s="1" t="s">
        <v>51</v>
      </c>
      <c r="B24" s="1" t="s">
        <v>52</v>
      </c>
      <c r="C24" s="2" t="str">
        <f>IFERROR(__xludf.DUMMYFUNCTION("GOOGLETRANSLATE(B24,""en"",""ta"")"),"சட்டப்படி")</f>
        <v>சட்டப்படி</v>
      </c>
      <c r="D24" s="2" t="str">
        <f>IFERROR(__xludf.DUMMYFUNCTION("GOOGLETRANSLATE(B24,""en"",""hi"")"),"कानूनी")</f>
        <v>कानूनी</v>
      </c>
      <c r="E24" s="2" t="str">
        <f>IFERROR(__xludf.DUMMYFUNCTION("GOOGLETRANSLATE(B24,""en"",""ml"")"),"നിയമപരമായ")</f>
        <v>നിയമപരമായ</v>
      </c>
      <c r="F24" s="2" t="str">
        <f>IFERROR(__xludf.DUMMYFUNCTION("GOOGLETRANSLATE(B24,""en"",""te"")"),"చట్టపరమైన")</f>
        <v>చట్టపరమైన</v>
      </c>
      <c r="G24" s="2" t="str">
        <f>IFERROR(__xludf.DUMMYFUNCTION("GOOGLETRANSLATE(B24,""en"",""kn"")"),"ಕಾನೂನುಬದ್ಧ")</f>
        <v>ಕಾನೂನುಬದ್ಧ</v>
      </c>
    </row>
    <row r="25">
      <c r="A25" s="1" t="s">
        <v>53</v>
      </c>
      <c r="B25" s="1" t="s">
        <v>54</v>
      </c>
      <c r="C25" s="2" t="str">
        <f>IFERROR(__xludf.DUMMYFUNCTION("GOOGLETRANSLATE(B25,""en"",""ta"")"),"சோதனைத் திரை")</f>
        <v>சோதனைத் திரை</v>
      </c>
      <c r="D25" s="2" t="str">
        <f>IFERROR(__xludf.DUMMYFUNCTION("GOOGLETRANSLATE(B25,""en"",""hi"")"),"टेस्ट स्क्रीन")</f>
        <v>टेस्ट स्क्रीन</v>
      </c>
      <c r="E25" s="2" t="str">
        <f>IFERROR(__xludf.DUMMYFUNCTION("GOOGLETRANSLATE(B25,""en"",""ml"")"),"ടെസ്റ്റ് സ്ക്രീൻ")</f>
        <v>ടെസ്റ്റ് സ്ക്രീൻ</v>
      </c>
      <c r="F25" s="2" t="str">
        <f>IFERROR(__xludf.DUMMYFUNCTION("GOOGLETRANSLATE(B25,""en"",""te"")"),"టెస్ట్ స్క్రీన్")</f>
        <v>టెస్ట్ స్క్రీన్</v>
      </c>
      <c r="G25" s="2" t="str">
        <f>IFERROR(__xludf.DUMMYFUNCTION("GOOGLETRANSLATE(B25,""en"",""kn"")"),"ಪರೀಕ್ಷಾ ಪರದೆ")</f>
        <v>ಪರೀಕ್ಷಾ ಪರದೆ</v>
      </c>
    </row>
    <row r="26">
      <c r="A26" s="1" t="s">
        <v>55</v>
      </c>
      <c r="B26" s="1" t="s">
        <v>56</v>
      </c>
      <c r="C26" s="2" t="str">
        <f>IFERROR(__xludf.DUMMYFUNCTION("GOOGLETRANSLATE(B26,""en"",""ta"")"),"முழுப் பெயர்")</f>
        <v>முழுப் பெயர்</v>
      </c>
      <c r="D26" s="2" t="str">
        <f>IFERROR(__xludf.DUMMYFUNCTION("GOOGLETRANSLATE(B26,""en"",""hi"")"),"पूरा नाम")</f>
        <v>पूरा नाम</v>
      </c>
      <c r="E26" s="2" t="str">
        <f>IFERROR(__xludf.DUMMYFUNCTION("GOOGLETRANSLATE(B26,""en"",""ml"")"),"പൂർണ്ണമായ പേര്")</f>
        <v>പൂർണ്ണമായ പേര്</v>
      </c>
      <c r="F26" s="2" t="str">
        <f>IFERROR(__xludf.DUMMYFUNCTION("GOOGLETRANSLATE(B26,""en"",""te"")"),"పూర్తి పేరు")</f>
        <v>పూర్తి పేరు</v>
      </c>
      <c r="G26" s="2" t="str">
        <f>IFERROR(__xludf.DUMMYFUNCTION("GOOGLETRANSLATE(B26,""en"",""kn"")"),"ಪೂರ್ಣ ಹೆಸರು")</f>
        <v>ಪೂರ್ಣ ಹೆಸರು</v>
      </c>
    </row>
    <row r="27">
      <c r="A27" s="1" t="s">
        <v>57</v>
      </c>
      <c r="B27" s="1" t="s">
        <v>58</v>
      </c>
      <c r="C27" s="2" t="str">
        <f>IFERROR(__xludf.DUMMYFUNCTION("GOOGLETRANSLATE(B27,""en"",""ta"")"),"பாலினம்")</f>
        <v>பாலினம்</v>
      </c>
      <c r="D27" s="2" t="str">
        <f>IFERROR(__xludf.DUMMYFUNCTION("GOOGLETRANSLATE(B27,""en"",""hi"")"),"लिंग")</f>
        <v>लिंग</v>
      </c>
      <c r="E27" s="2" t="str">
        <f>IFERROR(__xludf.DUMMYFUNCTION("GOOGLETRANSLATE(B27,""en"",""ml"")"),"ലിംഗഭേദം")</f>
        <v>ലിംഗഭേദം</v>
      </c>
      <c r="F27" s="2" t="str">
        <f>IFERROR(__xludf.DUMMYFUNCTION("GOOGLETRANSLATE(B27,""en"",""te"")"),"లింగం")</f>
        <v>లింగం</v>
      </c>
      <c r="G27" s="2" t="str">
        <f>IFERROR(__xludf.DUMMYFUNCTION("GOOGLETRANSLATE(B27,""en"",""kn"")"),"ಲಿಂಗ")</f>
        <v>ಲಿಂಗ</v>
      </c>
    </row>
    <row r="28">
      <c r="A28" s="1" t="s">
        <v>59</v>
      </c>
      <c r="B28" s="1" t="s">
        <v>60</v>
      </c>
      <c r="C28" s="2" t="str">
        <f>IFERROR(__xludf.DUMMYFUNCTION("GOOGLETRANSLATE(B28,""en"",""ta"")"),"தொலைபேசி எண்")</f>
        <v>தொலைபேசி எண்</v>
      </c>
      <c r="D28" s="2" t="str">
        <f>IFERROR(__xludf.DUMMYFUNCTION("GOOGLETRANSLATE(B28,""en"",""hi"")"),"फ़ोन नंबर")</f>
        <v>फ़ोन नंबर</v>
      </c>
      <c r="E28" s="2" t="str">
        <f>IFERROR(__xludf.DUMMYFUNCTION("GOOGLETRANSLATE(B28,""en"",""ml"")"),"ഫോൺ നമ്പർ")</f>
        <v>ഫോൺ നമ്പർ</v>
      </c>
      <c r="F28" s="2" t="str">
        <f>IFERROR(__xludf.DUMMYFUNCTION("GOOGLETRANSLATE(B28,""en"",""te"")"),"ఫోన్ నంబర్")</f>
        <v>ఫోన్ నంబర్</v>
      </c>
      <c r="G28" s="2" t="str">
        <f>IFERROR(__xludf.DUMMYFUNCTION("GOOGLETRANSLATE(B28,""en"",""kn"")"),"ಫೋನ್ ಸಂಖ್ಯೆ")</f>
        <v>ಫೋನ್ ಸಂಖ್ಯೆ</v>
      </c>
    </row>
    <row r="29">
      <c r="A29" s="1" t="s">
        <v>61</v>
      </c>
      <c r="B29" s="1" t="s">
        <v>62</v>
      </c>
      <c r="C29" s="2" t="str">
        <f>IFERROR(__xludf.DUMMYFUNCTION("GOOGLETRANSLATE(B29,""en"",""ta"")"),"மின்னஞ்சல் முகவரி")</f>
        <v>மின்னஞ்சல் முகவரி</v>
      </c>
      <c r="D29" s="2" t="str">
        <f>IFERROR(__xludf.DUMMYFUNCTION("GOOGLETRANSLATE(B29,""en"",""hi"")"),"मेल पता")</f>
        <v>मेल पता</v>
      </c>
      <c r="E29" s="2" t="str">
        <f>IFERROR(__xludf.DUMMYFUNCTION("GOOGLETRANSLATE(B29,""en"",""ml"")"),"ഇമെയിൽ വിലാസം")</f>
        <v>ഇമെയിൽ വിലാസം</v>
      </c>
      <c r="F29" s="2" t="str">
        <f>IFERROR(__xludf.DUMMYFUNCTION("GOOGLETRANSLATE(B29,""en"",""te"")"),"ఇమెయిల్ చిరునామా")</f>
        <v>ఇమెయిల్ చిరునామా</v>
      </c>
      <c r="G29" s="2" t="str">
        <f>IFERROR(__xludf.DUMMYFUNCTION("GOOGLETRANSLATE(B29,""en"",""kn"")"),"ಇಮೇಲ್ ವಿಳಾಸ")</f>
        <v>ಇಮೇಲ್ ವಿಳಾಸ</v>
      </c>
    </row>
    <row r="30">
      <c r="A30" s="1" t="s">
        <v>63</v>
      </c>
      <c r="B30" s="1" t="s">
        <v>64</v>
      </c>
      <c r="C30" s="2" t="str">
        <f>IFERROR(__xludf.DUMMYFUNCTION("GOOGLETRANSLATE(B30,""en"",""ta"")"),"வெளியேற ஸ்வைப் செய்யவும்")</f>
        <v>வெளியேற ஸ்வைப் செய்யவும்</v>
      </c>
      <c r="D30" s="2" t="str">
        <f>IFERROR(__xludf.DUMMYFUNCTION("GOOGLETRANSLATE(B30,""en"",""hi"")"),"लॉगआउट करने के लिए स्वाइप करें")</f>
        <v>लॉगआउट करने के लिए स्वाइप करें</v>
      </c>
      <c r="E30" s="2" t="str">
        <f>IFERROR(__xludf.DUMMYFUNCTION("GOOGLETRANSLATE(B30,""en"",""ml"")"),"ലോഗൗട്ട് ചെയ്യാൻ സ്വൈപ്പ് ചെയ്യുക")</f>
        <v>ലോഗൗട്ട് ചെയ്യാൻ സ്വൈപ്പ് ചെയ്യുക</v>
      </c>
      <c r="F30" s="2" t="str">
        <f>IFERROR(__xludf.DUMMYFUNCTION("GOOGLETRANSLATE(B30,""en"",""te"")"),"లాగ్ అవుట్ చేయడానికి స్వైప్ చేయండి")</f>
        <v>లాగ్ అవుట్ చేయడానికి స్వైప్ చేయండి</v>
      </c>
      <c r="G30" s="2" t="str">
        <f>IFERROR(__xludf.DUMMYFUNCTION("GOOGLETRANSLATE(B30,""en"",""kn"")"),"ಲಾಗ್‌ಔಟ್ ಮಾಡಲು ಸ್ವೈಪ್ ಮಾಡಿ")</f>
        <v>ಲಾಗ್‌ಔಟ್ ಮಾಡಲು ಸ್ವೈಪ್ ಮಾಡಿ</v>
      </c>
    </row>
    <row r="31">
      <c r="A31" s="1" t="s">
        <v>65</v>
      </c>
      <c r="B31" s="1" t="s">
        <v>66</v>
      </c>
      <c r="C31" s="2" t="str">
        <f>IFERROR(__xludf.DUMMYFUNCTION("GOOGLETRANSLATE(B31,""en"",""ta"")"),"கணக்கை நீக்கு")</f>
        <v>கணக்கை நீக்கு</v>
      </c>
      <c r="D31" s="2" t="str">
        <f>IFERROR(__xludf.DUMMYFUNCTION("GOOGLETRANSLATE(B31,""en"",""hi"")"),"खाता हटा दो")</f>
        <v>खाता हटा दो</v>
      </c>
      <c r="E31" s="2" t="str">
        <f>IFERROR(__xludf.DUMMYFUNCTION("GOOGLETRANSLATE(B31,""en"",""ml"")"),"അക്കൗണ്ട് ഇല്ലാതാക്കുക")</f>
        <v>അക്കൗണ്ട് ഇല്ലാതാക്കുക</v>
      </c>
      <c r="F31" s="2" t="str">
        <f>IFERROR(__xludf.DUMMYFUNCTION("GOOGLETRANSLATE(B31,""en"",""te"")"),"ఖాతాను తొలగించండి")</f>
        <v>ఖాతాను తొలగించండి</v>
      </c>
      <c r="G31" s="2" t="str">
        <f>IFERROR(__xludf.DUMMYFUNCTION("GOOGLETRANSLATE(B31,""en"",""kn"")"),"ಖಾತೆಯನ್ನು ಅಳಿಸಿ")</f>
        <v>ಖಾತೆಯನ್ನು ಅಳಿಸಿ</v>
      </c>
    </row>
    <row r="32">
      <c r="A32" s="1" t="s">
        <v>67</v>
      </c>
      <c r="B32" s="1" t="s">
        <v>68</v>
      </c>
      <c r="C32" s="2" t="str">
        <f>IFERROR(__xludf.DUMMYFUNCTION("GOOGLETRANSLATE(B32,""en"",""ta"")"),"கணக்கு நீக்கம் கோரப்பட்டது")</f>
        <v>கணக்கு நீக்கம் கோரப்பட்டது</v>
      </c>
      <c r="D32" s="2" t="str">
        <f>IFERROR(__xludf.DUMMYFUNCTION("GOOGLETRANSLATE(B32,""en"",""hi"")"),"खाता हटाने का अनुरोध")</f>
        <v>खाता हटाने का अनुरोध</v>
      </c>
      <c r="E32" s="2" t="str">
        <f>IFERROR(__xludf.DUMMYFUNCTION("GOOGLETRANSLATE(B32,""en"",""ml"")"),"അക്കൗണ്ട് ഇല്ലാതാക്കാൻ അഭ്യർത്ഥിച്ചു")</f>
        <v>അക്കൗണ്ട് ഇല്ലാതാക്കാൻ അഭ്യർത്ഥിച്ചു</v>
      </c>
      <c r="F32" s="2" t="str">
        <f>IFERROR(__xludf.DUMMYFUNCTION("GOOGLETRANSLATE(B32,""en"",""te"")"),"ఖాతా తొలగింపు అభ్యర్థించబడింది")</f>
        <v>ఖాతా తొలగింపు అభ్యర్థించబడింది</v>
      </c>
      <c r="G32" s="2" t="str">
        <f>IFERROR(__xludf.DUMMYFUNCTION("GOOGLETRANSLATE(B32,""en"",""kn"")"),"ಖಾತೆಯನ್ನು ಅಳಿಸಲು ವಿನಂತಿಸಲಾಗಿದೆ")</f>
        <v>ಖಾತೆಯನ್ನು ಅಳಿಸಲು ವಿನಂತಿಸಲಾಗಿದೆ</v>
      </c>
    </row>
    <row r="33">
      <c r="A33" s="1" t="s">
        <v>69</v>
      </c>
      <c r="B33" s="1" t="s">
        <v>70</v>
      </c>
      <c r="C33" s="2" t="str">
        <f>IFERROR(__xludf.DUMMYFUNCTION("GOOGLETRANSLATE(B33,""en"",""ta"")"),"15 நாட்களுக்குப் பிறகு உங்கள் கணக்கு நீக்கப்படும். நீங்கள் வெளியேறிவிட்டீர்கள்.")</f>
        <v>15 நாட்களுக்குப் பிறகு உங்கள் கணக்கு நீக்கப்படும். நீங்கள் வெளியேறிவிட்டீர்கள்.</v>
      </c>
      <c r="D33" s="2" t="str">
        <f>IFERROR(__xludf.DUMMYFUNCTION("GOOGLETRANSLATE(B33,""en"",""hi"")"),"आपका खाता 15 दिनों के बाद हटा दिया जाएगा। आपको लॉग आउट कर दिया गया है।")</f>
        <v>आपका खाता 15 दिनों के बाद हटा दिया जाएगा। आपको लॉग आउट कर दिया गया है।</v>
      </c>
      <c r="E33" s="2" t="str">
        <f>IFERROR(__xludf.DUMMYFUNCTION("GOOGLETRANSLATE(B33,""en"",""ml"")"),"15 ദിവസത്തിന് ശേഷം നിങ്ങളുടെ അക്കൗണ്ട് ഇല്ലാതാക്കപ്പെടും. നിങ്ങൾ ലോഗ് ഔട്ട് ചെയ്തു.")</f>
        <v>15 ദിവസത്തിന് ശേഷം നിങ്ങളുടെ അക്കൗണ്ട് ഇല്ലാതാക്കപ്പെടും. നിങ്ങൾ ലോഗ് ഔട്ട് ചെയ്തു.</v>
      </c>
      <c r="F33" s="2" t="str">
        <f>IFERROR(__xludf.DUMMYFUNCTION("GOOGLETRANSLATE(B33,""en"",""te"")"),"మీ ఖాతా 15 రోజుల తర్వాత తొలగించబడుతుంది. మీరు లాగ్ అవుట్ చేయబడ్డారు.")</f>
        <v>మీ ఖాతా 15 రోజుల తర్వాత తొలగించబడుతుంది. మీరు లాగ్ అవుట్ చేయబడ్డారు.</v>
      </c>
      <c r="G33" s="2" t="str">
        <f>IFERROR(__xludf.DUMMYFUNCTION("GOOGLETRANSLATE(B33,""en"",""kn"")"),"ನಿಮ್ಮ ಖಾತೆಯನ್ನು 15 ದಿನಗಳ ನಂತರ ಅಳಿಸಲಾಗುತ್ತದೆ. ನೀವು ಲಾಗ್ ಔಟ್ ಆಗಿರುವಿರಿ.")</f>
        <v>ನಿಮ್ಮ ಖಾತೆಯನ್ನು 15 ದಿನಗಳ ನಂತರ ಅಳಿಸಲಾಗುತ್ತದೆ. ನೀವು ಲಾಗ್ ಔಟ್ ಆಗಿರುವಿರಿ.</v>
      </c>
    </row>
    <row r="34">
      <c r="A34" s="1" t="s">
        <v>71</v>
      </c>
      <c r="B34" s="1" t="s">
        <v>72</v>
      </c>
      <c r="C34" s="2" t="str">
        <f>IFERROR(__xludf.DUMMYFUNCTION("GOOGLETRANSLATE(B34,""en"",""ta"")"),"உங்கள் சவாரிகள்")</f>
        <v>உங்கள் சவாரிகள்</v>
      </c>
      <c r="D34" s="2" t="str">
        <f>IFERROR(__xludf.DUMMYFUNCTION("GOOGLETRANSLATE(B34,""en"",""hi"")"),"आपकी सवारी")</f>
        <v>आपकी सवारी</v>
      </c>
      <c r="E34" s="2" t="str">
        <f>IFERROR(__xludf.DUMMYFUNCTION("GOOGLETRANSLATE(B34,""en"",""ml"")"),"നിങ്ങളുടെ റൈഡുകൾ")</f>
        <v>നിങ്ങളുടെ റൈഡുകൾ</v>
      </c>
      <c r="F34" s="2" t="str">
        <f>IFERROR(__xludf.DUMMYFUNCTION("GOOGLETRANSLATE(B34,""en"",""te"")"),"మీ రైడ్స్")</f>
        <v>మీ రైడ్స్</v>
      </c>
      <c r="G34" s="2" t="str">
        <f>IFERROR(__xludf.DUMMYFUNCTION("GOOGLETRANSLATE(B34,""en"",""kn"")"),"ನಿಮ್ಮ ಸವಾರಿಗಳು")</f>
        <v>ನಿಮ್ಮ ಸವಾರಿಗಳು</v>
      </c>
    </row>
    <row r="35">
      <c r="A35" s="1" t="s">
        <v>73</v>
      </c>
      <c r="B35" s="1" t="s">
        <v>74</v>
      </c>
      <c r="C35" s="2" t="str">
        <f>IFERROR(__xludf.DUMMYFUNCTION("GOOGLETRANSLATE(B35,""en"",""ta"")"),"பயண வரலாறு")</f>
        <v>பயண வரலாறு</v>
      </c>
      <c r="D35" s="2" t="str">
        <f>IFERROR(__xludf.DUMMYFUNCTION("GOOGLETRANSLATE(B35,""en"",""hi"")"),"यात्रा का इतिहास")</f>
        <v>यात्रा का इतिहास</v>
      </c>
      <c r="E35" s="2" t="str">
        <f>IFERROR(__xludf.DUMMYFUNCTION("GOOGLETRANSLATE(B35,""en"",""ml"")"),"യാത്ര ചരിത്രം")</f>
        <v>യാത്ര ചരിത്രം</v>
      </c>
      <c r="F35" s="2" t="str">
        <f>IFERROR(__xludf.DUMMYFUNCTION("GOOGLETRANSLATE(B35,""en"",""te"")"),"పర్యటన చరిత్ర")</f>
        <v>పర్యటన చరిత్ర</v>
      </c>
      <c r="G35" s="2" t="str">
        <f>IFERROR(__xludf.DUMMYFUNCTION("GOOGLETRANSLATE(B35,""en"",""kn"")"),"ಪ್ರವಾಸದ ಇತಿಹಾಸ")</f>
        <v>ಪ್ರವಾಸದ ಇತಿಹಾಸ</v>
      </c>
    </row>
    <row r="36">
      <c r="A36" s="1" t="s">
        <v>75</v>
      </c>
      <c r="B36" s="1" t="s">
        <v>76</v>
      </c>
      <c r="C36" s="2" t="str">
        <f>IFERROR(__xludf.DUMMYFUNCTION("GOOGLETRANSLATE(B36,""en"",""ta"")"),"வரவிருக்கும் சவாரிகள்")</f>
        <v>வரவிருக்கும் சவாரிகள்</v>
      </c>
      <c r="D36" s="2" t="str">
        <f>IFERROR(__xludf.DUMMYFUNCTION("GOOGLETRANSLATE(B36,""en"",""hi"")"),"आगामी सवारी")</f>
        <v>आगामी सवारी</v>
      </c>
      <c r="E36" s="2" t="str">
        <f>IFERROR(__xludf.DUMMYFUNCTION("GOOGLETRANSLATE(B36,""en"",""ml"")"),"വരാനിരിക്കുന്ന റൈഡുകൾ")</f>
        <v>വരാനിരിക്കുന്ന റൈഡുകൾ</v>
      </c>
      <c r="F36" s="2" t="str">
        <f>IFERROR(__xludf.DUMMYFUNCTION("GOOGLETRANSLATE(B36,""en"",""te"")"),"రాబోయే రైడ్‌లు")</f>
        <v>రాబోయే రైడ్‌లు</v>
      </c>
      <c r="G36" s="2" t="str">
        <f>IFERROR(__xludf.DUMMYFUNCTION("GOOGLETRANSLATE(B36,""en"",""kn"")"),"ಮುಂಬರುವ ಸವಾರಿಗಳು")</f>
        <v>ಮುಂಬರುವ ಸವಾರಿಗಳು</v>
      </c>
    </row>
    <row r="37">
      <c r="A37" s="1" t="s">
        <v>77</v>
      </c>
      <c r="B37" s="1" t="s">
        <v>78</v>
      </c>
      <c r="C37" s="2" t="str">
        <f>IFERROR(__xludf.DUMMYFUNCTION("GOOGLETRANSLATE(B37,""en"",""ta"")"),"பயணங்கள் எதுவும் இல்லை")</f>
        <v>பயணங்கள் எதுவும் இல்லை</v>
      </c>
      <c r="D37" s="2" t="str">
        <f>IFERROR(__xludf.DUMMYFUNCTION("GOOGLETRANSLATE(B37,""en"",""hi"")"),"कोई यात्रा नहीं मिली")</f>
        <v>कोई यात्रा नहीं मिली</v>
      </c>
      <c r="E37" s="2" t="str">
        <f>IFERROR(__xludf.DUMMYFUNCTION("GOOGLETRANSLATE(B37,""en"",""ml"")"),"യാത്രകളൊന്നും കണ്ടെത്തിയില്ല")</f>
        <v>യാത്രകളൊന്നും കണ്ടെത്തിയില്ല</v>
      </c>
      <c r="F37" s="2" t="str">
        <f>IFERROR(__xludf.DUMMYFUNCTION("GOOGLETRANSLATE(B37,""en"",""te"")"),"పర్యటనలు ఏవీ కనుగొనబడలేదు")</f>
        <v>పర్యటనలు ఏవీ కనుగొనబడలేదు</v>
      </c>
      <c r="G37" s="2" t="str">
        <f>IFERROR(__xludf.DUMMYFUNCTION("GOOGLETRANSLATE(B37,""en"",""kn"")"),"ಯಾವುದೇ ಪ್ರವಾಸಗಳು ಕಂಡುಬಂದಿಲ್ಲ")</f>
        <v>ಯಾವುದೇ ಪ್ರವಾಸಗಳು ಕಂಡುಬಂದಿಲ್ಲ</v>
      </c>
    </row>
    <row r="38">
      <c r="A38" s="1" t="s">
        <v>79</v>
      </c>
      <c r="B38" s="1" t="s">
        <v>80</v>
      </c>
      <c r="C38" s="2" t="str">
        <f>IFERROR(__xludf.DUMMYFUNCTION("GOOGLETRANSLATE(B38,""en"",""ta"")"),"சவாரிகளைப் பெற முடியவில்லை")</f>
        <v>சவாரிகளைப் பெற முடியவில்லை</v>
      </c>
      <c r="D38" s="2" t="str">
        <f>IFERROR(__xludf.DUMMYFUNCTION("GOOGLETRANSLATE(B38,""en"",""hi"")"),"सवारी पाने में विफल")</f>
        <v>सवारी पाने में विफल</v>
      </c>
      <c r="E38" s="2" t="str">
        <f>IFERROR(__xludf.DUMMYFUNCTION("GOOGLETRANSLATE(B38,""en"",""ml"")"),"റൈഡുകൾ നേടുന്നതിൽ പരാജയപ്പെട്ടു")</f>
        <v>റൈഡുകൾ നേടുന്നതിൽ പരാജയപ്പെട്ടു</v>
      </c>
      <c r="F38" s="2" t="str">
        <f>IFERROR(__xludf.DUMMYFUNCTION("GOOGLETRANSLATE(B38,""en"",""te"")"),"రైడ్‌లను పొందడంలో విఫలమైంది")</f>
        <v>రైడ్‌లను పొందడంలో విఫలమైంది</v>
      </c>
      <c r="G38" s="2" t="str">
        <f>IFERROR(__xludf.DUMMYFUNCTION("GOOGLETRANSLATE(B38,""en"",""kn"")"),"ಸವಾರಿಗಳನ್ನು ಪಡೆಯಲು ವಿಫಲವಾಗಿದೆ")</f>
        <v>ಸವಾರಿಗಳನ್ನು ಪಡೆಯಲು ವಿಫಲವಾಗಿದೆ</v>
      </c>
    </row>
    <row r="39">
      <c r="A39" s="1" t="s">
        <v>81</v>
      </c>
      <c r="B39" s="1" t="s">
        <v>82</v>
      </c>
      <c r="C39" s="2" t="str">
        <f>IFERROR(__xludf.DUMMYFUNCTION("GOOGLETRANSLATE(B39,""en"",""ta"")"),"நெட்வொர்க் பிழை ஏற்பட்டது")</f>
        <v>நெட்வொர்க் பிழை ஏற்பட்டது</v>
      </c>
      <c r="D39" s="2" t="str">
        <f>IFERROR(__xludf.DUMMYFUNCTION("GOOGLETRANSLATE(B39,""en"",""hi"")"),"नेटवर्क त्रुटि हुई")</f>
        <v>नेटवर्क त्रुटि हुई</v>
      </c>
      <c r="E39" s="2" t="str">
        <f>IFERROR(__xludf.DUMMYFUNCTION("GOOGLETRANSLATE(B39,""en"",""ml"")"),"നെറ്റ്‌വർക്ക് പിശക് സംഭവിച്ചു")</f>
        <v>നെറ്റ്‌വർക്ക് പിശക് സംഭവിച്ചു</v>
      </c>
      <c r="F39" s="2" t="str">
        <f>IFERROR(__xludf.DUMMYFUNCTION("GOOGLETRANSLATE(B39,""en"",""te"")"),"నెట్‌వర్క్ లోపం సంభవించింది")</f>
        <v>నెట్‌వర్క్ లోపం సంభవించింది</v>
      </c>
      <c r="G39" s="2" t="str">
        <f>IFERROR(__xludf.DUMMYFUNCTION("GOOGLETRANSLATE(B39,""en"",""kn"")"),"ನೆಟ್‌ವರ್ಕ್ ದೋಷ ಸಂಭವಿಸಿದೆ")</f>
        <v>ನೆಟ್‌ವರ್ಕ್ ದೋಷ ಸಂಭವಿಸಿದೆ</v>
      </c>
    </row>
    <row r="40">
      <c r="A40" s="1" t="s">
        <v>83</v>
      </c>
      <c r="B40" s="1" t="s">
        <v>84</v>
      </c>
      <c r="C40" s="2" t="str">
        <f>IFERROR(__xludf.DUMMYFUNCTION("GOOGLETRANSLATE(B40,""en"",""ta"")"),"பயண விவரங்கள்")</f>
        <v>பயண விவரங்கள்</v>
      </c>
      <c r="D40" s="2" t="str">
        <f>IFERROR(__xludf.DUMMYFUNCTION("GOOGLETRANSLATE(B40,""en"",""hi"")"),"यात्रा विवरण")</f>
        <v>यात्रा विवरण</v>
      </c>
      <c r="E40" s="2" t="str">
        <f>IFERROR(__xludf.DUMMYFUNCTION("GOOGLETRANSLATE(B40,""en"",""ml"")"),"യാത്രയുടെ വിശദാംശങ്ങൾ")</f>
        <v>യാത്രയുടെ വിശദാംശങ്ങൾ</v>
      </c>
      <c r="F40" s="2" t="str">
        <f>IFERROR(__xludf.DUMMYFUNCTION("GOOGLETRANSLATE(B40,""en"",""te"")"),"పర్యటన వివరాలు")</f>
        <v>పర్యటన వివరాలు</v>
      </c>
      <c r="G40" s="2" t="str">
        <f>IFERROR(__xludf.DUMMYFUNCTION("GOOGLETRANSLATE(B40,""en"",""kn"")"),"ಪ್ರವಾಸದ ವಿವರಗಳು")</f>
        <v>ಪ್ರವಾಸದ ವಿವರಗಳು</v>
      </c>
    </row>
    <row r="41">
      <c r="A41" s="1" t="s">
        <v>85</v>
      </c>
      <c r="B41" s="1" t="s">
        <v>86</v>
      </c>
      <c r="C41" s="2" t="str">
        <f>IFERROR(__xludf.DUMMYFUNCTION("GOOGLETRANSLATE(B41,""en"",""ta"")"),"கட்டண விவரங்கள்")</f>
        <v>கட்டண விவரங்கள்</v>
      </c>
      <c r="D41" s="2" t="str">
        <f>IFERROR(__xludf.DUMMYFUNCTION("GOOGLETRANSLATE(B41,""en"",""hi"")"),"किराया विवरण")</f>
        <v>किराया विवरण</v>
      </c>
      <c r="E41" s="2" t="str">
        <f>IFERROR(__xludf.DUMMYFUNCTION("GOOGLETRANSLATE(B41,""en"",""ml"")"),"യാത്രാക്കൂലി വിശദാംശങ്ങൾ")</f>
        <v>യാത്രാക്കൂലി വിശദാംശങ്ങൾ</v>
      </c>
      <c r="F41" s="2" t="str">
        <f>IFERROR(__xludf.DUMMYFUNCTION("GOOGLETRANSLATE(B41,""en"",""te"")"),"ఛార్జీల వివరాలు")</f>
        <v>ఛార్జీల వివరాలు</v>
      </c>
      <c r="G41" s="2" t="str">
        <f>IFERROR(__xludf.DUMMYFUNCTION("GOOGLETRANSLATE(B41,""en"",""kn"")"),"ದರದ ವಿವರಗಳು")</f>
        <v>ದರದ ವಿವರಗಳು</v>
      </c>
    </row>
    <row r="42">
      <c r="A42" s="1" t="s">
        <v>87</v>
      </c>
      <c r="B42" s="1" t="s">
        <v>88</v>
      </c>
      <c r="C42" s="2" t="str">
        <f>IFERROR(__xludf.DUMMYFUNCTION("GOOGLETRANSLATE(B42,""en"",""ta"")"),"கட்டண விவரங்கள்")</f>
        <v>கட்டண விவரங்கள்</v>
      </c>
      <c r="D42" s="2" t="str">
        <f>IFERROR(__xludf.DUMMYFUNCTION("GOOGLETRANSLATE(B42,""en"",""hi"")"),"भुगतान विवरण")</f>
        <v>भुगतान विवरण</v>
      </c>
      <c r="E42" s="2" t="str">
        <f>IFERROR(__xludf.DUMMYFUNCTION("GOOGLETRANSLATE(B42,""en"",""ml"")"),"പേയ്മെൻ്റ് വിശദാംശങ്ങൾ")</f>
        <v>പേയ്മെൻ്റ് വിശദാംശങ്ങൾ</v>
      </c>
      <c r="F42" s="2" t="str">
        <f>IFERROR(__xludf.DUMMYFUNCTION("GOOGLETRANSLATE(B42,""en"",""te"")"),"చెల్లింపు వివరాలు")</f>
        <v>చెల్లింపు వివరాలు</v>
      </c>
      <c r="G42" s="2" t="str">
        <f>IFERROR(__xludf.DUMMYFUNCTION("GOOGLETRANSLATE(B42,""en"",""kn"")"),"ಪಾವತಿ ವಿವರಗಳು")</f>
        <v>ಪಾವತಿ ವಿವರಗಳು</v>
      </c>
    </row>
    <row r="43">
      <c r="A43" s="1" t="s">
        <v>89</v>
      </c>
      <c r="B43" s="1" t="s">
        <v>90</v>
      </c>
      <c r="C43" s="2" t="str">
        <f>IFERROR(__xludf.DUMMYFUNCTION("GOOGLETRANSLATE(B43,""en"",""ta"")"),"இப்போது செலுத்தவும்")</f>
        <v>இப்போது செலுத்தவும்</v>
      </c>
      <c r="D43" s="2" t="str">
        <f>IFERROR(__xludf.DUMMYFUNCTION("GOOGLETRANSLATE(B43,""en"",""hi"")"),"अब भुगतान करें")</f>
        <v>अब भुगतान करें</v>
      </c>
      <c r="E43" s="2" t="str">
        <f>IFERROR(__xludf.DUMMYFUNCTION("GOOGLETRANSLATE(B43,""en"",""ml"")"),"ഇപ്പോൾ പണമടയ്ക്കുക")</f>
        <v>ഇപ്പോൾ പണമടയ്ക്കുക</v>
      </c>
      <c r="F43" s="2" t="str">
        <f>IFERROR(__xludf.DUMMYFUNCTION("GOOGLETRANSLATE(B43,""en"",""te"")"),"ఇప్పుడే చెల్లించండి")</f>
        <v>ఇప్పుడే చెల్లించండి</v>
      </c>
      <c r="G43" s="2" t="str">
        <f>IFERROR(__xludf.DUMMYFUNCTION("GOOGLETRANSLATE(B43,""en"",""kn"")"),"ಈಗ ಪಾವತಿಸಿ")</f>
        <v>ಈಗ ಪಾವತಿಸಿ</v>
      </c>
    </row>
    <row r="44">
      <c r="A44" s="1" t="s">
        <v>91</v>
      </c>
      <c r="B44" s="1" t="s">
        <v>92</v>
      </c>
      <c r="C44" s="2" t="str">
        <f>IFERROR(__xludf.DUMMYFUNCTION("GOOGLETRANSLATE(B44,""en"",""ta"")"),"ஆதரவு பிரிவு")</f>
        <v>ஆதரவு பிரிவு</v>
      </c>
      <c r="D44" s="2" t="str">
        <f>IFERROR(__xludf.DUMMYFUNCTION("GOOGLETRANSLATE(B44,""en"",""hi"")"),"सहायता अनुभाग")</f>
        <v>सहायता अनुभाग</v>
      </c>
      <c r="E44" s="2" t="str">
        <f>IFERROR(__xludf.DUMMYFUNCTION("GOOGLETRANSLATE(B44,""en"",""ml"")"),"പിന്തുണ വിഭാഗം")</f>
        <v>പിന്തുണ വിഭാഗം</v>
      </c>
      <c r="F44" s="2" t="str">
        <f>IFERROR(__xludf.DUMMYFUNCTION("GOOGLETRANSLATE(B44,""en"",""te"")"),"మద్దతు విభాగం")</f>
        <v>మద్దతు విభాగం</v>
      </c>
      <c r="G44" s="2" t="str">
        <f>IFERROR(__xludf.DUMMYFUNCTION("GOOGLETRANSLATE(B44,""en"",""kn"")"),"ಬೆಂಬಲ ವಿಭಾಗ")</f>
        <v>ಬೆಂಬಲ ವಿಭಾಗ</v>
      </c>
    </row>
    <row r="45">
      <c r="A45" s="1" t="s">
        <v>93</v>
      </c>
      <c r="B45" s="1" t="s">
        <v>94</v>
      </c>
      <c r="C45" s="2" t="str">
        <f>IFERROR(__xludf.DUMMYFUNCTION("GOOGLETRANSLATE(B45,""en"",""ta"")"),"ஆதரவைத் தொடர்பு கொள்ளவும்")</f>
        <v>ஆதரவைத் தொடர்பு கொள்ளவும்</v>
      </c>
      <c r="D45" s="2" t="str">
        <f>IFERROR(__xludf.DUMMYFUNCTION("GOOGLETRANSLATE(B45,""en"",""hi"")"),"समर्थन से संपर्क करें")</f>
        <v>समर्थन से संपर्क करें</v>
      </c>
      <c r="E45" s="2" t="str">
        <f>IFERROR(__xludf.DUMMYFUNCTION("GOOGLETRANSLATE(B45,""en"",""ml"")"),"പിന്തുണയുമായി ബന്ധപ്പെടുക")</f>
        <v>പിന്തുണയുമായി ബന്ധപ്പെടുക</v>
      </c>
      <c r="F45" s="2" t="str">
        <f>IFERROR(__xludf.DUMMYFUNCTION("GOOGLETRANSLATE(B45,""en"",""te"")"),"మద్దతును సంప్రదించండి")</f>
        <v>మద్దతును సంప్రదించండి</v>
      </c>
      <c r="G45" s="2" t="str">
        <f>IFERROR(__xludf.DUMMYFUNCTION("GOOGLETRANSLATE(B45,""en"",""kn"")"),"ಬೆಂಬಲವನ್ನು ಸಂಪರ್ಕಿಸಿ")</f>
        <v>ಬೆಂಬಲವನ್ನು ಸಂಪರ್ಕಿಸಿ</v>
      </c>
    </row>
    <row r="46">
      <c r="A46" s="1" t="s">
        <v>95</v>
      </c>
      <c r="B46" s="1" t="s">
        <v>96</v>
      </c>
      <c r="C46" s="2" t="str">
        <f>IFERROR(__xludf.DUMMYFUNCTION("GOOGLETRANSLATE(B46,""en"",""ta"")"),"பயண புள்ளிவிவரங்கள்")</f>
        <v>பயண புள்ளிவிவரங்கள்</v>
      </c>
      <c r="D46" s="2" t="str">
        <f>IFERROR(__xludf.DUMMYFUNCTION("GOOGLETRANSLATE(B46,""en"",""hi"")"),"यात्रा आँकड़े")</f>
        <v>यात्रा आँकड़े</v>
      </c>
      <c r="E46" s="2" t="str">
        <f>IFERROR(__xludf.DUMMYFUNCTION("GOOGLETRANSLATE(B46,""en"",""ml"")"),"യാത്രാ സ്ഥിതിവിവരക്കണക്കുകൾ")</f>
        <v>യാത്രാ സ്ഥിതിവിവരക്കണക്കുകൾ</v>
      </c>
      <c r="F46" s="2" t="str">
        <f>IFERROR(__xludf.DUMMYFUNCTION("GOOGLETRANSLATE(B46,""en"",""te"")"),"పర్యటన గణాంకాలు")</f>
        <v>పర్యటన గణాంకాలు</v>
      </c>
      <c r="G46" s="2" t="str">
        <f>IFERROR(__xludf.DUMMYFUNCTION("GOOGLETRANSLATE(B46,""en"",""kn"")"),"ಪ್ರವಾಸ ಅಂಕಿಅಂಶಗಳು")</f>
        <v>ಪ್ರವಾಸ ಅಂಕಿಅಂಶಗಳು</v>
      </c>
    </row>
    <row r="47">
      <c r="A47" s="1" t="s">
        <v>97</v>
      </c>
      <c r="B47" s="1" t="s">
        <v>98</v>
      </c>
      <c r="C47" s="2" t="str">
        <f>IFERROR(__xludf.DUMMYFUNCTION("GOOGLETRANSLATE(B47,""en"",""ta"")"),"தூரம்")</f>
        <v>தூரம்</v>
      </c>
      <c r="D47" s="2" t="str">
        <f>IFERROR(__xludf.DUMMYFUNCTION("GOOGLETRANSLATE(B47,""en"",""hi"")"),"दूरी")</f>
        <v>दूरी</v>
      </c>
      <c r="E47" s="2" t="str">
        <f>IFERROR(__xludf.DUMMYFUNCTION("GOOGLETRANSLATE(B47,""en"",""ml"")"),"ദൂരം")</f>
        <v>ദൂരം</v>
      </c>
      <c r="F47" s="2" t="str">
        <f>IFERROR(__xludf.DUMMYFUNCTION("GOOGLETRANSLATE(B47,""en"",""te"")"),"దూరం")</f>
        <v>దూరం</v>
      </c>
      <c r="G47" s="2" t="str">
        <f>IFERROR(__xludf.DUMMYFUNCTION("GOOGLETRANSLATE(B47,""en"",""kn"")"),"ದೂರ")</f>
        <v>ದೂರ</v>
      </c>
    </row>
    <row r="48">
      <c r="A48" s="1" t="s">
        <v>99</v>
      </c>
      <c r="B48" s="1" t="s">
        <v>100</v>
      </c>
      <c r="C48" s="2" t="str">
        <f>IFERROR(__xludf.DUMMYFUNCTION("GOOGLETRANSLATE(B48,""en"",""ta"")"),"கால அளவு")</f>
        <v>கால அளவு</v>
      </c>
      <c r="D48" s="2" t="str">
        <f>IFERROR(__xludf.DUMMYFUNCTION("GOOGLETRANSLATE(B48,""en"",""hi"")"),"अवधि")</f>
        <v>अवधि</v>
      </c>
      <c r="E48" s="2" t="str">
        <f>IFERROR(__xludf.DUMMYFUNCTION("GOOGLETRANSLATE(B48,""en"",""ml"")"),"ദൈർഘ്യം")</f>
        <v>ദൈർഘ്യം</v>
      </c>
      <c r="F48" s="2" t="str">
        <f>IFERROR(__xludf.DUMMYFUNCTION("GOOGLETRANSLATE(B48,""en"",""te"")"),"వ్యవధి")</f>
        <v>వ్యవధి</v>
      </c>
      <c r="G48" s="2" t="str">
        <f>IFERROR(__xludf.DUMMYFUNCTION("GOOGLETRANSLATE(B48,""en"",""kn"")"),"ಅವಧಿ")</f>
        <v>ಅವಧಿ</v>
      </c>
    </row>
    <row r="49">
      <c r="A49" s="1" t="s">
        <v>101</v>
      </c>
      <c r="B49" s="1" t="s">
        <v>102</v>
      </c>
      <c r="C49" s="2" t="str">
        <f>IFERROR(__xludf.DUMMYFUNCTION("GOOGLETRANSLATE(B49,""en"",""ta"")"),"கட்டணம்")</f>
        <v>கட்டணம்</v>
      </c>
      <c r="D49" s="2" t="str">
        <f>IFERROR(__xludf.DUMMYFUNCTION("GOOGLETRANSLATE(B49,""en"",""hi"")"),"किराया")</f>
        <v>किराया</v>
      </c>
      <c r="E49" s="2" t="str">
        <f>IFERROR(__xludf.DUMMYFUNCTION("GOOGLETRANSLATE(B49,""en"",""ml"")"),"കൂലി")</f>
        <v>കൂലി</v>
      </c>
      <c r="F49" s="2" t="str">
        <f>IFERROR(__xludf.DUMMYFUNCTION("GOOGLETRANSLATE(B49,""en"",""te"")"),"ఛార్జీ")</f>
        <v>ఛార్జీ</v>
      </c>
      <c r="G49" s="2" t="str">
        <f>IFERROR(__xludf.DUMMYFUNCTION("GOOGLETRANSLATE(B49,""en"",""kn"")"),"ದರ")</f>
        <v>ದರ</v>
      </c>
    </row>
    <row r="50">
      <c r="A50" s="1" t="s">
        <v>103</v>
      </c>
      <c r="B50" s="1" t="s">
        <v>104</v>
      </c>
      <c r="C50" s="2" t="str">
        <f>IFERROR(__xludf.DUMMYFUNCTION("GOOGLETRANSLATE(B50,""en"",""ta"")"),"டிரைவர் தகவல்")</f>
        <v>டிரைவர் தகவல்</v>
      </c>
      <c r="D50" s="2" t="str">
        <f>IFERROR(__xludf.DUMMYFUNCTION("GOOGLETRANSLATE(B50,""en"",""hi"")"),"ड्राइवर जानकारी")</f>
        <v>ड्राइवर जानकारी</v>
      </c>
      <c r="E50" s="2" t="str">
        <f>IFERROR(__xludf.DUMMYFUNCTION("GOOGLETRANSLATE(B50,""en"",""ml"")"),"ഡ്രൈവർ വിവരം")</f>
        <v>ഡ്രൈവർ വിവരം</v>
      </c>
      <c r="F50" s="2" t="str">
        <f>IFERROR(__xludf.DUMMYFUNCTION("GOOGLETRANSLATE(B50,""en"",""te"")"),"డ్రైవర్ సమాచారం")</f>
        <v>డ్రైవర్ సమాచారం</v>
      </c>
      <c r="G50" s="2" t="str">
        <f>IFERROR(__xludf.DUMMYFUNCTION("GOOGLETRANSLATE(B50,""en"",""kn"")"),"ಚಾಲಕ ಮಾಹಿತಿ")</f>
        <v>ಚಾಲಕ ಮಾಹಿತಿ</v>
      </c>
    </row>
    <row r="51">
      <c r="A51" s="1" t="s">
        <v>105</v>
      </c>
      <c r="B51" s="1" t="s">
        <v>106</v>
      </c>
      <c r="C51" s="2" t="str">
        <f>IFERROR(__xludf.DUMMYFUNCTION("GOOGLETRANSLATE(B51,""en"",""ta"")"),"வாகனத் தகவல்")</f>
        <v>வாகனத் தகவல்</v>
      </c>
      <c r="D51" s="2" t="str">
        <f>IFERROR(__xludf.DUMMYFUNCTION("GOOGLETRANSLATE(B51,""en"",""hi"")"),"वाहन जानकारी")</f>
        <v>वाहन जानकारी</v>
      </c>
      <c r="E51" s="2" t="str">
        <f>IFERROR(__xludf.DUMMYFUNCTION("GOOGLETRANSLATE(B51,""en"",""ml"")"),"വാഹന വിവരം")</f>
        <v>വാഹന വിവരം</v>
      </c>
      <c r="F51" s="2" t="str">
        <f>IFERROR(__xludf.DUMMYFUNCTION("GOOGLETRANSLATE(B51,""en"",""te"")"),"వాహన సమాచారం")</f>
        <v>వాహన సమాచారం</v>
      </c>
      <c r="G51" s="2" t="str">
        <f>IFERROR(__xludf.DUMMYFUNCTION("GOOGLETRANSLATE(B51,""en"",""kn"")"),"ವಾಹನ ಮಾಹಿತಿ")</f>
        <v>ವಾಹನ ಮಾಹಿತಿ</v>
      </c>
    </row>
    <row r="52">
      <c r="A52" s="1" t="s">
        <v>107</v>
      </c>
      <c r="B52" s="1" t="s">
        <v>108</v>
      </c>
      <c r="C52" s="2" t="str">
        <f>IFERROR(__xludf.DUMMYFUNCTION("GOOGLETRANSLATE(B52,""en"",""ta"")"),"பயண மெட்டா தகவல்")</f>
        <v>பயண மெட்டா தகவல்</v>
      </c>
      <c r="D52" s="2" t="str">
        <f>IFERROR(__xludf.DUMMYFUNCTION("GOOGLETRANSLATE(B52,""en"",""hi"")"),"यात्रा मेटा जानकारी")</f>
        <v>यात्रा मेटा जानकारी</v>
      </c>
      <c r="E52" s="2" t="str">
        <f>IFERROR(__xludf.DUMMYFUNCTION("GOOGLETRANSLATE(B52,""en"",""ml"")"),"ട്രിപ്പ് മെറ്റാ വിവരം")</f>
        <v>ട്രിപ്പ് മെറ്റാ വിവരം</v>
      </c>
      <c r="F52" s="2" t="str">
        <f>IFERROR(__xludf.DUMMYFUNCTION("GOOGLETRANSLATE(B52,""en"",""te"")"),"ట్రిప్ మెటా సమాచారం")</f>
        <v>ట్రిప్ మెటా సమాచారం</v>
      </c>
      <c r="G52" s="2" t="str">
        <f>IFERROR(__xludf.DUMMYFUNCTION("GOOGLETRANSLATE(B52,""en"",""kn"")"),"ಟ್ರಿಪ್ ಮೆಟಾ ಮಾಹಿತಿ")</f>
        <v>ಟ್ರಿಪ್ ಮೆಟಾ ಮಾಹಿತಿ</v>
      </c>
    </row>
    <row r="53">
      <c r="A53" s="1" t="s">
        <v>109</v>
      </c>
      <c r="B53" s="1" t="s">
        <v>110</v>
      </c>
      <c r="C53" s="2" t="str">
        <f>IFERROR(__xludf.DUMMYFUNCTION("GOOGLETRANSLATE(B53,""en"",""ta"")"),"முன்பதிவு நேரம்")</f>
        <v>முன்பதிவு நேரம்</v>
      </c>
      <c r="D53" s="2" t="str">
        <f>IFERROR(__xludf.DUMMYFUNCTION("GOOGLETRANSLATE(B53,""en"",""hi"")"),"बुकिंग समय")</f>
        <v>बुकिंग समय</v>
      </c>
      <c r="E53" s="2" t="str">
        <f>IFERROR(__xludf.DUMMYFUNCTION("GOOGLETRANSLATE(B53,""en"",""ml"")"),"ബുക്കിംഗ് സമയം")</f>
        <v>ബുക്കിംഗ് സമയം</v>
      </c>
      <c r="F53" s="2" t="str">
        <f>IFERROR(__xludf.DUMMYFUNCTION("GOOGLETRANSLATE(B53,""en"",""te"")"),"బుకింగ్ సమయం")</f>
        <v>బుకింగ్ సమయం</v>
      </c>
      <c r="G53" s="2" t="str">
        <f>IFERROR(__xludf.DUMMYFUNCTION("GOOGLETRANSLATE(B53,""en"",""kn"")"),"ಬುಕಿಂಗ್ ಸಮಯ")</f>
        <v>ಬುಕಿಂಗ್ ಸಮಯ</v>
      </c>
    </row>
    <row r="54">
      <c r="A54" s="1" t="s">
        <v>111</v>
      </c>
      <c r="B54" s="1" t="s">
        <v>112</v>
      </c>
      <c r="C54" s="2" t="str">
        <f>IFERROR(__xludf.DUMMYFUNCTION("GOOGLETRANSLATE(B54,""en"",""ta"")"),"பயண நிலை")</f>
        <v>பயண நிலை</v>
      </c>
      <c r="D54" s="2" t="str">
        <f>IFERROR(__xludf.DUMMYFUNCTION("GOOGLETRANSLATE(B54,""en"",""hi"")"),"यात्रा की स्थिति")</f>
        <v>यात्रा की स्थिति</v>
      </c>
      <c r="E54" s="2" t="str">
        <f>IFERROR(__xludf.DUMMYFUNCTION("GOOGLETRANSLATE(B54,""en"",""ml"")"),"യാത്രാ നില")</f>
        <v>യാത്രാ നില</v>
      </c>
      <c r="F54" s="2" t="str">
        <f>IFERROR(__xludf.DUMMYFUNCTION("GOOGLETRANSLATE(B54,""en"",""te"")"),"పర్యటన స్థితి")</f>
        <v>పర్యటన స్థితి</v>
      </c>
      <c r="G54" s="2" t="str">
        <f>IFERROR(__xludf.DUMMYFUNCTION("GOOGLETRANSLATE(B54,""en"",""kn"")"),"ಪ್ರವಾಸದ ಸ್ಥಿತಿ")</f>
        <v>ಪ್ರವಾಸದ ಸ್ಥಿತಿ</v>
      </c>
    </row>
    <row r="55">
      <c r="A55" s="1" t="s">
        <v>113</v>
      </c>
      <c r="B55" s="1" t="s">
        <v>114</v>
      </c>
      <c r="C55" s="2" t="str">
        <f>IFERROR(__xludf.DUMMYFUNCTION("GOOGLETRANSLATE(B55,""en"",""ta"")"),"முடிக்கப்பட்டது")</f>
        <v>முடிக்கப்பட்டது</v>
      </c>
      <c r="D55" s="2" t="str">
        <f>IFERROR(__xludf.DUMMYFUNCTION("GOOGLETRANSLATE(B55,""en"",""hi"")"),"पुरा होना।")</f>
        <v>पुरा होना।</v>
      </c>
      <c r="E55" s="2" t="str">
        <f>IFERROR(__xludf.DUMMYFUNCTION("GOOGLETRANSLATE(B55,""en"",""ml"")"),"പൂർത്തിയാക്കി")</f>
        <v>പൂർത്തിയാക്കി</v>
      </c>
      <c r="F55" s="2" t="str">
        <f>IFERROR(__xludf.DUMMYFUNCTION("GOOGLETRANSLATE(B55,""en"",""te"")"),"పూర్తయింది")</f>
        <v>పూర్తయింది</v>
      </c>
      <c r="G55" s="2" t="str">
        <f>IFERROR(__xludf.DUMMYFUNCTION("GOOGLETRANSLATE(B55,""en"",""kn"")"),"ಪೂರ್ಣಗೊಂಡಿದೆ")</f>
        <v>ಪೂರ್ಣಗೊಂಡಿದೆ</v>
      </c>
    </row>
    <row r="56">
      <c r="A56" s="1" t="s">
        <v>115</v>
      </c>
      <c r="B56" s="1" t="s">
        <v>116</v>
      </c>
      <c r="C56" s="2" t="str">
        <f>IFERROR(__xludf.DUMMYFUNCTION("GOOGLETRANSLATE(B56,""en"",""ta"")"),"ரத்து செய்யப்பட்டது")</f>
        <v>ரத்து செய்யப்பட்டது</v>
      </c>
      <c r="D56" s="2" t="str">
        <f>IFERROR(__xludf.DUMMYFUNCTION("GOOGLETRANSLATE(B56,""en"",""hi"")"),"रद्द")</f>
        <v>रद्द</v>
      </c>
      <c r="E56" s="2" t="str">
        <f>IFERROR(__xludf.DUMMYFUNCTION("GOOGLETRANSLATE(B56,""en"",""ml"")"),"റദ്ദാക്കി")</f>
        <v>റദ്ദാക്കി</v>
      </c>
      <c r="F56" s="2" t="str">
        <f>IFERROR(__xludf.DUMMYFUNCTION("GOOGLETRANSLATE(B56,""en"",""te"")"),"రద్దు చేయబడింది")</f>
        <v>రద్దు చేయబడింది</v>
      </c>
      <c r="G56" s="2" t="str">
        <f>IFERROR(__xludf.DUMMYFUNCTION("GOOGLETRANSLATE(B56,""en"",""kn"")"),"ರದ್ದುಗೊಳಿಸಲಾಗಿದೆ")</f>
        <v>ರದ್ದುಗೊಳಿಸಲಾಗಿದೆ</v>
      </c>
    </row>
    <row r="57">
      <c r="A57" s="1" t="s">
        <v>117</v>
      </c>
      <c r="B57" s="1" t="s">
        <v>118</v>
      </c>
      <c r="C57" s="2" t="str">
        <f>IFERROR(__xludf.DUMMYFUNCTION("GOOGLETRANSLATE(B57,""en"",""ta"")"),"நடந்து கொண்டிருக்கிறது")</f>
        <v>நடந்து கொண்டிருக்கிறது</v>
      </c>
      <c r="D57" s="2" t="str">
        <f>IFERROR(__xludf.DUMMYFUNCTION("GOOGLETRANSLATE(B57,""en"",""hi"")"),"चल रहे")</f>
        <v>चल रहे</v>
      </c>
      <c r="E57" s="2" t="str">
        <f>IFERROR(__xludf.DUMMYFUNCTION("GOOGLETRANSLATE(B57,""en"",""ml"")"),"നടന്നുകൊണ്ടിരിക്കുന്നു")</f>
        <v>നടന്നുകൊണ്ടിരിക്കുന്നു</v>
      </c>
      <c r="F57" s="2" t="str">
        <f>IFERROR(__xludf.DUMMYFUNCTION("GOOGLETRANSLATE(B57,""en"",""te"")"),"కొనసాగుతున్నది")</f>
        <v>కొనసాగుతున్నది</v>
      </c>
      <c r="G57" s="2" t="str">
        <f>IFERROR(__xludf.DUMMYFUNCTION("GOOGLETRANSLATE(B57,""en"",""kn"")"),"ಚಾಲ್ತಿಯಲ್ಲಿದೆ")</f>
        <v>ಚಾಲ್ತಿಯಲ್ಲಿದೆ</v>
      </c>
    </row>
    <row r="58">
      <c r="A58" s="1" t="s">
        <v>119</v>
      </c>
      <c r="B58" s="1" t="s">
        <v>120</v>
      </c>
      <c r="C58" s="2" t="str">
        <f>IFERROR(__xludf.DUMMYFUNCTION("GOOGLETRANSLATE(B58,""en"",""ta"")"),"பிக்கப்")</f>
        <v>பிக்கப்</v>
      </c>
      <c r="D58" s="2" t="str">
        <f>IFERROR(__xludf.DUMMYFUNCTION("GOOGLETRANSLATE(B58,""en"",""hi"")"),"उठाना")</f>
        <v>उठाना</v>
      </c>
      <c r="E58" s="2" t="str">
        <f>IFERROR(__xludf.DUMMYFUNCTION("GOOGLETRANSLATE(B58,""en"",""ml"")"),"പുരോഗമിക്കുക")</f>
        <v>പുരോഗമിക്കുക</v>
      </c>
      <c r="F58" s="2" t="str">
        <f>IFERROR(__xludf.DUMMYFUNCTION("GOOGLETRANSLATE(B58,""en"",""te"")"),"పికప్")</f>
        <v>పికప్</v>
      </c>
      <c r="G58" s="2" t="str">
        <f>IFERROR(__xludf.DUMMYFUNCTION("GOOGLETRANSLATE(B58,""en"",""kn"")"),"ಪಿಕಪ್")</f>
        <v>ಪಿಕಪ್</v>
      </c>
    </row>
    <row r="59">
      <c r="A59" s="1" t="s">
        <v>121</v>
      </c>
      <c r="B59" s="1" t="s">
        <v>122</v>
      </c>
      <c r="C59" s="2" t="str">
        <f>IFERROR(__xludf.DUMMYFUNCTION("GOOGLETRANSLATE(B59,""en"",""ta"")"),"கைவிடு")</f>
        <v>கைவிடு</v>
      </c>
      <c r="D59" s="2" t="str">
        <f>IFERROR(__xludf.DUMMYFUNCTION("GOOGLETRANSLATE(B59,""en"",""hi"")"),"बूँद")</f>
        <v>बूँद</v>
      </c>
      <c r="E59" s="2" t="str">
        <f>IFERROR(__xludf.DUMMYFUNCTION("GOOGLETRANSLATE(B59,""en"",""ml"")"),"ഡ്രോപ്പ് ചെയ്യുക")</f>
        <v>ഡ്രോപ്പ് ചെയ്യുക</v>
      </c>
      <c r="F59" s="2" t="str">
        <f>IFERROR(__xludf.DUMMYFUNCTION("GOOGLETRANSLATE(B59,""en"",""te"")"),"డ్రాప్")</f>
        <v>డ్రాప్</v>
      </c>
      <c r="G59" s="2" t="str">
        <f>IFERROR(__xludf.DUMMYFUNCTION("GOOGLETRANSLATE(B59,""en"",""kn"")"),"ಡ್ರಾಪ್")</f>
        <v>ಡ್ರಾಪ್</v>
      </c>
    </row>
    <row r="60">
      <c r="A60" s="1" t="s">
        <v>123</v>
      </c>
      <c r="B60" s="1" t="s">
        <v>124</v>
      </c>
      <c r="C60" s="2" t="str">
        <f>IFERROR(__xludf.DUMMYFUNCTION("GOOGLETRANSLATE(B60,""en"",""ta"")"),"பணம் செலுத்தும் முறை")</f>
        <v>பணம் செலுத்தும் முறை</v>
      </c>
      <c r="D60" s="2" t="str">
        <f>IFERROR(__xludf.DUMMYFUNCTION("GOOGLETRANSLATE(B60,""en"",""hi"")"),"भुगतान विधि")</f>
        <v>भुगतान विधि</v>
      </c>
      <c r="E60" s="2" t="str">
        <f>IFERROR(__xludf.DUMMYFUNCTION("GOOGLETRANSLATE(B60,""en"",""ml"")"),"പണമടയ്ക്കൽ രീതി")</f>
        <v>പണമടയ്ക്കൽ രീതി</v>
      </c>
      <c r="F60" s="2" t="str">
        <f>IFERROR(__xludf.DUMMYFUNCTION("GOOGLETRANSLATE(B60,""en"",""te"")"),"చెల్లింపు విధానం")</f>
        <v>చెల్లింపు విధానం</v>
      </c>
      <c r="G60" s="2" t="str">
        <f>IFERROR(__xludf.DUMMYFUNCTION("GOOGLETRANSLATE(B60,""en"",""kn"")"),"ಪಾವತಿ ವಿಧಾನ")</f>
        <v>ಪಾವತಿ ವಿಧಾನ</v>
      </c>
    </row>
    <row r="61">
      <c r="A61" s="1" t="s">
        <v>125</v>
      </c>
      <c r="B61" s="1" t="s">
        <v>126</v>
      </c>
      <c r="C61" s="2" t="str">
        <f>IFERROR(__xludf.DUMMYFUNCTION("GOOGLETRANSLATE(B61,""en"",""ta"")"),"கட்டண நிலை")</f>
        <v>கட்டண நிலை</v>
      </c>
      <c r="D61" s="2" t="str">
        <f>IFERROR(__xludf.DUMMYFUNCTION("GOOGLETRANSLATE(B61,""en"",""hi"")"),"भुगतान स्थिति")</f>
        <v>भुगतान स्थिति</v>
      </c>
      <c r="E61" s="2" t="str">
        <f>IFERROR(__xludf.DUMMYFUNCTION("GOOGLETRANSLATE(B61,""en"",""ml"")"),"പേയ്മെൻ്റ് നില")</f>
        <v>പേയ്മെൻ്റ് നില</v>
      </c>
      <c r="F61" s="2" t="str">
        <f>IFERROR(__xludf.DUMMYFUNCTION("GOOGLETRANSLATE(B61,""en"",""te"")"),"చెల్లింపు స్థితి")</f>
        <v>చెల్లింపు స్థితి</v>
      </c>
      <c r="G61" s="2" t="str">
        <f>IFERROR(__xludf.DUMMYFUNCTION("GOOGLETRANSLATE(B61,""en"",""kn"")"),"ಪಾವತಿ ಸ್ಥಿತಿ")</f>
        <v>ಪಾವತಿ ಸ್ಥಿತಿ</v>
      </c>
    </row>
    <row r="62">
      <c r="A62" s="1" t="s">
        <v>127</v>
      </c>
      <c r="B62" s="1" t="s">
        <v>128</v>
      </c>
      <c r="C62" s="2" t="str">
        <f>IFERROR(__xludf.DUMMYFUNCTION("GOOGLETRANSLATE(B62,""en"",""ta"")"),"சவாரி கட்டணம்")</f>
        <v>சவாரி கட்டணம்</v>
      </c>
      <c r="D62" s="2" t="str">
        <f>IFERROR(__xludf.DUMMYFUNCTION("GOOGLETRANSLATE(B62,""en"",""hi"")"),"सवारी का किराया")</f>
        <v>सवारी का किराया</v>
      </c>
      <c r="E62" s="2" t="str">
        <f>IFERROR(__xludf.DUMMYFUNCTION("GOOGLETRANSLATE(B62,""en"",""ml"")"),"യാത്രക്കൂലി")</f>
        <v>യാത്രക്കൂലി</v>
      </c>
      <c r="F62" s="2" t="str">
        <f>IFERROR(__xludf.DUMMYFUNCTION("GOOGLETRANSLATE(B62,""en"",""te"")"),"రైడ్ ఫేర్")</f>
        <v>రైడ్ ఫేర్</v>
      </c>
      <c r="G62" s="2" t="str">
        <f>IFERROR(__xludf.DUMMYFUNCTION("GOOGLETRANSLATE(B62,""en"",""kn"")"),"ಸವಾರಿ ದರ")</f>
        <v>ಸವಾರಿ ದರ</v>
      </c>
    </row>
    <row r="63">
      <c r="A63" s="1" t="s">
        <v>129</v>
      </c>
      <c r="B63" s="1" t="s">
        <v>130</v>
      </c>
      <c r="C63" s="2" t="str">
        <f>IFERROR(__xludf.DUMMYFUNCTION("GOOGLETRANSLATE(B63,""en"",""ta"")"),"மொத்த கட்டணம்")</f>
        <v>மொத்த கட்டணம்</v>
      </c>
      <c r="D63" s="2" t="str">
        <f>IFERROR(__xludf.DUMMYFUNCTION("GOOGLETRANSLATE(B63,""en"",""hi"")"),"कुल किराया")</f>
        <v>कुल किराया</v>
      </c>
      <c r="E63" s="2" t="str">
        <f>IFERROR(__xludf.DUMMYFUNCTION("GOOGLETRANSLATE(B63,""en"",""ml"")"),"മൊത്തം നിരക്ക്")</f>
        <v>മൊത്തം നിരക്ക്</v>
      </c>
      <c r="F63" s="2" t="str">
        <f>IFERROR(__xludf.DUMMYFUNCTION("GOOGLETRANSLATE(B63,""en"",""te"")"),"మొత్తం ఛార్జీ")</f>
        <v>మొత్తం ఛార్జీ</v>
      </c>
      <c r="G63" s="2" t="str">
        <f>IFERROR(__xludf.DUMMYFUNCTION("GOOGLETRANSLATE(B63,""en"",""kn"")"),"ಒಟ್ಟು ದರ")</f>
        <v>ಒಟ್ಟು ದರ</v>
      </c>
    </row>
    <row r="64">
      <c r="A64" s="1" t="s">
        <v>131</v>
      </c>
      <c r="B64" s="1" t="s">
        <v>132</v>
      </c>
      <c r="C64" s="2" t="str">
        <f>IFERROR(__xludf.DUMMYFUNCTION("GOOGLETRANSLATE(B64,""en"",""ta"")"),"ஆதரவிலிருந்து உதவி பெறவும்")</f>
        <v>ஆதரவிலிருந்து உதவி பெறவும்</v>
      </c>
      <c r="D64" s="2" t="str">
        <f>IFERROR(__xludf.DUMMYFUNCTION("GOOGLETRANSLATE(B64,""en"",""hi"")"),"सहायता से सहायता प्राप्त करें")</f>
        <v>सहायता से सहायता प्राप्त करें</v>
      </c>
      <c r="E64" s="2" t="str">
        <f>IFERROR(__xludf.DUMMYFUNCTION("GOOGLETRANSLATE(B64,""en"",""ml"")"),"പിന്തുണയിൽ നിന്ന് സഹായം നേടുക")</f>
        <v>പിന്തുണയിൽ നിന്ന് സഹായം നേടുക</v>
      </c>
      <c r="F64" s="2" t="str">
        <f>IFERROR(__xludf.DUMMYFUNCTION("GOOGLETRANSLATE(B64,""en"",""te"")"),"మద్దతు నుండి సహాయం పొందండి")</f>
        <v>మద్దతు నుండి సహాయం పొందండి</v>
      </c>
      <c r="G64" s="2" t="str">
        <f>IFERROR(__xludf.DUMMYFUNCTION("GOOGLETRANSLATE(B64,""en"",""kn"")"),"ಬೆಂಬಲದಿಂದ ಸಹಾಯ ಪಡೆಯಿರಿ")</f>
        <v>ಬೆಂಬಲದಿಂದ ಸಹಾಯ ಪಡೆಯಿರಿ</v>
      </c>
    </row>
    <row r="65">
      <c r="A65" s="1" t="s">
        <v>133</v>
      </c>
      <c r="B65" s="1" t="s">
        <v>134</v>
      </c>
      <c r="C65" s="2" t="str">
        <f>IFERROR(__xludf.DUMMYFUNCTION("GOOGLETRANSLATE(B65,""en"",""ta"")"),"அனைத்து")</f>
        <v>அனைத்து</v>
      </c>
      <c r="D65" s="2" t="str">
        <f>IFERROR(__xludf.DUMMYFUNCTION("GOOGLETRANSLATE(B65,""en"",""hi"")"),"सभी")</f>
        <v>सभी</v>
      </c>
      <c r="E65" s="2" t="str">
        <f>IFERROR(__xludf.DUMMYFUNCTION("GOOGLETRANSLATE(B65,""en"",""ml"")"),"എല്ലാം")</f>
        <v>എല്ലാം</v>
      </c>
      <c r="F65" s="2" t="str">
        <f>IFERROR(__xludf.DUMMYFUNCTION("GOOGLETRANSLATE(B65,""en"",""te"")"),"అన్నీ")</f>
        <v>అన్నీ</v>
      </c>
      <c r="G65" s="2" t="str">
        <f>IFERROR(__xludf.DUMMYFUNCTION("GOOGLETRANSLATE(B65,""en"",""kn"")"),"ಎಲ್ಲಾ")</f>
        <v>ಎಲ್ಲಾ</v>
      </c>
    </row>
    <row r="66">
      <c r="A66" s="1" t="s">
        <v>135</v>
      </c>
      <c r="B66" s="1" t="s">
        <v>136</v>
      </c>
      <c r="C66" s="2" t="str">
        <f>IFERROR(__xludf.DUMMYFUNCTION("GOOGLETRANSLATE(B66,""en"",""ta"")"),"இன்று")</f>
        <v>இன்று</v>
      </c>
      <c r="D66" s="2" t="str">
        <f>IFERROR(__xludf.DUMMYFUNCTION("GOOGLETRANSLATE(B66,""en"",""hi"")"),"आज")</f>
        <v>आज</v>
      </c>
      <c r="E66" s="2" t="str">
        <f>IFERROR(__xludf.DUMMYFUNCTION("GOOGLETRANSLATE(B66,""en"",""ml"")"),"ഇന്ന്")</f>
        <v>ഇന്ന്</v>
      </c>
      <c r="F66" s="2" t="str">
        <f>IFERROR(__xludf.DUMMYFUNCTION("GOOGLETRANSLATE(B66,""en"",""te"")"),"ఈరోజు")</f>
        <v>ఈరోజు</v>
      </c>
      <c r="G66" s="2" t="str">
        <f>IFERROR(__xludf.DUMMYFUNCTION("GOOGLETRANSLATE(B66,""en"",""kn"")"),"ಇಂದು")</f>
        <v>ಇಂದು</v>
      </c>
    </row>
    <row r="67">
      <c r="A67" s="1" t="s">
        <v>137</v>
      </c>
      <c r="B67" s="1" t="s">
        <v>138</v>
      </c>
      <c r="C67" s="2" t="str">
        <f>IFERROR(__xludf.DUMMYFUNCTION("GOOGLETRANSLATE(B67,""en"",""ta"")"),"நேற்று")</f>
        <v>நேற்று</v>
      </c>
      <c r="D67" s="2" t="str">
        <f>IFERROR(__xludf.DUMMYFUNCTION("GOOGLETRANSLATE(B67,""en"",""hi"")"),"कल")</f>
        <v>कल</v>
      </c>
      <c r="E67" s="2" t="str">
        <f>IFERROR(__xludf.DUMMYFUNCTION("GOOGLETRANSLATE(B67,""en"",""ml"")"),"ഇന്നലെ")</f>
        <v>ഇന്നലെ</v>
      </c>
      <c r="F67" s="2" t="str">
        <f>IFERROR(__xludf.DUMMYFUNCTION("GOOGLETRANSLATE(B67,""en"",""te"")"),"నిన్న")</f>
        <v>నిన్న</v>
      </c>
      <c r="G67" s="2" t="str">
        <f>IFERROR(__xludf.DUMMYFUNCTION("GOOGLETRANSLATE(B67,""en"",""kn"")"),"ನಿನ್ನೆ")</f>
        <v>ನಿನ್ನೆ</v>
      </c>
    </row>
    <row r="68">
      <c r="A68" s="1" t="s">
        <v>139</v>
      </c>
      <c r="B68" s="1" t="s">
        <v>140</v>
      </c>
      <c r="C68" s="2" t="str">
        <f>IFERROR(__xludf.DUMMYFUNCTION("GOOGLETRANSLATE(B68,""en"",""ta"")"),"இந்த வாரம்")</f>
        <v>இந்த வாரம்</v>
      </c>
      <c r="D68" s="2" t="str">
        <f>IFERROR(__xludf.DUMMYFUNCTION("GOOGLETRANSLATE(B68,""en"",""hi"")"),"इस सप्ताह")</f>
        <v>इस सप्ताह</v>
      </c>
      <c r="E68" s="2" t="str">
        <f>IFERROR(__xludf.DUMMYFUNCTION("GOOGLETRANSLATE(B68,""en"",""ml"")"),"ഈ ആഴ്ച")</f>
        <v>ഈ ആഴ്ച</v>
      </c>
      <c r="F68" s="2" t="str">
        <f>IFERROR(__xludf.DUMMYFUNCTION("GOOGLETRANSLATE(B68,""en"",""te"")"),"ఈ వారం")</f>
        <v>ఈ వారం</v>
      </c>
      <c r="G68" s="2" t="str">
        <f>IFERROR(__xludf.DUMMYFUNCTION("GOOGLETRANSLATE(B68,""en"",""kn"")"),"ಈ ವಾರ")</f>
        <v>ಈ ವಾರ</v>
      </c>
    </row>
    <row r="69">
      <c r="A69" s="1" t="s">
        <v>141</v>
      </c>
      <c r="B69" s="1" t="s">
        <v>142</v>
      </c>
      <c r="C69" s="2" t="str">
        <f>IFERROR(__xludf.DUMMYFUNCTION("GOOGLETRANSLATE(B69,""en"",""ta"")"),"இந்த மாதம்")</f>
        <v>இந்த மாதம்</v>
      </c>
      <c r="D69" s="2" t="str">
        <f>IFERROR(__xludf.DUMMYFUNCTION("GOOGLETRANSLATE(B69,""en"",""hi"")"),"इस महीने")</f>
        <v>इस महीने</v>
      </c>
      <c r="E69" s="2" t="str">
        <f>IFERROR(__xludf.DUMMYFUNCTION("GOOGLETRANSLATE(B69,""en"",""ml"")"),"ഈ മാസം")</f>
        <v>ഈ മാസം</v>
      </c>
      <c r="F69" s="2" t="str">
        <f>IFERROR(__xludf.DUMMYFUNCTION("GOOGLETRANSLATE(B69,""en"",""te"")"),"ఈ నెల")</f>
        <v>ఈ నెల</v>
      </c>
      <c r="G69" s="2" t="str">
        <f>IFERROR(__xludf.DUMMYFUNCTION("GOOGLETRANSLATE(B69,""en"",""kn"")"),"ಈ ತಿಂಗಳು")</f>
        <v>ಈ ತಿಂಗಳು</v>
      </c>
    </row>
    <row r="70">
      <c r="A70" s="1" t="s">
        <v>143</v>
      </c>
      <c r="B70" s="1" t="s">
        <v>144</v>
      </c>
      <c r="C70" s="2" t="str">
        <f>IFERROR(__xludf.DUMMYFUNCTION("GOOGLETRANSLATE(B70,""en"",""ta"")"),"இந்த ஆண்டு")</f>
        <v>இந்த ஆண்டு</v>
      </c>
      <c r="D70" s="2" t="str">
        <f>IFERROR(__xludf.DUMMYFUNCTION("GOOGLETRANSLATE(B70,""en"",""hi"")"),"इस साल")</f>
        <v>इस साल</v>
      </c>
      <c r="E70" s="2" t="str">
        <f>IFERROR(__xludf.DUMMYFUNCTION("GOOGLETRANSLATE(B70,""en"",""ml"")"),"ഈ വര്ഷം")</f>
        <v>ഈ വര്ഷം</v>
      </c>
      <c r="F70" s="2" t="str">
        <f>IFERROR(__xludf.DUMMYFUNCTION("GOOGLETRANSLATE(B70,""en"",""te"")"),"ఈ సంవత్సరం")</f>
        <v>ఈ సంవత్సరం</v>
      </c>
      <c r="G70" s="2" t="str">
        <f>IFERROR(__xludf.DUMMYFUNCTION("GOOGLETRANSLATE(B70,""en"",""kn"")"),"ಈ ವರ್ಷ")</f>
        <v>ಈ ವರ್ಷ</v>
      </c>
    </row>
    <row r="71">
      <c r="A71" s="1" t="s">
        <v>145</v>
      </c>
      <c r="B71" s="1" t="s">
        <v>146</v>
      </c>
      <c r="C71" s="2" t="str">
        <f>IFERROR(__xludf.DUMMYFUNCTION("GOOGLETRANSLATE(B71,""en"",""ta"")"),"விருப்ப தேதி")</f>
        <v>விருப்ப தேதி</v>
      </c>
      <c r="D71" s="2" t="str">
        <f>IFERROR(__xludf.DUMMYFUNCTION("GOOGLETRANSLATE(B71,""en"",""hi"")"),"कस्टम तिथि")</f>
        <v>कस्टम तिथि</v>
      </c>
      <c r="E71" s="2" t="str">
        <f>IFERROR(__xludf.DUMMYFUNCTION("GOOGLETRANSLATE(B71,""en"",""ml"")"),"ഇഷ്ടാനുസൃത തീയതി")</f>
        <v>ഇഷ്ടാനുസൃത തീയതി</v>
      </c>
      <c r="F71" s="2" t="str">
        <f>IFERROR(__xludf.DUMMYFUNCTION("GOOGLETRANSLATE(B71,""en"",""te"")"),"అనుకూల తేదీ")</f>
        <v>అనుకూల తేదీ</v>
      </c>
      <c r="G71" s="2" t="str">
        <f>IFERROR(__xludf.DUMMYFUNCTION("GOOGLETRANSLATE(B71,""en"",""kn"")"),"ಕಸ್ಟಮ್ ದಿನಾಂಕ")</f>
        <v>ಕಸ್ಟಮ್ ದಿನಾಂಕ</v>
      </c>
    </row>
    <row r="72">
      <c r="A72" s="1" t="s">
        <v>147</v>
      </c>
      <c r="B72" s="1" t="s">
        <v>148</v>
      </c>
      <c r="C72" s="2" t="str">
        <f>IFERROR(__xludf.DUMMYFUNCTION("GOOGLETRANSLATE(B72,""en"",""ta"")"),"தேதி வரம்பைத் தேர்ந்தெடுக்கவும்")</f>
        <v>தேதி வரம்பைத் தேர்ந்தெடுக்கவும்</v>
      </c>
      <c r="D72" s="2" t="str">
        <f>IFERROR(__xludf.DUMMYFUNCTION("GOOGLETRANSLATE(B72,""en"",""hi"")"),"दिनांक सीमा चुनें")</f>
        <v>दिनांक सीमा चुनें</v>
      </c>
      <c r="E72" s="2" t="str">
        <f>IFERROR(__xludf.DUMMYFUNCTION("GOOGLETRANSLATE(B72,""en"",""ml"")"),"തീയതി ശ്രേണി തിരഞ്ഞെടുക്കുക")</f>
        <v>തീയതി ശ്രേണി തിരഞ്ഞെടുക്കുക</v>
      </c>
      <c r="F72" s="2" t="str">
        <f>IFERROR(__xludf.DUMMYFUNCTION("GOOGLETRANSLATE(B72,""en"",""te"")"),"తేదీ పరిధిని ఎంచుకోండి")</f>
        <v>తేదీ పరిధిని ఎంచుకోండి</v>
      </c>
      <c r="G72" s="2" t="str">
        <f>IFERROR(__xludf.DUMMYFUNCTION("GOOGLETRANSLATE(B72,""en"",""kn"")"),"ದಿನಾಂಕ ಶ್ರೇಣಿ ಆಯ್ಕೆಮಾಡಿ")</f>
        <v>ದಿನಾಂಕ ಶ್ರೇಣಿ ಆಯ್ಕೆಮಾಡಿ</v>
      </c>
    </row>
    <row r="73">
      <c r="A73" s="1" t="s">
        <v>149</v>
      </c>
      <c r="B73" s="1" t="s">
        <v>150</v>
      </c>
      <c r="C73" s="2" t="str">
        <f>IFERROR(__xludf.DUMMYFUNCTION("GOOGLETRANSLATE(B73,""en"",""ta"")"),"இருந்து")</f>
        <v>இருந்து</v>
      </c>
      <c r="D73" s="2" t="str">
        <f>IFERROR(__xludf.DUMMYFUNCTION("GOOGLETRANSLATE(B73,""en"",""hi"")"),"से")</f>
        <v>से</v>
      </c>
      <c r="E73" s="2" t="str">
        <f>IFERROR(__xludf.DUMMYFUNCTION("GOOGLETRANSLATE(B73,""en"",""ml"")"),"നിന്ന്")</f>
        <v>നിന്ന്</v>
      </c>
      <c r="F73" s="2" t="str">
        <f>IFERROR(__xludf.DUMMYFUNCTION("GOOGLETRANSLATE(B73,""en"",""te"")"),"నుండి")</f>
        <v>నుండి</v>
      </c>
      <c r="G73" s="2" t="str">
        <f>IFERROR(__xludf.DUMMYFUNCTION("GOOGLETRANSLATE(B73,""en"",""kn"")"),"ಇಂದ")</f>
        <v>ಇಂದ</v>
      </c>
    </row>
    <row r="74">
      <c r="A74" s="1" t="s">
        <v>151</v>
      </c>
      <c r="B74" s="1" t="s">
        <v>152</v>
      </c>
      <c r="C74" s="2" t="str">
        <f>IFERROR(__xludf.DUMMYFUNCTION("GOOGLETRANSLATE(B74,""en"",""ta"")"),"செய்ய")</f>
        <v>செய்ய</v>
      </c>
      <c r="D74" s="2" t="str">
        <f>IFERROR(__xludf.DUMMYFUNCTION("GOOGLETRANSLATE(B74,""en"",""hi"")"),"को")</f>
        <v>को</v>
      </c>
      <c r="E74" s="2" t="str">
        <f>IFERROR(__xludf.DUMMYFUNCTION("GOOGLETRANSLATE(B74,""en"",""ml"")"),"ലേക്ക്")</f>
        <v>ലേക്ക്</v>
      </c>
      <c r="F74" s="2" t="str">
        <f>IFERROR(__xludf.DUMMYFUNCTION("GOOGLETRANSLATE(B74,""en"",""te"")"),"కు")</f>
        <v>కు</v>
      </c>
      <c r="G74" s="2" t="str">
        <f>IFERROR(__xludf.DUMMYFUNCTION("GOOGLETRANSLATE(B74,""en"",""kn"")"),"ಗೆ")</f>
        <v>ಗೆ</v>
      </c>
    </row>
    <row r="75">
      <c r="A75" s="1" t="s">
        <v>153</v>
      </c>
      <c r="B75" s="1" t="s">
        <v>154</v>
      </c>
      <c r="C75" s="2" t="str">
        <f>IFERROR(__xludf.DUMMYFUNCTION("GOOGLETRANSLATE(B75,""en"",""ta"")"),"ரத்து செய்")</f>
        <v>ரத்து செய்</v>
      </c>
      <c r="D75" s="2" t="str">
        <f>IFERROR(__xludf.DUMMYFUNCTION("GOOGLETRANSLATE(B75,""en"",""hi"")"),"रद्द करना")</f>
        <v>रद्द करना</v>
      </c>
      <c r="E75" s="2" t="str">
        <f>IFERROR(__xludf.DUMMYFUNCTION("GOOGLETRANSLATE(B75,""en"",""ml"")"),"റദ്ദാക്കുക")</f>
        <v>റദ്ദാക്കുക</v>
      </c>
      <c r="F75" s="2" t="str">
        <f>IFERROR(__xludf.DUMMYFUNCTION("GOOGLETRANSLATE(B75,""en"",""te"")"),"రద్దు చేయి")</f>
        <v>రద్దు చేయి</v>
      </c>
      <c r="G75" s="2" t="str">
        <f>IFERROR(__xludf.DUMMYFUNCTION("GOOGLETRANSLATE(B75,""en"",""kn"")"),"ರದ್ದುಮಾಡಿ")</f>
        <v>ರದ್ದುಮಾಡಿ</v>
      </c>
    </row>
    <row r="76">
      <c r="A76" s="1" t="s">
        <v>155</v>
      </c>
      <c r="B76" s="1" t="s">
        <v>156</v>
      </c>
      <c r="C76" s="2" t="str">
        <f>IFERROR(__xludf.DUMMYFUNCTION("GOOGLETRANSLATE(B76,""en"",""ta"")"),"உறுதிப்படுத்தவும்")</f>
        <v>உறுதிப்படுத்தவும்</v>
      </c>
      <c r="D76" s="2" t="str">
        <f>IFERROR(__xludf.DUMMYFUNCTION("GOOGLETRANSLATE(B76,""en"",""hi"")"),"पुष्टि करना")</f>
        <v>पुष्टि करना</v>
      </c>
      <c r="E76" s="2" t="str">
        <f>IFERROR(__xludf.DUMMYFUNCTION("GOOGLETRANSLATE(B76,""en"",""ml"")"),"സ്ഥിരീകരിക്കുക")</f>
        <v>സ്ഥിരീകരിക്കുക</v>
      </c>
      <c r="F76" s="2" t="str">
        <f>IFERROR(__xludf.DUMMYFUNCTION("GOOGLETRANSLATE(B76,""en"",""te"")"),"నిర్ధారించండి")</f>
        <v>నిర్ధారించండి</v>
      </c>
      <c r="G76" s="2" t="str">
        <f>IFERROR(__xludf.DUMMYFUNCTION("GOOGLETRANSLATE(B76,""en"",""kn"")"),"ದೃಢೀಕರಿಸಿ")</f>
        <v>ದೃಢೀಕರಿಸಿ</v>
      </c>
    </row>
    <row r="77">
      <c r="A77" s="1" t="s">
        <v>157</v>
      </c>
      <c r="B77" s="1" t="s">
        <v>158</v>
      </c>
      <c r="C77" s="2" t="str">
        <f>IFERROR(__xludf.DUMMYFUNCTION("GOOGLETRANSLATE(B77,""en"",""ta"")"),"சேமிக்கப்பட்ட இடங்கள் இல்லை")</f>
        <v>சேமிக்கப்பட்ட இடங்கள் இல்லை</v>
      </c>
      <c r="D77" s="2" t="str">
        <f>IFERROR(__xludf.DUMMYFUNCTION("GOOGLETRANSLATE(B77,""en"",""hi"")"),"कोई सहेजा गया स्थान नहीं")</f>
        <v>कोई सहेजा गया स्थान नहीं</v>
      </c>
      <c r="E77" s="2" t="str">
        <f>IFERROR(__xludf.DUMMYFUNCTION("GOOGLETRANSLATE(B77,""en"",""ml"")"),"സംരക്ഷിച്ച സ്ഥലങ്ങളൊന്നുമില്ല")</f>
        <v>സംരക്ഷിച്ച സ്ഥലങ്ങളൊന്നുമില്ല</v>
      </c>
      <c r="F77" s="2" t="str">
        <f>IFERROR(__xludf.DUMMYFUNCTION("GOOGLETRANSLATE(B77,""en"",""te"")"),"సేవ్ చేయబడిన స్థలాలు లేవు")</f>
        <v>సేవ్ చేయబడిన స్థలాలు లేవు</v>
      </c>
      <c r="G77" s="2" t="str">
        <f>IFERROR(__xludf.DUMMYFUNCTION("GOOGLETRANSLATE(B77,""en"",""kn"")"),"ಉಳಿಸಿದ ಸ್ಥಳಗಳಿಲ್ಲ")</f>
        <v>ಉಳಿಸಿದ ಸ್ಥಳಗಳಿಲ್ಲ</v>
      </c>
    </row>
    <row r="78">
      <c r="A78" s="1" t="s">
        <v>159</v>
      </c>
      <c r="B78" s="1" t="s">
        <v>160</v>
      </c>
      <c r="C78" s="2" t="str">
        <f>IFERROR(__xludf.DUMMYFUNCTION("GOOGLETRANSLATE(B78,""en"",""ta"")"),"நீங்கள் சேமித்த இருப்பிடங்கள் இங்கே தோன்றும்")</f>
        <v>நீங்கள் சேமித்த இருப்பிடங்கள் இங்கே தோன்றும்</v>
      </c>
      <c r="D78" s="2" t="str">
        <f>IFERROR(__xludf.DUMMYFUNCTION("GOOGLETRANSLATE(B78,""en"",""hi"")"),"आपके सहेजे गए स्थान यहां दिखाई देंगे")</f>
        <v>आपके सहेजे गए स्थान यहां दिखाई देंगे</v>
      </c>
      <c r="E78" s="2" t="str">
        <f>IFERROR(__xludf.DUMMYFUNCTION("GOOGLETRANSLATE(B78,""en"",""ml"")"),"നിങ്ങളുടെ സംരക്ഷിച്ച ലൊക്കേഷനുകൾ ഇവിടെ ദൃശ്യമാകും")</f>
        <v>നിങ്ങളുടെ സംരക്ഷിച്ച ലൊക്കേഷനുകൾ ഇവിടെ ദൃശ്യമാകും</v>
      </c>
      <c r="F78" s="2" t="str">
        <f>IFERROR(__xludf.DUMMYFUNCTION("GOOGLETRANSLATE(B78,""en"",""te"")"),"మీరు సేవ్ చేసిన స్థానాలు ఇక్కడ కనిపిస్తాయి")</f>
        <v>మీరు సేవ్ చేసిన స్థానాలు ఇక్కడ కనిపిస్తాయి</v>
      </c>
      <c r="G78" s="2" t="str">
        <f>IFERROR(__xludf.DUMMYFUNCTION("GOOGLETRANSLATE(B78,""en"",""kn"")"),"ನಿಮ್ಮ ಉಳಿಸಿದ ಸ್ಥಳಗಳು ಇಲ್ಲಿ ಗೋಚರಿಸುತ್ತವೆ")</f>
        <v>ನಿಮ್ಮ ಉಳಿಸಿದ ಸ್ಥಳಗಳು ಇಲ್ಲಿ ಗೋಚರಿಸುತ್ತವೆ</v>
      </c>
    </row>
    <row r="79">
      <c r="A79" s="1" t="s">
        <v>161</v>
      </c>
      <c r="B79" s="1" t="s">
        <v>162</v>
      </c>
      <c r="C79" s="2" t="str">
        <f>IFERROR(__xludf.DUMMYFUNCTION("GOOGLETRANSLATE(B79,""en"",""ta"")"),"நீங்கள் முதலில் சேமித்த இடத்தைச் சேர்க்க + பொத்தானைத் தட்டவும்")</f>
        <v>நீங்கள் முதலில் சேமித்த இடத்தைச் சேர்க்க + பொத்தானைத் தட்டவும்</v>
      </c>
      <c r="D79" s="2" t="str">
        <f>IFERROR(__xludf.DUMMYFUNCTION("GOOGLETRANSLATE(B79,""en"",""hi"")"),"अपना पहला सहेजा गया स्थान जोड़ने के लिए + बटन पर टैप करें")</f>
        <v>अपना पहला सहेजा गया स्थान जोड़ने के लिए + बटन पर टैप करें</v>
      </c>
      <c r="E79" s="2" t="str">
        <f>IFERROR(__xludf.DUMMYFUNCTION("GOOGLETRANSLATE(B79,""en"",""ml"")"),"നിങ്ങൾ ആദ്യം സംരക്ഷിച്ച സ്ഥലം ചേർക്കാൻ + ബട്ടൺ ടാപ്പുചെയ്യുക")</f>
        <v>നിങ്ങൾ ആദ്യം സംരക്ഷിച്ച സ്ഥലം ചേർക്കാൻ + ബട്ടൺ ടാപ്പുചെയ്യുക</v>
      </c>
      <c r="F79" s="2" t="str">
        <f>IFERROR(__xludf.DUMMYFUNCTION("GOOGLETRANSLATE(B79,""en"",""te"")"),"మీ మొదటి సేవ్ చేసిన స్థలాన్ని జోడించడానికి + బటన్‌ను నొక్కండి")</f>
        <v>మీ మొదటి సేవ్ చేసిన స్థలాన్ని జోడించడానికి + బటన్‌ను నొక్కండి</v>
      </c>
      <c r="G79" s="2" t="str">
        <f>IFERROR(__xludf.DUMMYFUNCTION("GOOGLETRANSLATE(B79,""en"",""kn"")"),"ನಿಮ್ಮ ಮೊದಲ ಉಳಿಸಿದ ಸ್ಥಳವನ್ನು ಸೇರಿಸಲು + ಬಟನ್ ಟ್ಯಾಪ್ ಮಾಡಿ")</f>
        <v>ನಿಮ್ಮ ಮೊದಲ ಉಳಿಸಿದ ಸ್ಥಳವನ್ನು ಸೇರಿಸಲು + ಬಟನ್ ಟ್ಯಾಪ್ ಮಾಡಿ</v>
      </c>
    </row>
    <row r="80">
      <c r="A80" s="1" t="s">
        <v>163</v>
      </c>
      <c r="B80" s="1" t="s">
        <v>164</v>
      </c>
      <c r="C80" s="2" t="str">
        <f>IFERROR(__xludf.DUMMYFUNCTION("GOOGLETRANSLATE(B80,""en"",""ta"")"),"இடத்தை நீக்கு")</f>
        <v>இடத்தை நீக்கு</v>
      </c>
      <c r="D80" s="2" t="str">
        <f>IFERROR(__xludf.DUMMYFUNCTION("GOOGLETRANSLATE(B80,""en"",""hi"")"),"स्थान हटाएं")</f>
        <v>स्थान हटाएं</v>
      </c>
      <c r="E80" s="2" t="str">
        <f>IFERROR(__xludf.DUMMYFUNCTION("GOOGLETRANSLATE(B80,""en"",""ml"")"),"സ്ഥലം ഇല്ലാതാക്കുക")</f>
        <v>സ്ഥലം ഇല്ലാതാക്കുക</v>
      </c>
      <c r="F80" s="2" t="str">
        <f>IFERROR(__xludf.DUMMYFUNCTION("GOOGLETRANSLATE(B80,""en"",""te"")"),"స్థలాన్ని తొలగించండి")</f>
        <v>స్థలాన్ని తొలగించండి</v>
      </c>
      <c r="G80" s="2" t="str">
        <f>IFERROR(__xludf.DUMMYFUNCTION("GOOGLETRANSLATE(B80,""en"",""kn"")"),"ಸ್ಥಳವನ್ನು ಅಳಿಸಿ")</f>
        <v>ಸ್ಥಳವನ್ನು ಅಳಿಸಿ</v>
      </c>
    </row>
    <row r="81">
      <c r="A81" s="1" t="s">
        <v>165</v>
      </c>
      <c r="B81" s="1" t="s">
        <v>166</v>
      </c>
      <c r="C81" s="2" t="str">
        <f>IFERROR(__xludf.DUMMYFUNCTION("GOOGLETRANSLATE(B81,""en"",""ta"")"),"இந்த இடத்தை நிச்சயமாக நீக்க விரும்புகிறீர்களா?")</f>
        <v>இந்த இடத்தை நிச்சயமாக நீக்க விரும்புகிறீர்களா?</v>
      </c>
      <c r="D81" s="2" t="str">
        <f>IFERROR(__xludf.DUMMYFUNCTION("GOOGLETRANSLATE(B81,""en"",""hi"")"),"क्या आप वाकई इस स्थान को हटाना चाहते हैं?")</f>
        <v>क्या आप वाकई इस स्थान को हटाना चाहते हैं?</v>
      </c>
      <c r="E81" s="2" t="str">
        <f>IFERROR(__xludf.DUMMYFUNCTION("GOOGLETRANSLATE(B81,""en"",""ml"")"),"ഈ സ്ഥലം ഇല്ലാതാക്കണമെന്ന് തീർച്ചയാണോ?")</f>
        <v>ഈ സ്ഥലം ഇല്ലാതാക്കണമെന്ന് തീർച്ചയാണോ?</v>
      </c>
      <c r="F81" s="2" t="str">
        <f>IFERROR(__xludf.DUMMYFUNCTION("GOOGLETRANSLATE(B81,""en"",""te"")"),"మీరు ఖచ్చితంగా ఈ స్థలాన్ని తొలగించాలనుకుంటున్నారా?")</f>
        <v>మీరు ఖచ్చితంగా ఈ స్థలాన్ని తొలగించాలనుకుంటున్నారా?</v>
      </c>
      <c r="G81" s="2" t="str">
        <f>IFERROR(__xludf.DUMMYFUNCTION("GOOGLETRANSLATE(B81,""en"",""kn"")"),"ಈ ಸ್ಥಳವನ್ನು ಅಳಿಸಲು ನೀವು ಖಚಿತವಾಗಿ ಬಯಸುವಿರಾ?")</f>
        <v>ಈ ಸ್ಥಳವನ್ನು ಅಳಿಸಲು ನೀವು ಖಚಿತವಾಗಿ ಬಯಸುವಿರಾ?</v>
      </c>
    </row>
    <row r="82">
      <c r="A82" s="1" t="s">
        <v>167</v>
      </c>
      <c r="B82" s="1" t="s">
        <v>168</v>
      </c>
      <c r="C82" s="2" t="str">
        <f>IFERROR(__xludf.DUMMYFUNCTION("GOOGLETRANSLATE(B82,""en"",""ta"")"),"இடம் வெற்றிகரமாக நீக்கப்பட்டது")</f>
        <v>இடம் வெற்றிகரமாக நீக்கப்பட்டது</v>
      </c>
      <c r="D82" s="2" t="str">
        <f>IFERROR(__xludf.DUMMYFUNCTION("GOOGLETRANSLATE(B82,""en"",""hi"")"),"स्थान सफलतापूर्वक हटा दिया गया")</f>
        <v>स्थान सफलतापूर्वक हटा दिया गया</v>
      </c>
      <c r="E82" s="2" t="str">
        <f>IFERROR(__xludf.DUMMYFUNCTION("GOOGLETRANSLATE(B82,""en"",""ml"")"),"സ്ഥലം വിജയകരമായി ഇല്ലാതാക്കി")</f>
        <v>സ്ഥലം വിജയകരമായി ഇല്ലാതാക്കി</v>
      </c>
      <c r="F82" s="2" t="str">
        <f>IFERROR(__xludf.DUMMYFUNCTION("GOOGLETRANSLATE(B82,""en"",""te"")"),"స్థలం విజయవంతంగా తొలగించబడింది")</f>
        <v>స్థలం విజయవంతంగా తొలగించబడింది</v>
      </c>
      <c r="G82" s="2" t="str">
        <f>IFERROR(__xludf.DUMMYFUNCTION("GOOGLETRANSLATE(B82,""en"",""kn"")"),"ಸ್ಥಳವನ್ನು ಯಶಸ್ವಿಯಾಗಿ ಅಳಿಸಲಾಗಿದೆ")</f>
        <v>ಸ್ಥಳವನ್ನು ಯಶಸ್ವಿಯಾಗಿ ಅಳಿಸಲಾಗಿದೆ</v>
      </c>
    </row>
    <row r="83">
      <c r="A83" s="1" t="s">
        <v>169</v>
      </c>
      <c r="B83" s="1" t="s">
        <v>170</v>
      </c>
      <c r="C83" s="2" t="str">
        <f>IFERROR(__xludf.DUMMYFUNCTION("GOOGLETRANSLATE(B83,""en"",""ta"")"),"இடத்தை நீக்க முடியவில்லை")</f>
        <v>இடத்தை நீக்க முடியவில்லை</v>
      </c>
      <c r="D83" s="2" t="str">
        <f>IFERROR(__xludf.DUMMYFUNCTION("GOOGLETRANSLATE(B83,""en"",""hi"")"),"स्थान हटाने में विफल")</f>
        <v>स्थान हटाने में विफल</v>
      </c>
      <c r="E83" s="2" t="str">
        <f>IFERROR(__xludf.DUMMYFUNCTION("GOOGLETRANSLATE(B83,""en"",""ml"")"),"സ്ഥലം ഇല്ലാതാക്കുന്നതിൽ പരാജയപ്പെട്ടു")</f>
        <v>സ്ഥലം ഇല്ലാതാക്കുന്നതിൽ പരാജയപ്പെട്ടു</v>
      </c>
      <c r="F83" s="2" t="str">
        <f>IFERROR(__xludf.DUMMYFUNCTION("GOOGLETRANSLATE(B83,""en"",""te"")"),"స్థలాన్ని తొలగించడంలో విఫలమైంది")</f>
        <v>స్థలాన్ని తొలగించడంలో విఫలమైంది</v>
      </c>
      <c r="G83" s="2" t="str">
        <f>IFERROR(__xludf.DUMMYFUNCTION("GOOGLETRANSLATE(B83,""en"",""kn"")"),"ಸ್ಥಳವನ್ನು ಅಳಿಸಲು ವಿಫಲವಾಗಿದೆ")</f>
        <v>ಸ್ಥಳವನ್ನು ಅಳಿಸಲು ವಿಫಲವಾಗಿದೆ</v>
      </c>
    </row>
    <row r="84">
      <c r="A84" s="1" t="s">
        <v>171</v>
      </c>
      <c r="B84" s="1" t="s">
        <v>172</v>
      </c>
      <c r="C84" s="2" t="str">
        <f>IFERROR(__xludf.DUMMYFUNCTION("GOOGLETRANSLATE(B84,""en"",""ta"")"),"இடத்தை நீக்க முடியவில்லை. மீண்டும் முயற்சிக்கவும்.")</f>
        <v>இடத்தை நீக்க முடியவில்லை. மீண்டும் முயற்சிக்கவும்.</v>
      </c>
      <c r="D84" s="2" t="str">
        <f>IFERROR(__xludf.DUMMYFUNCTION("GOOGLETRANSLATE(B84,""en"",""hi"")"),"स्थान हटाया नहीं जा सका. कृपया पुनः प्रयास करें.")</f>
        <v>स्थान हटाया नहीं जा सका. कृपया पुनः प्रयास करें.</v>
      </c>
      <c r="E84" s="2" t="str">
        <f>IFERROR(__xludf.DUMMYFUNCTION("GOOGLETRANSLATE(B84,""en"",""ml"")"),"സ്ഥലം ഇല്ലാതാക്കുന്നതിൽ പരാജയപ്പെട്ടു. ദയവായി വീണ്ടും ശ്രമിക്കുക.")</f>
        <v>സ്ഥലം ഇല്ലാതാക്കുന്നതിൽ പരാജയപ്പെട്ടു. ദയവായി വീണ്ടും ശ്രമിക്കുക.</v>
      </c>
      <c r="F84" s="2" t="str">
        <f>IFERROR(__xludf.DUMMYFUNCTION("GOOGLETRANSLATE(B84,""en"",""te"")"),"స్థలాన్ని తొలగించడంలో విఫలమైంది. దయచేసి మళ్లీ ప్రయత్నించండి.")</f>
        <v>స్థలాన్ని తొలగించడంలో విఫలమైంది. దయచేసి మళ్లీ ప్రయత్నించండి.</v>
      </c>
      <c r="G84" s="2" t="str">
        <f>IFERROR(__xludf.DUMMYFUNCTION("GOOGLETRANSLATE(B84,""en"",""kn"")"),"ಸ್ಥಳವನ್ನು ಅಳಿಸಲು ವಿಫಲವಾಗಿದೆ. ದಯವಿಟ್ಟು ಮತ್ತೆ ಪ್ರಯತ್ನಿಸಿ.")</f>
        <v>ಸ್ಥಳವನ್ನು ಅಳಿಸಲು ವಿಫಲವಾಗಿದೆ. ದಯವಿಟ್ಟು ಮತ್ತೆ ಪ್ರಯತ್ನಿಸಿ.</v>
      </c>
    </row>
    <row r="85">
      <c r="A85" s="1" t="s">
        <v>173</v>
      </c>
      <c r="B85" s="1" t="s">
        <v>174</v>
      </c>
      <c r="C85" s="2" t="str">
        <f>IFERROR(__xludf.DUMMYFUNCTION("GOOGLETRANSLATE(B85,""en"",""ta"")"),"வெற்றி")</f>
        <v>வெற்றி</v>
      </c>
      <c r="D85" s="2" t="str">
        <f>IFERROR(__xludf.DUMMYFUNCTION("GOOGLETRANSLATE(B85,""en"",""hi"")"),"सफलता")</f>
        <v>सफलता</v>
      </c>
      <c r="E85" s="2" t="str">
        <f>IFERROR(__xludf.DUMMYFUNCTION("GOOGLETRANSLATE(B85,""en"",""ml"")"),"വിജയം")</f>
        <v>വിജയം</v>
      </c>
      <c r="F85" s="2" t="str">
        <f>IFERROR(__xludf.DUMMYFUNCTION("GOOGLETRANSLATE(B85,""en"",""te"")"),"విజయం")</f>
        <v>విజయం</v>
      </c>
      <c r="G85" s="2" t="str">
        <f>IFERROR(__xludf.DUMMYFUNCTION("GOOGLETRANSLATE(B85,""en"",""kn"")"),"ಯಶಸ್ಸು")</f>
        <v>ಯಶಸ್ಸು</v>
      </c>
    </row>
    <row r="86">
      <c r="A86" s="1" t="s">
        <v>175</v>
      </c>
      <c r="B86" s="1" t="s">
        <v>176</v>
      </c>
      <c r="C86" s="2" t="str">
        <f>IFERROR(__xludf.DUMMYFUNCTION("GOOGLETRANSLATE(B86,""en"",""ta"")"),"பிழை")</f>
        <v>பிழை</v>
      </c>
      <c r="D86" s="2" t="str">
        <f>IFERROR(__xludf.DUMMYFUNCTION("GOOGLETRANSLATE(B86,""en"",""hi"")"),"गलती")</f>
        <v>गलती</v>
      </c>
      <c r="E86" s="2" t="str">
        <f>IFERROR(__xludf.DUMMYFUNCTION("GOOGLETRANSLATE(B86,""en"",""ml"")"),"പിശക്")</f>
        <v>പിശക്</v>
      </c>
      <c r="F86" s="2" t="str">
        <f>IFERROR(__xludf.DUMMYFUNCTION("GOOGLETRANSLATE(B86,""en"",""te"")"),"లోపం")</f>
        <v>లోపం</v>
      </c>
      <c r="G86" s="2" t="str">
        <f>IFERROR(__xludf.DUMMYFUNCTION("GOOGLETRANSLATE(B86,""en"",""kn"")"),"ದೋಷ")</f>
        <v>ದೋಷ</v>
      </c>
    </row>
    <row r="87">
      <c r="A87" s="1" t="s">
        <v>177</v>
      </c>
      <c r="B87" s="1" t="s">
        <v>178</v>
      </c>
      <c r="C87" s="2" t="str">
        <f>IFERROR(__xludf.DUMMYFUNCTION("GOOGLETRANSLATE(B87,""en"",""ta"")"),"இடத்தைச் சேர்க்கவும்")</f>
        <v>இடத்தைச் சேர்க்கவும்</v>
      </c>
      <c r="D87" s="2" t="str">
        <f>IFERROR(__xludf.DUMMYFUNCTION("GOOGLETRANSLATE(B87,""en"",""hi"")"),"स्थान जोड़ें")</f>
        <v>स्थान जोड़ें</v>
      </c>
      <c r="E87" s="2" t="str">
        <f>IFERROR(__xludf.DUMMYFUNCTION("GOOGLETRANSLATE(B87,""en"",""ml"")"),"സ്ഥലം ചേർക്കുക")</f>
        <v>സ്ഥലം ചേർക്കുക</v>
      </c>
      <c r="F87" s="2" t="str">
        <f>IFERROR(__xludf.DUMMYFUNCTION("GOOGLETRANSLATE(B87,""en"",""te"")"),"స్థలాన్ని జోడించండి")</f>
        <v>స్థలాన్ని జోడించండి</v>
      </c>
      <c r="G87" s="2" t="str">
        <f>IFERROR(__xludf.DUMMYFUNCTION("GOOGLETRANSLATE(B87,""en"",""kn"")"),"ಸ್ಥಳವನ್ನು ಸೇರಿಸಿ")</f>
        <v>ಸ್ಥಳವನ್ನು ಸೇರಿಸಿ</v>
      </c>
    </row>
    <row r="88">
      <c r="A88" s="1" t="s">
        <v>179</v>
      </c>
      <c r="B88" s="1" t="s">
        <v>180</v>
      </c>
      <c r="C88" s="2" t="str">
        <f>IFERROR(__xludf.DUMMYFUNCTION("GOOGLETRANSLATE(B88,""en"",""ta"")"),"இடத்தைத் திருத்து")</f>
        <v>இடத்தைத் திருத்து</v>
      </c>
      <c r="D88" s="2" t="str">
        <f>IFERROR(__xludf.DUMMYFUNCTION("GOOGLETRANSLATE(B88,""en"",""hi"")"),"स्थान संपादित करें")</f>
        <v>स्थान संपादित करें</v>
      </c>
      <c r="E88" s="2" t="str">
        <f>IFERROR(__xludf.DUMMYFUNCTION("GOOGLETRANSLATE(B88,""en"",""ml"")"),"സ്ഥലം എഡിറ്റ് ചെയ്യുക")</f>
        <v>സ്ഥലം എഡിറ്റ് ചെയ്യുക</v>
      </c>
      <c r="F88" s="2" t="str">
        <f>IFERROR(__xludf.DUMMYFUNCTION("GOOGLETRANSLATE(B88,""en"",""te"")"),"స్థలాన్ని సవరించండి")</f>
        <v>స్థలాన్ని సవరించండి</v>
      </c>
      <c r="G88" s="2" t="str">
        <f>IFERROR(__xludf.DUMMYFUNCTION("GOOGLETRANSLATE(B88,""en"",""kn"")"),"ಸ್ಥಳವನ್ನು ಸಂಪಾದಿಸಿ")</f>
        <v>ಸ್ಥಳವನ್ನು ಸಂಪಾದಿಸಿ</v>
      </c>
    </row>
    <row r="89">
      <c r="A89" s="1" t="s">
        <v>181</v>
      </c>
      <c r="B89" s="1" t="s">
        <v>182</v>
      </c>
      <c r="C89" s="2" t="str">
        <f>IFERROR(__xludf.DUMMYFUNCTION("GOOGLETRANSLATE(B89,""en"",""ta"")"),"முகவரி")</f>
        <v>முகவரி</v>
      </c>
      <c r="D89" s="2" t="str">
        <f>IFERROR(__xludf.DUMMYFUNCTION("GOOGLETRANSLATE(B89,""en"",""hi"")"),"पता")</f>
        <v>पता</v>
      </c>
      <c r="E89" s="2" t="str">
        <f>IFERROR(__xludf.DUMMYFUNCTION("GOOGLETRANSLATE(B89,""en"",""ml"")"),"വിലാസം")</f>
        <v>വിലാസം</v>
      </c>
      <c r="F89" s="2" t="str">
        <f>IFERROR(__xludf.DUMMYFUNCTION("GOOGLETRANSLATE(B89,""en"",""te"")"),"చిరునామా")</f>
        <v>చిరునామా</v>
      </c>
      <c r="G89" s="2" t="str">
        <f>IFERROR(__xludf.DUMMYFUNCTION("GOOGLETRANSLATE(B89,""en"",""kn"")"),"ವಿಳಾಸ")</f>
        <v>ವಿಳಾಸ</v>
      </c>
    </row>
    <row r="90">
      <c r="A90" s="1" t="s">
        <v>183</v>
      </c>
      <c r="B90" s="1" t="s">
        <v>184</v>
      </c>
      <c r="C90" s="2" t="str">
        <f>IFERROR(__xludf.DUMMYFUNCTION("GOOGLETRANSLATE(B90,""en"",""ta"")"),"என சேமிக்கவும்")</f>
        <v>என சேமிக்கவும்</v>
      </c>
      <c r="D90" s="2" t="str">
        <f>IFERROR(__xludf.DUMMYFUNCTION("GOOGLETRANSLATE(B90,""en"",""hi"")"),"के रूप रक्षित करें")</f>
        <v>के रूप रक्षित करें</v>
      </c>
      <c r="E90" s="2" t="str">
        <f>IFERROR(__xludf.DUMMYFUNCTION("GOOGLETRANSLATE(B90,""en"",""ml"")"),"ആയി സംരക്ഷിക്കുക")</f>
        <v>ആയി സംരക്ഷിക്കുക</v>
      </c>
      <c r="F90" s="2" t="str">
        <f>IFERROR(__xludf.DUMMYFUNCTION("GOOGLETRANSLATE(B90,""en"",""te"")"),"ఇలా సేవ్ చేయండి")</f>
        <v>ఇలా సేవ్ చేయండి</v>
      </c>
      <c r="G90" s="2" t="str">
        <f>IFERROR(__xludf.DUMMYFUNCTION("GOOGLETRANSLATE(B90,""en"",""kn"")"),"ಹೀಗೆ ಉಳಿಸಿ")</f>
        <v>ಹೀಗೆ ಉಳಿಸಿ</v>
      </c>
    </row>
    <row r="91">
      <c r="A91" s="1" t="s">
        <v>185</v>
      </c>
      <c r="B91" s="1" t="s">
        <v>186</v>
      </c>
      <c r="C91" s="2" t="str">
        <f>IFERROR(__xludf.DUMMYFUNCTION("GOOGLETRANSLATE(B91,""en"",""ta"")"),"வீடு")</f>
        <v>வீடு</v>
      </c>
      <c r="D91" s="2" t="str">
        <f>IFERROR(__xludf.DUMMYFUNCTION("GOOGLETRANSLATE(B91,""en"",""hi"")"),"घर")</f>
        <v>घर</v>
      </c>
      <c r="E91" s="2" t="str">
        <f>IFERROR(__xludf.DUMMYFUNCTION("GOOGLETRANSLATE(B91,""en"",""ml"")"),"വീട്")</f>
        <v>വീട്</v>
      </c>
      <c r="F91" s="2" t="str">
        <f>IFERROR(__xludf.DUMMYFUNCTION("GOOGLETRANSLATE(B91,""en"",""te"")"),"హోమ్")</f>
        <v>హోమ్</v>
      </c>
      <c r="G91" s="2" t="str">
        <f>IFERROR(__xludf.DUMMYFUNCTION("GOOGLETRANSLATE(B91,""en"",""kn"")"),"ಮುಖಪುಟ")</f>
        <v>ಮುಖಪುಟ</v>
      </c>
    </row>
    <row r="92">
      <c r="A92" s="1" t="s">
        <v>187</v>
      </c>
      <c r="B92" s="1" t="s">
        <v>188</v>
      </c>
      <c r="C92" s="2" t="str">
        <f>IFERROR(__xludf.DUMMYFUNCTION("GOOGLETRANSLATE(B92,""en"",""ta"")"),"வேலை")</f>
        <v>வேலை</v>
      </c>
      <c r="D92" s="2" t="str">
        <f>IFERROR(__xludf.DUMMYFUNCTION("GOOGLETRANSLATE(B92,""en"",""hi"")"),"काम")</f>
        <v>काम</v>
      </c>
      <c r="E92" s="2" t="str">
        <f>IFERROR(__xludf.DUMMYFUNCTION("GOOGLETRANSLATE(B92,""en"",""ml"")"),"ജോലി")</f>
        <v>ജോലി</v>
      </c>
      <c r="F92" s="2" t="str">
        <f>IFERROR(__xludf.DUMMYFUNCTION("GOOGLETRANSLATE(B92,""en"",""te"")"),"పని")</f>
        <v>పని</v>
      </c>
      <c r="G92" s="2" t="str">
        <f>IFERROR(__xludf.DUMMYFUNCTION("GOOGLETRANSLATE(B92,""en"",""kn"")"),"ಕೆಲಸ")</f>
        <v>ಕೆಲಸ</v>
      </c>
    </row>
    <row r="93">
      <c r="A93" s="1" t="s">
        <v>189</v>
      </c>
      <c r="B93" s="1" t="s">
        <v>190</v>
      </c>
      <c r="C93" s="2" t="str">
        <f>IFERROR(__xludf.DUMMYFUNCTION("GOOGLETRANSLATE(B93,""en"",""ta"")"),"மற்றவை")</f>
        <v>மற்றவை</v>
      </c>
      <c r="D93" s="2" t="str">
        <f>IFERROR(__xludf.DUMMYFUNCTION("GOOGLETRANSLATE(B93,""en"",""hi"")"),"अन्य")</f>
        <v>अन्य</v>
      </c>
      <c r="E93" s="2" t="str">
        <f>IFERROR(__xludf.DUMMYFUNCTION("GOOGLETRANSLATE(B93,""en"",""ml"")"),"മറ്റുള്ളവ")</f>
        <v>മറ്റുള്ളവ</v>
      </c>
      <c r="F93" s="2" t="str">
        <f>IFERROR(__xludf.DUMMYFUNCTION("GOOGLETRANSLATE(B93,""en"",""te"")"),"ఇతర")</f>
        <v>ఇతర</v>
      </c>
      <c r="G93" s="2" t="str">
        <f>IFERROR(__xludf.DUMMYFUNCTION("GOOGLETRANSLATE(B93,""en"",""kn"")"),"ಇತರೆ")</f>
        <v>ಇತರೆ</v>
      </c>
    </row>
    <row r="94">
      <c r="A94" s="1" t="s">
        <v>191</v>
      </c>
      <c r="B94" s="1" t="s">
        <v>192</v>
      </c>
      <c r="C94" s="2" t="str">
        <f>IFERROR(__xludf.DUMMYFUNCTION("GOOGLETRANSLATE(B94,""en"",""ta"")"),"தனிப்பயன் புனைப்பெயர்")</f>
        <v>தனிப்பயன் புனைப்பெயர்</v>
      </c>
      <c r="D94" s="2" t="str">
        <f>IFERROR(__xludf.DUMMYFUNCTION("GOOGLETRANSLATE(B94,""en"",""hi"")"),"कस्टम उपनाम")</f>
        <v>कस्टम उपनाम</v>
      </c>
      <c r="E94" s="2" t="str">
        <f>IFERROR(__xludf.DUMMYFUNCTION("GOOGLETRANSLATE(B94,""en"",""ml"")"),"ഇഷ്ടാനുസൃത വിളിപ്പേര്")</f>
        <v>ഇഷ്ടാനുസൃത വിളിപ്പേര്</v>
      </c>
      <c r="F94" s="2" t="str">
        <f>IFERROR(__xludf.DUMMYFUNCTION("GOOGLETRANSLATE(B94,""en"",""te"")"),"అనుకూల మారుపేరు")</f>
        <v>అనుకూల మారుపేరు</v>
      </c>
      <c r="G94" s="2" t="str">
        <f>IFERROR(__xludf.DUMMYFUNCTION("GOOGLETRANSLATE(B94,""en"",""kn"")"),"ಕಸ್ಟಮ್ ಅಡ್ಡಹೆಸರು")</f>
        <v>ಕಸ್ಟಮ್ ಅಡ್ಡಹೆಸರು</v>
      </c>
    </row>
    <row r="95">
      <c r="A95" s="1" t="s">
        <v>193</v>
      </c>
      <c r="B95" s="1" t="s">
        <v>194</v>
      </c>
      <c r="C95" s="2" t="str">
        <f>IFERROR(__xludf.DUMMYFUNCTION("GOOGLETRANSLATE(B95,""en"",""ta"")"),"இந்த இடத்திற்கான புனைப்பெயரை உள்ளிடவும்")</f>
        <v>இந்த இடத்திற்கான புனைப்பெயரை உள்ளிடவும்</v>
      </c>
      <c r="D95" s="2" t="str">
        <f>IFERROR(__xludf.DUMMYFUNCTION("GOOGLETRANSLATE(B95,""en"",""hi"")"),"इस स्थान के लिए उपनाम दर्ज करें")</f>
        <v>इस स्थान के लिए उपनाम दर्ज करें</v>
      </c>
      <c r="E95" s="2" t="str">
        <f>IFERROR(__xludf.DUMMYFUNCTION("GOOGLETRANSLATE(B95,""en"",""ml"")"),"ഈ സ്ഥലത്തിന് വിളിപ്പേര് നൽകുക")</f>
        <v>ഈ സ്ഥലത്തിന് വിളിപ്പേര് നൽകുക</v>
      </c>
      <c r="F95" s="2" t="str">
        <f>IFERROR(__xludf.DUMMYFUNCTION("GOOGLETRANSLATE(B95,""en"",""te"")"),"ఈ స్థలానికి మారుపేరును నమోదు చేయండి")</f>
        <v>ఈ స్థలానికి మారుపేరును నమోదు చేయండి</v>
      </c>
      <c r="G95" s="2" t="str">
        <f>IFERROR(__xludf.DUMMYFUNCTION("GOOGLETRANSLATE(B95,""en"",""kn"")"),"ಈ ಸ್ಥಳಕ್ಕೆ ಅಡ್ಡಹೆಸರನ್ನು ನಮೂದಿಸಿ")</f>
        <v>ಈ ಸ್ಥಳಕ್ಕೆ ಅಡ್ಡಹೆಸರನ್ನು ನಮೂದಿಸಿ</v>
      </c>
    </row>
    <row r="96">
      <c r="A96" s="1" t="s">
        <v>195</v>
      </c>
      <c r="B96" s="1" t="s">
        <v>196</v>
      </c>
      <c r="C96" s="2" t="str">
        <f>IFERROR(__xludf.DUMMYFUNCTION("GOOGLETRANSLATE(B96,""en"",""ta"")"),"இடத்தை சேமிக்கவும்")</f>
        <v>இடத்தை சேமிக்கவும்</v>
      </c>
      <c r="D96" s="2" t="str">
        <f>IFERROR(__xludf.DUMMYFUNCTION("GOOGLETRANSLATE(B96,""en"",""hi"")"),"जगह बचाएँ")</f>
        <v>जगह बचाएँ</v>
      </c>
      <c r="E96" s="2" t="str">
        <f>IFERROR(__xludf.DUMMYFUNCTION("GOOGLETRANSLATE(B96,""en"",""ml"")"),"സ്ഥലം സംരക്ഷിക്കുക")</f>
        <v>സ്ഥലം സംരക്ഷിക്കുക</v>
      </c>
      <c r="F96" s="2" t="str">
        <f>IFERROR(__xludf.DUMMYFUNCTION("GOOGLETRANSLATE(B96,""en"",""te"")"),"స్థలాన్ని సేవ్ చేయండి")</f>
        <v>స్థలాన్ని సేవ్ చేయండి</v>
      </c>
      <c r="G96" s="2" t="str">
        <f>IFERROR(__xludf.DUMMYFUNCTION("GOOGLETRANSLATE(B96,""en"",""kn"")"),"ಸ್ಥಳವನ್ನು ಉಳಿಸಿ")</f>
        <v>ಸ್ಥಳವನ್ನು ಉಳಿಸಿ</v>
      </c>
    </row>
    <row r="97">
      <c r="A97" s="1" t="s">
        <v>197</v>
      </c>
      <c r="B97" s="1" t="s">
        <v>198</v>
      </c>
      <c r="C97" s="2" t="str">
        <f>IFERROR(__xludf.DUMMYFUNCTION("GOOGLETRANSLATE(B97,""en"",""ta"")"),"இடத்தைப் புதுப்பிக்கவும்")</f>
        <v>இடத்தைப் புதுப்பிக்கவும்</v>
      </c>
      <c r="D97" s="2" t="str">
        <f>IFERROR(__xludf.DUMMYFUNCTION("GOOGLETRANSLATE(B97,""en"",""hi"")"),"स्थान अपडेट करें")</f>
        <v>स्थान अपडेट करें</v>
      </c>
      <c r="E97" s="2" t="str">
        <f>IFERROR(__xludf.DUMMYFUNCTION("GOOGLETRANSLATE(B97,""en"",""ml"")"),"സ്ഥലം അപ്ഡേറ്റ് ചെയ്യുക")</f>
        <v>സ്ഥലം അപ്ഡേറ്റ് ചെയ്യുക</v>
      </c>
      <c r="F97" s="2" t="str">
        <f>IFERROR(__xludf.DUMMYFUNCTION("GOOGLETRANSLATE(B97,""en"",""te"")"),"స్థలాన్ని నవీకరించండి")</f>
        <v>స్థలాన్ని నవీకరించండి</v>
      </c>
      <c r="G97" s="2" t="str">
        <f>IFERROR(__xludf.DUMMYFUNCTION("GOOGLETRANSLATE(B97,""en"",""kn"")"),"ಸ್ಥಳವನ್ನು ನವೀಕರಿಸಿ")</f>
        <v>ಸ್ಥಳವನ್ನು ನವೀಕರಿಸಿ</v>
      </c>
    </row>
    <row r="98">
      <c r="A98" s="1" t="s">
        <v>199</v>
      </c>
      <c r="B98" s="1" t="s">
        <v>200</v>
      </c>
      <c r="C98" s="2" t="str">
        <f>IFERROR(__xludf.DUMMYFUNCTION("GOOGLETRANSLATE(B98,""en"",""ta"")"),"இடம் வெற்றிகரமாக சேமிக்கப்பட்டது")</f>
        <v>இடம் வெற்றிகரமாக சேமிக்கப்பட்டது</v>
      </c>
      <c r="D98" s="2" t="str">
        <f>IFERROR(__xludf.DUMMYFUNCTION("GOOGLETRANSLATE(B98,""en"",""hi"")"),"स्थान सफलतापूर्वक सहेजा गया")</f>
        <v>स्थान सफलतापूर्वक सहेजा गया</v>
      </c>
      <c r="E98" s="2" t="str">
        <f>IFERROR(__xludf.DUMMYFUNCTION("GOOGLETRANSLATE(B98,""en"",""ml"")"),"സ്ഥലം വിജയകരമായി സംരക്ഷിച്ചു")</f>
        <v>സ്ഥലം വിജയകരമായി സംരക്ഷിച്ചു</v>
      </c>
      <c r="F98" s="2" t="str">
        <f>IFERROR(__xludf.DUMMYFUNCTION("GOOGLETRANSLATE(B98,""en"",""te"")"),"స్థలం విజయవంతంగా సేవ్ చేయబడింది")</f>
        <v>స్థలం విజయవంతంగా సేవ్ చేయబడింది</v>
      </c>
      <c r="G98" s="2" t="str">
        <f>IFERROR(__xludf.DUMMYFUNCTION("GOOGLETRANSLATE(B98,""en"",""kn"")"),"ಸ್ಥಳವನ್ನು ಯಶಸ್ವಿಯಾಗಿ ಉಳಿಸಲಾಗಿದೆ")</f>
        <v>ಸ್ಥಳವನ್ನು ಯಶಸ್ವಿಯಾಗಿ ಉಳಿಸಲಾಗಿದೆ</v>
      </c>
    </row>
    <row r="99">
      <c r="A99" s="1" t="s">
        <v>201</v>
      </c>
      <c r="B99" s="1" t="s">
        <v>202</v>
      </c>
      <c r="C99" s="2" t="str">
        <f>IFERROR(__xludf.DUMMYFUNCTION("GOOGLETRANSLATE(B99,""en"",""ta"")"),"இடம் வெற்றிகரமாக புதுப்பிக்கப்பட்டது")</f>
        <v>இடம் வெற்றிகரமாக புதுப்பிக்கப்பட்டது</v>
      </c>
      <c r="D99" s="2" t="str">
        <f>IFERROR(__xludf.DUMMYFUNCTION("GOOGLETRANSLATE(B99,""en"",""hi"")"),"स्थान सफलतापूर्वक अपडेट किया गया")</f>
        <v>स्थान सफलतापूर्वक अपडेट किया गया</v>
      </c>
      <c r="E99" s="2" t="str">
        <f>IFERROR(__xludf.DUMMYFUNCTION("GOOGLETRANSLATE(B99,""en"",""ml"")"),"സ്ഥലം വിജയകരമായി അപ്ഡേറ്റ് ചെയ്തു")</f>
        <v>സ്ഥലം വിജയകരമായി അപ്ഡേറ്റ് ചെയ്തു</v>
      </c>
      <c r="F99" s="2" t="str">
        <f>IFERROR(__xludf.DUMMYFUNCTION("GOOGLETRANSLATE(B99,""en"",""te"")"),"స్థలం విజయవంతంగా నవీకరించబడింది")</f>
        <v>స్థలం విజయవంతంగా నవీకరించబడింది</v>
      </c>
      <c r="G99" s="2" t="str">
        <f>IFERROR(__xludf.DUMMYFUNCTION("GOOGLETRANSLATE(B99,""en"",""kn"")"),"ಸ್ಥಳವನ್ನು ಯಶಸ್ವಿಯಾಗಿ ನವೀಕರಿಸಲಾಗಿದೆ")</f>
        <v>ಸ್ಥಳವನ್ನು ಯಶಸ್ವಿಯಾಗಿ ನವೀಕರಿಸಲಾಗಿದೆ</v>
      </c>
    </row>
    <row r="100">
      <c r="A100" s="1" t="s">
        <v>203</v>
      </c>
      <c r="B100" s="1" t="s">
        <v>204</v>
      </c>
      <c r="C100" s="2" t="str">
        <f>IFERROR(__xludf.DUMMYFUNCTION("GOOGLETRANSLATE(B100,""en"",""ta"")"),"இடத்தை சேமிக்க முடியவில்லை")</f>
        <v>இடத்தை சேமிக்க முடியவில்லை</v>
      </c>
      <c r="D100" s="2" t="str">
        <f>IFERROR(__xludf.DUMMYFUNCTION("GOOGLETRANSLATE(B100,""en"",""hi"")"),"स्थान सहेजने में विफल")</f>
        <v>स्थान सहेजने में विफल</v>
      </c>
      <c r="E100" s="2" t="str">
        <f>IFERROR(__xludf.DUMMYFUNCTION("GOOGLETRANSLATE(B100,""en"",""ml"")"),"സ്ഥലം സംരക്ഷിക്കുന്നതിൽ പരാജയപ്പെട്ടു")</f>
        <v>സ്ഥലം സംരക്ഷിക്കുന്നതിൽ പരാജയപ്പെട്ടു</v>
      </c>
      <c r="F100" s="2" t="str">
        <f>IFERROR(__xludf.DUMMYFUNCTION("GOOGLETRANSLATE(B100,""en"",""te"")"),"స్థలాన్ని సేవ్ చేయడంలో విఫలమైంది")</f>
        <v>స్థలాన్ని సేవ్ చేయడంలో విఫలమైంది</v>
      </c>
      <c r="G100" s="2" t="str">
        <f>IFERROR(__xludf.DUMMYFUNCTION("GOOGLETRANSLATE(B100,""en"",""kn"")"),"ಸ್ಥಳವನ್ನು ಉಳಿಸಲು ವಿಫಲವಾಗಿದೆ")</f>
        <v>ಸ್ಥಳವನ್ನು ಉಳಿಸಲು ವಿಫಲವಾಗಿದೆ</v>
      </c>
    </row>
    <row r="101">
      <c r="A101" s="1" t="s">
        <v>205</v>
      </c>
      <c r="B101" s="1" t="s">
        <v>206</v>
      </c>
      <c r="C101" s="2" t="str">
        <f>IFERROR(__xludf.DUMMYFUNCTION("GOOGLETRANSLATE(B101,""en"",""ta"")"),"இடத்தைப் புதுப்பிக்க முடியவில்லை")</f>
        <v>இடத்தைப் புதுப்பிக்க முடியவில்லை</v>
      </c>
      <c r="D101" s="2" t="str">
        <f>IFERROR(__xludf.DUMMYFUNCTION("GOOGLETRANSLATE(B101,""en"",""hi"")"),"स्थान अपडेट करने में विफल")</f>
        <v>स्थान अपडेट करने में विफल</v>
      </c>
      <c r="E101" s="2" t="str">
        <f>IFERROR(__xludf.DUMMYFUNCTION("GOOGLETRANSLATE(B101,""en"",""ml"")"),"സ്ഥലം അപ്ഡേറ്റ് ചെയ്യാനായില്ല")</f>
        <v>സ്ഥലം അപ്ഡേറ്റ് ചെയ്യാനായില്ല</v>
      </c>
      <c r="F101" s="2" t="str">
        <f>IFERROR(__xludf.DUMMYFUNCTION("GOOGLETRANSLATE(B101,""en"",""te"")"),"స్థలాన్ని నవీకరించడంలో విఫలమైంది")</f>
        <v>స్థలాన్ని నవీకరించడంలో విఫలమైంది</v>
      </c>
      <c r="G101" s="2" t="str">
        <f>IFERROR(__xludf.DUMMYFUNCTION("GOOGLETRANSLATE(B101,""en"",""kn"")"),"ಸ್ಥಳವನ್ನು ನವೀಕರಿಸಲು ವಿಫಲವಾಗಿದೆ")</f>
        <v>ಸ್ಥಳವನ್ನು ನವೀಕರಿಸಲು ವಿಫಲವಾಗಿದೆ</v>
      </c>
    </row>
    <row r="102">
      <c r="A102" s="1" t="s">
        <v>207</v>
      </c>
      <c r="B102" s="1" t="s">
        <v>208</v>
      </c>
      <c r="C102" s="2" t="str">
        <f>IFERROR(__xludf.DUMMYFUNCTION("GOOGLETRANSLATE(B102,""en"",""ta"")"),"இடத்தைப் புதுப்பிக்க முடியவில்லை. மீண்டும் முயற்சிக்கவும்.")</f>
        <v>இடத்தைப் புதுப்பிக்க முடியவில்லை. மீண்டும் முயற்சிக்கவும்.</v>
      </c>
      <c r="D102" s="2" t="str">
        <f>IFERROR(__xludf.DUMMYFUNCTION("GOOGLETRANSLATE(B102,""en"",""hi"")"),"स्थान अपडेट करने में विफल. कृपया पुनः प्रयास करें.")</f>
        <v>स्थान अपडेट करने में विफल. कृपया पुनः प्रयास करें.</v>
      </c>
      <c r="E102" s="2" t="str">
        <f>IFERROR(__xludf.DUMMYFUNCTION("GOOGLETRANSLATE(B102,""en"",""ml"")"),"സ്ഥലം അപ്ഡേറ്റ് ചെയ്യാനായില്ല. ദയവായി വീണ്ടും ശ്രമിക്കുക.")</f>
        <v>സ്ഥലം അപ്ഡേറ്റ് ചെയ്യാനായില്ല. ദയവായി വീണ്ടും ശ്രമിക്കുക.</v>
      </c>
      <c r="F102" s="2" t="str">
        <f>IFERROR(__xludf.DUMMYFUNCTION("GOOGLETRANSLATE(B102,""en"",""te"")"),"స్థలాన్ని నవీకరించడంలో విఫలమైంది. దయచేసి మళ్లీ ప్రయత్నించండి.")</f>
        <v>స్థలాన్ని నవీకరించడంలో విఫలమైంది. దయచేసి మళ్లీ ప్రయత్నించండి.</v>
      </c>
      <c r="G102" s="2" t="str">
        <f>IFERROR(__xludf.DUMMYFUNCTION("GOOGLETRANSLATE(B102,""en"",""kn"")"),"ಸ್ಥಳವನ್ನು ನವೀಕರಿಸಲು ವಿಫಲವಾಗಿದೆ. ದಯವಿಟ್ಟು ಮತ್ತೆ ಪ್ರಯತ್ನಿಸಿ.")</f>
        <v>ಸ್ಥಳವನ್ನು ನವೀಕರಿಸಲು ವಿಫಲವಾಗಿದೆ. ದಯವಿಟ್ಟು ಮತ್ತೆ ಪ್ರಯತ್ನಿಸಿ.</v>
      </c>
    </row>
    <row r="103">
      <c r="A103" s="1" t="s">
        <v>209</v>
      </c>
      <c r="B103" s="1" t="s">
        <v>210</v>
      </c>
      <c r="C103" s="2" t="str">
        <f>IFERROR(__xludf.DUMMYFUNCTION("GOOGLETRANSLATE(B103,""en"",""ta"")"),"டிக்கெட்டுகளைத் தேடு...")</f>
        <v>டிக்கெட்டுகளைத் தேடு...</v>
      </c>
      <c r="D103" s="2" t="str">
        <f>IFERROR(__xludf.DUMMYFUNCTION("GOOGLETRANSLATE(B103,""en"",""hi"")"),"टिकट खोजें...")</f>
        <v>टिकट खोजें...</v>
      </c>
      <c r="E103" s="2" t="str">
        <f>IFERROR(__xludf.DUMMYFUNCTION("GOOGLETRANSLATE(B103,""en"",""ml"")"),"ടിക്കറ്റുകൾ തിരയുക...")</f>
        <v>ടിക്കറ്റുകൾ തിരയുക...</v>
      </c>
      <c r="F103" s="2" t="str">
        <f>IFERROR(__xludf.DUMMYFUNCTION("GOOGLETRANSLATE(B103,""en"",""te"")"),"టిక్కెట్లను శోధించండి...")</f>
        <v>టిక్కెట్లను శోధించండి...</v>
      </c>
      <c r="G103" s="2" t="str">
        <f>IFERROR(__xludf.DUMMYFUNCTION("GOOGLETRANSLATE(B103,""en"",""kn"")"),"ಟಿಕೆಟ್‌ಗಳನ್ನು ಹುಡುಕಿ...")</f>
        <v>ಟಿಕೆಟ್‌ಗಳನ್ನು ಹುಡುಕಿ...</v>
      </c>
    </row>
    <row r="104">
      <c r="A104" s="1" t="s">
        <v>211</v>
      </c>
      <c r="B104" s="1" t="s">
        <v>212</v>
      </c>
      <c r="C104" s="2" t="str">
        <f>IFERROR(__xludf.DUMMYFUNCTION("GOOGLETRANSLATE(B104,""en"",""ta"")"),"திற")</f>
        <v>திற</v>
      </c>
      <c r="D104" s="2" t="str">
        <f>IFERROR(__xludf.DUMMYFUNCTION("GOOGLETRANSLATE(B104,""en"",""hi"")"),"खुला")</f>
        <v>खुला</v>
      </c>
      <c r="E104" s="2" t="str">
        <f>IFERROR(__xludf.DUMMYFUNCTION("GOOGLETRANSLATE(B104,""en"",""ml"")"),"തുറക്കുക")</f>
        <v>തുറക്കുക</v>
      </c>
      <c r="F104" s="2" t="str">
        <f>IFERROR(__xludf.DUMMYFUNCTION("GOOGLETRANSLATE(B104,""en"",""te"")"),"తెరవండి")</f>
        <v>తెరవండి</v>
      </c>
      <c r="G104" s="2" t="str">
        <f>IFERROR(__xludf.DUMMYFUNCTION("GOOGLETRANSLATE(B104,""en"",""kn"")"),"ತೆರೆಯಿರಿ")</f>
        <v>ತೆರೆಯಿರಿ</v>
      </c>
    </row>
    <row r="105">
      <c r="A105" s="1" t="s">
        <v>213</v>
      </c>
      <c r="B105" s="1" t="s">
        <v>214</v>
      </c>
      <c r="C105" s="2" t="str">
        <f>IFERROR(__xludf.DUMMYFUNCTION("GOOGLETRANSLATE(B105,""en"",""ta"")"),"செயல்பாட்டில் உள்ளது")</f>
        <v>செயல்பாட்டில் உள்ளது</v>
      </c>
      <c r="D105" s="2" t="str">
        <f>IFERROR(__xludf.DUMMYFUNCTION("GOOGLETRANSLATE(B105,""en"",""hi"")"),"प्रगति पर है")</f>
        <v>प्रगति पर है</v>
      </c>
      <c r="E105" s="2" t="str">
        <f>IFERROR(__xludf.DUMMYFUNCTION("GOOGLETRANSLATE(B105,""en"",""ml"")"),"പുരോഗതിയിൽ")</f>
        <v>പുരോഗതിയിൽ</v>
      </c>
      <c r="F105" s="2" t="str">
        <f>IFERROR(__xludf.DUMMYFUNCTION("GOOGLETRANSLATE(B105,""en"",""te"")"),"పురోగతిలో ఉంది")</f>
        <v>పురోగతిలో ఉంది</v>
      </c>
      <c r="G105" s="2" t="str">
        <f>IFERROR(__xludf.DUMMYFUNCTION("GOOGLETRANSLATE(B105,""en"",""kn"")"),"ಪ್ರಗತಿಯಲ್ಲಿದೆ")</f>
        <v>ಪ್ರಗತಿಯಲ್ಲಿದೆ</v>
      </c>
    </row>
    <row r="106">
      <c r="A106" s="1" t="s">
        <v>215</v>
      </c>
      <c r="B106" s="1" t="s">
        <v>216</v>
      </c>
      <c r="C106" s="2" t="str">
        <f>IFERROR(__xludf.DUMMYFUNCTION("GOOGLETRANSLATE(B106,""en"",""ta"")"),"தீர்க்கப்பட்டது")</f>
        <v>தீர்க்கப்பட்டது</v>
      </c>
      <c r="D106" s="2" t="str">
        <f>IFERROR(__xludf.DUMMYFUNCTION("GOOGLETRANSLATE(B106,""en"",""hi"")"),"हल किया")</f>
        <v>हल किया</v>
      </c>
      <c r="E106" s="2" t="str">
        <f>IFERROR(__xludf.DUMMYFUNCTION("GOOGLETRANSLATE(B106,""en"",""ml"")"),"പരിഹരിച്ചു")</f>
        <v>പരിഹരിച്ചു</v>
      </c>
      <c r="F106" s="2" t="str">
        <f>IFERROR(__xludf.DUMMYFUNCTION("GOOGLETRANSLATE(B106,""en"",""te"")"),"పరిష్కరించబడింది")</f>
        <v>పరిష్కరించబడింది</v>
      </c>
      <c r="G106" s="2" t="str">
        <f>IFERROR(__xludf.DUMMYFUNCTION("GOOGLETRANSLATE(B106,""en"",""kn"")"),"ಪರಿಹರಿಸಲಾಗಿದೆ")</f>
        <v>ಪರಿಹರಿಸಲಾಗಿದೆ</v>
      </c>
    </row>
    <row r="107">
      <c r="A107" s="1" t="s">
        <v>217</v>
      </c>
      <c r="B107" s="1" t="s">
        <v>218</v>
      </c>
      <c r="C107" s="2" t="str">
        <f>IFERROR(__xludf.DUMMYFUNCTION("GOOGLETRANSLATE(B107,""en"",""ta"")"),"மூடப்பட்டது")</f>
        <v>மூடப்பட்டது</v>
      </c>
      <c r="D107" s="2" t="str">
        <f>IFERROR(__xludf.DUMMYFUNCTION("GOOGLETRANSLATE(B107,""en"",""hi"")"),"बंद किया हुआ")</f>
        <v>बंद किया हुआ</v>
      </c>
      <c r="E107" s="2" t="str">
        <f>IFERROR(__xludf.DUMMYFUNCTION("GOOGLETRANSLATE(B107,""en"",""ml"")"),"അടച്ചു")</f>
        <v>അടച്ചു</v>
      </c>
      <c r="F107" s="2" t="str">
        <f>IFERROR(__xludf.DUMMYFUNCTION("GOOGLETRANSLATE(B107,""en"",""te"")"),"మూసివేయబడింది")</f>
        <v>మూసివేయబడింది</v>
      </c>
      <c r="G107" s="2" t="str">
        <f>IFERROR(__xludf.DUMMYFUNCTION("GOOGLETRANSLATE(B107,""en"",""kn"")"),"ಮುಚ್ಚಲಾಗಿದೆ")</f>
        <v>ಮುಚ್ಚಲಾಗಿದೆ</v>
      </c>
    </row>
    <row r="108">
      <c r="A108" s="1" t="s">
        <v>219</v>
      </c>
      <c r="B108" s="1" t="s">
        <v>220</v>
      </c>
      <c r="C108" s="2" t="str">
        <f>IFERROR(__xludf.DUMMYFUNCTION("GOOGLETRANSLATE(B108,""en"",""ta"")"),"டிக்கெட் எதுவும் கிடைக்கவில்லை")</f>
        <v>டிக்கெட் எதுவும் கிடைக்கவில்லை</v>
      </c>
      <c r="D108" s="2" t="str">
        <f>IFERROR(__xludf.DUMMYFUNCTION("GOOGLETRANSLATE(B108,""en"",""hi"")"),"कोई टिकट नहीं मिला")</f>
        <v>कोई टिकट नहीं मिला</v>
      </c>
      <c r="E108" s="2" t="str">
        <f>IFERROR(__xludf.DUMMYFUNCTION("GOOGLETRANSLATE(B108,""en"",""ml"")"),"ടിക്കറ്റുകളൊന്നും കണ്ടെത്തിയില്ല")</f>
        <v>ടിക്കറ്റുകളൊന്നും കണ്ടെത്തിയില്ല</v>
      </c>
      <c r="F108" s="2" t="str">
        <f>IFERROR(__xludf.DUMMYFUNCTION("GOOGLETRANSLATE(B108,""en"",""te"")"),"టిక్కెట్లు దొరకలేదు")</f>
        <v>టిక్కెట్లు దొరకలేదు</v>
      </c>
      <c r="G108" s="2" t="str">
        <f>IFERROR(__xludf.DUMMYFUNCTION("GOOGLETRANSLATE(B108,""en"",""kn"")"),"ಯಾವುದೇ ಟಿಕೆಟ್‌ಗಳು ಕಂಡುಬಂದಿಲ್ಲ")</f>
        <v>ಯಾವುದೇ ಟಿಕೆಟ್‌ಗಳು ಕಂಡುಬಂದಿಲ್ಲ</v>
      </c>
    </row>
    <row r="109">
      <c r="A109" s="1" t="s">
        <v>221</v>
      </c>
      <c r="B109" s="1" t="s">
        <v>222</v>
      </c>
      <c r="C109" s="2" t="str">
        <f>IFERROR(__xludf.DUMMYFUNCTION("GOOGLETRANSLATE(B109,""en"",""ta"")"),"உங்கள் தேடல் சொற்களை சரிசெய்ய முயற்சிக்கவும்")</f>
        <v>உங்கள் தேடல் சொற்களை சரிசெய்ய முயற்சிக்கவும்</v>
      </c>
      <c r="D109" s="2" t="str">
        <f>IFERROR(__xludf.DUMMYFUNCTION("GOOGLETRANSLATE(B109,""en"",""hi"")"),"अपने खोज शब्दों को समायोजित करने का प्रयास करें")</f>
        <v>अपने खोज शब्दों को समायोजित करने का प्रयास करें</v>
      </c>
      <c r="E109" s="2" t="str">
        <f>IFERROR(__xludf.DUMMYFUNCTION("GOOGLETRANSLATE(B109,""en"",""ml"")"),"നിങ്ങളുടെ തിരയൽ പദങ്ങൾ ക്രമീകരിക്കാൻ ശ്രമിക്കുക")</f>
        <v>നിങ്ങളുടെ തിരയൽ പദങ്ങൾ ക്രമീകരിക്കാൻ ശ്രമിക്കുക</v>
      </c>
      <c r="F109" s="2" t="str">
        <f>IFERROR(__xludf.DUMMYFUNCTION("GOOGLETRANSLATE(B109,""en"",""te"")"),"మీ శోధన పదాలను సర్దుబాటు చేయడానికి ప్రయత్నించండి")</f>
        <v>మీ శోధన పదాలను సర్దుబాటు చేయడానికి ప్రయత్నించండి</v>
      </c>
      <c r="G109" s="2" t="str">
        <f>IFERROR(__xludf.DUMMYFUNCTION("GOOGLETRANSLATE(B109,""en"",""kn"")"),"ನಿಮ್ಮ ಹುಡುಕಾಟ ಪದಗಳನ್ನು ಸರಿಹೊಂದಿಸಲು ಪ್ರಯತ್ನಿಸಿ")</f>
        <v>ನಿಮ್ಮ ಹುಡುಕಾಟ ಪದಗಳನ್ನು ಸರಿಹೊಂದಿಸಲು ಪ್ರಯತ್ನಿಸಿ</v>
      </c>
    </row>
    <row r="110">
      <c r="A110" s="1" t="s">
        <v>223</v>
      </c>
      <c r="B110" s="1" t="s">
        <v>224</v>
      </c>
      <c r="C110" s="2" t="str">
        <f>IFERROR(__xludf.DUMMYFUNCTION("GOOGLETRANSLATE(B110,""en"",""ta"")"),"உங்கள் முதல் ஆதரவு டிக்கெட்டை உருவாக்கவும்")</f>
        <v>உங்கள் முதல் ஆதரவு டிக்கெட்டை உருவாக்கவும்</v>
      </c>
      <c r="D110" s="2" t="str">
        <f>IFERROR(__xludf.DUMMYFUNCTION("GOOGLETRANSLATE(B110,""en"",""hi"")"),"अपना पहला समर्थन टिकट बनाएँ")</f>
        <v>अपना पहला समर्थन टिकट बनाएँ</v>
      </c>
      <c r="E110" s="2" t="str">
        <f>IFERROR(__xludf.DUMMYFUNCTION("GOOGLETRANSLATE(B110,""en"",""ml"")"),"നിങ്ങളുടെ ആദ്യ പിന്തുണ ടിക്കറ്റ് സൃഷ്‌ടിക്കുക")</f>
        <v>നിങ്ങളുടെ ആദ്യ പിന്തുണ ടിക്കറ്റ് സൃഷ്‌ടിക്കുക</v>
      </c>
      <c r="F110" s="2" t="str">
        <f>IFERROR(__xludf.DUMMYFUNCTION("GOOGLETRANSLATE(B110,""en"",""te"")"),"మీ మొదటి మద్దతు టిక్కెట్‌ను సృష్టించండి")</f>
        <v>మీ మొదటి మద్దతు టిక్కెట్‌ను సృష్టించండి</v>
      </c>
      <c r="G110" s="2" t="str">
        <f>IFERROR(__xludf.DUMMYFUNCTION("GOOGLETRANSLATE(B110,""en"",""kn"")"),"ನಿಮ್ಮ ಮೊದಲ ಬೆಂಬಲ ಟಿಕೆಟ್ ಅನ್ನು ರಚಿಸಿ")</f>
        <v>ನಿಮ್ಮ ಮೊದಲ ಬೆಂಬಲ ಟಿಕೆಟ್ ಅನ್ನು ರಚಿಸಿ</v>
      </c>
    </row>
    <row r="111">
      <c r="A111" s="1" t="s">
        <v>225</v>
      </c>
      <c r="B111" s="1" t="s">
        <v>226</v>
      </c>
      <c r="C111" s="2" t="str">
        <f>IFERROR(__xludf.DUMMYFUNCTION("GOOGLETRANSLATE(B111,""en"",""ta"")"),"டிக்கெட்டை உருவாக்கவும்")</f>
        <v>டிக்கெட்டை உருவாக்கவும்</v>
      </c>
      <c r="D111" s="2" t="str">
        <f>IFERROR(__xludf.DUMMYFUNCTION("GOOGLETRANSLATE(B111,""en"",""hi"")"),"टिकट बनाएँ")</f>
        <v>टिकट बनाएँ</v>
      </c>
      <c r="E111" s="2" t="str">
        <f>IFERROR(__xludf.DUMMYFUNCTION("GOOGLETRANSLATE(B111,""en"",""ml"")"),"ടിക്കറ്റ് സൃഷ്ടിക്കുക")</f>
        <v>ടിക്കറ്റ് സൃഷ്ടിക്കുക</v>
      </c>
      <c r="F111" s="2" t="str">
        <f>IFERROR(__xludf.DUMMYFUNCTION("GOOGLETRANSLATE(B111,""en"",""te"")"),"టికెట్ సృష్టించండి")</f>
        <v>టికెట్ సృష్టించండి</v>
      </c>
      <c r="G111" s="2" t="str">
        <f>IFERROR(__xludf.DUMMYFUNCTION("GOOGLETRANSLATE(B111,""en"",""kn"")"),"ಟಿಕೆಟ್ ರಚಿಸಿ")</f>
        <v>ಟಿಕೆಟ್ ರಚಿಸಿ</v>
      </c>
    </row>
    <row r="112">
      <c r="A112" s="1" t="s">
        <v>227</v>
      </c>
      <c r="B112" s="1" t="s">
        <v>228</v>
      </c>
      <c r="C112" s="2" t="str">
        <f>IFERROR(__xludf.DUMMYFUNCTION("GOOGLETRANSLATE(B112,""en"",""ta"")"),"டிக்கெட் வெற்றிகரமாக உருவாக்கப்பட்டது!")</f>
        <v>டிக்கெட் வெற்றிகரமாக உருவாக்கப்பட்டது!</v>
      </c>
      <c r="D112" s="2" t="str">
        <f>IFERROR(__xludf.DUMMYFUNCTION("GOOGLETRANSLATE(B112,""en"",""hi"")"),"टिकट सफलतापूर्वक बनाया गया!")</f>
        <v>टिकट सफलतापूर्वक बनाया गया!</v>
      </c>
      <c r="E112" s="2" t="str">
        <f>IFERROR(__xludf.DUMMYFUNCTION("GOOGLETRANSLATE(B112,""en"",""ml"")"),"ടിക്കറ്റ് സൃഷ്‌ടിച്ചു!")</f>
        <v>ടിക്കറ്റ് സൃഷ്‌ടിച്ചു!</v>
      </c>
      <c r="F112" s="2" t="str">
        <f>IFERROR(__xludf.DUMMYFUNCTION("GOOGLETRANSLATE(B112,""en"",""te"")"),"టికెట్ విజయవంతంగా సృష్టించబడింది!")</f>
        <v>టికెట్ విజయవంతంగా సృష్టించబడింది!</v>
      </c>
      <c r="G112" s="2" t="str">
        <f>IFERROR(__xludf.DUMMYFUNCTION("GOOGLETRANSLATE(B112,""en"",""kn"")"),"ಟಿಕೆಟ್ ಅನ್ನು ಯಶಸ್ವಿಯಾಗಿ ರಚಿಸಲಾಗಿದೆ!")</f>
        <v>ಟಿಕೆಟ್ ಅನ್ನು ಯಶಸ್ವಿಯಾಗಿ ರಚಿಸಲಾಗಿದೆ!</v>
      </c>
    </row>
    <row r="113">
      <c r="A113" s="1" t="s">
        <v>229</v>
      </c>
      <c r="B113" s="1" t="s">
        <v>230</v>
      </c>
      <c r="C113" s="2" t="str">
        <f>IFERROR(__xludf.DUMMYFUNCTION("GOOGLETRANSLATE(B113,""en"",""ta"")"),"டிக்கெட்டை உருவாக்க முடியவில்லை. மீண்டும் முயற்சிக்கவும்.")</f>
        <v>டிக்கெட்டை உருவாக்க முடியவில்லை. மீண்டும் முயற்சிக்கவும்.</v>
      </c>
      <c r="D113" s="2" t="str">
        <f>IFERROR(__xludf.DUMMYFUNCTION("GOOGLETRANSLATE(B113,""en"",""hi"")"),"टिकट बनाने में विफल. कृपया पुनः प्रयास करें.")</f>
        <v>टिकट बनाने में विफल. कृपया पुनः प्रयास करें.</v>
      </c>
      <c r="E113" s="2" t="str">
        <f>IFERROR(__xludf.DUMMYFUNCTION("GOOGLETRANSLATE(B113,""en"",""ml"")"),"ടിക്കറ്റ് സൃഷ്‌ടിക്കുന്നതിൽ പരാജയപ്പെട്ടു. ദയവായി വീണ്ടും ശ്രമിക്കുക.")</f>
        <v>ടിക്കറ്റ് സൃഷ്‌ടിക്കുന്നതിൽ പരാജയപ്പെട്ടു. ദയവായി വീണ്ടും ശ്രമിക്കുക.</v>
      </c>
      <c r="F113" s="2" t="str">
        <f>IFERROR(__xludf.DUMMYFUNCTION("GOOGLETRANSLATE(B113,""en"",""te"")"),"టిక్కెట్‌ని సృష్టించడం విఫలమైంది. దయచేసి మళ్లీ ప్రయత్నించండి.")</f>
        <v>టిక్కెట్‌ని సృష్టించడం విఫలమైంది. దయచేసి మళ్లీ ప్రయత్నించండి.</v>
      </c>
      <c r="G113" s="2" t="str">
        <f>IFERROR(__xludf.DUMMYFUNCTION("GOOGLETRANSLATE(B113,""en"",""kn"")"),"ಟಿಕೆಟ್ ರಚಿಸಲು ವಿಫಲವಾಗಿದೆ. ದಯವಿಟ್ಟು ಮತ್ತೆ ಪ್ರಯತ್ನಿಸಿ.")</f>
        <v>ಟಿಕೆಟ್ ರಚಿಸಲು ವಿಫಲವಾಗಿದೆ. ದಯವಿಟ್ಟು ಮತ್ತೆ ಪ್ರಯತ್ನಿಸಿ.</v>
      </c>
    </row>
    <row r="114">
      <c r="A114" s="1" t="s">
        <v>231</v>
      </c>
      <c r="B114" s="1" t="s">
        <v>232</v>
      </c>
      <c r="C114" s="2" t="str">
        <f>IFERROR(__xludf.DUMMYFUNCTION("GOOGLETRANSLATE(B114,""en"",""ta"")"),"மீண்டும் முயற்சிக்கவும்")</f>
        <v>மீண்டும் முயற்சிக்கவும்</v>
      </c>
      <c r="D114" s="2" t="str">
        <f>IFERROR(__xludf.DUMMYFUNCTION("GOOGLETRANSLATE(B114,""en"",""hi"")"),"पुन: प्रयास करें")</f>
        <v>पुन: प्रयास करें</v>
      </c>
      <c r="E114" s="2" t="str">
        <f>IFERROR(__xludf.DUMMYFUNCTION("GOOGLETRANSLATE(B114,""en"",""ml"")"),"വീണ്ടും ശ്രമിക്കുക")</f>
        <v>വീണ്ടും ശ്രമിക്കുക</v>
      </c>
      <c r="F114" s="2" t="str">
        <f>IFERROR(__xludf.DUMMYFUNCTION("GOOGLETRANSLATE(B114,""en"",""te"")"),"మళ్లీ ప్రయత్నించండి")</f>
        <v>మళ్లీ ప్రయత్నించండి</v>
      </c>
      <c r="G114" s="2" t="str">
        <f>IFERROR(__xludf.DUMMYFUNCTION("GOOGLETRANSLATE(B114,""en"",""kn"")"),"ಮರುಪ್ರಯತ್ನಿಸಿ")</f>
        <v>ಮರುಪ್ರಯತ್ನಿಸಿ</v>
      </c>
    </row>
    <row r="115">
      <c r="A115" s="1" t="s">
        <v>233</v>
      </c>
      <c r="B115" s="1" t="s">
        <v>234</v>
      </c>
      <c r="C115" s="2" t="str">
        <f>IFERROR(__xludf.DUMMYFUNCTION("GOOGLETRANSLATE(B115,""en"",""ta"")"),"டிக்கெட்டுகளை ஏற்ற முடியவில்லை")</f>
        <v>டிக்கெட்டுகளை ஏற்ற முடியவில்லை</v>
      </c>
      <c r="D115" s="2" t="str">
        <f>IFERROR(__xludf.DUMMYFUNCTION("GOOGLETRANSLATE(B115,""en"",""hi"")"),"टिकट लोड करने में विफल")</f>
        <v>टिकट लोड करने में विफल</v>
      </c>
      <c r="E115" s="2" t="str">
        <f>IFERROR(__xludf.DUMMYFUNCTION("GOOGLETRANSLATE(B115,""en"",""ml"")"),"ടിക്കറ്റുകൾ ലോഡുചെയ്യുന്നതിൽ പരാജയപ്പെട്ടു")</f>
        <v>ടിക്കറ്റുകൾ ലോഡുചെയ്യുന്നതിൽ പരാജയപ്പെട്ടു</v>
      </c>
      <c r="F115" s="2" t="str">
        <f>IFERROR(__xludf.DUMMYFUNCTION("GOOGLETRANSLATE(B115,""en"",""te"")"),"టిక్కెట్‌లను లోడ్ చేయడంలో విఫలమైంది")</f>
        <v>టిక్కెట్‌లను లోడ్ చేయడంలో విఫలమైంది</v>
      </c>
      <c r="G115" s="2" t="str">
        <f>IFERROR(__xludf.DUMMYFUNCTION("GOOGLETRANSLATE(B115,""en"",""kn"")"),"ಟಿಕೆಟ್‌ಗಳನ್ನು ಲೋಡ್ ಮಾಡಲು ವಿಫಲವಾಗಿದೆ")</f>
        <v>ಟಿಕೆಟ್‌ಗಳನ್ನು ಲೋಡ್ ಮಾಡಲು ವಿಫಲವಾಗಿದೆ</v>
      </c>
    </row>
    <row r="116">
      <c r="A116" s="1" t="s">
        <v>235</v>
      </c>
      <c r="B116" s="1" t="s">
        <v>236</v>
      </c>
      <c r="C116" s="2" t="str">
        <f>IFERROR(__xludf.DUMMYFUNCTION("GOOGLETRANSLATE(B116,""en"",""ta"")"),"டிக்கெட்டுகளைப் புதுப்பிக்க முடியவில்லை")</f>
        <v>டிக்கெட்டுகளைப் புதுப்பிக்க முடியவில்லை</v>
      </c>
      <c r="D116" s="2" t="str">
        <f>IFERROR(__xludf.DUMMYFUNCTION("GOOGLETRANSLATE(B116,""en"",""hi"")"),"टिकट रीफ़्रेश करने में विफल")</f>
        <v>टिकट रीफ़्रेश करने में विफल</v>
      </c>
      <c r="E116" s="2" t="str">
        <f>IFERROR(__xludf.DUMMYFUNCTION("GOOGLETRANSLATE(B116,""en"",""ml"")"),"ടിക്കറ്റുകൾ പുതുക്കുന്നതിൽ പരാജയപ്പെട്ടു")</f>
        <v>ടിക്കറ്റുകൾ പുതുക്കുന്നതിൽ പരാജയപ്പെട്ടു</v>
      </c>
      <c r="F116" s="2" t="str">
        <f>IFERROR(__xludf.DUMMYFUNCTION("GOOGLETRANSLATE(B116,""en"",""te"")"),"టిక్కెట్‌లను రిఫ్రెష్ చేయడంలో విఫలమైంది")</f>
        <v>టిక్కెట్‌లను రిఫ్రెష్ చేయడంలో విఫలమైంది</v>
      </c>
      <c r="G116" s="2" t="str">
        <f>IFERROR(__xludf.DUMMYFUNCTION("GOOGLETRANSLATE(B116,""en"",""kn"")"),"ಟಿಕೆಟ್‌ಗಳನ್ನು ರಿಫ್ರೆಶ್ ಮಾಡಲು ವಿಫಲವಾಗಿದೆ")</f>
        <v>ಟಿಕೆಟ್‌ಗಳನ್ನು ರಿಫ್ರೆಶ್ ಮಾಡಲು ವಿಫಲವಾಗಿದೆ</v>
      </c>
    </row>
    <row r="117">
      <c r="A117" s="1" t="s">
        <v>237</v>
      </c>
      <c r="B117" s="1" t="s">
        <v>238</v>
      </c>
      <c r="C117" s="2" t="str">
        <f>IFERROR(__xludf.DUMMYFUNCTION("GOOGLETRANSLATE(B117,""en"",""ta"")"),"டிக்கெட் கிடைக்கவில்லை")</f>
        <v>டிக்கெட் கிடைக்கவில்லை</v>
      </c>
      <c r="D117" s="2" t="str">
        <f>IFERROR(__xludf.DUMMYFUNCTION("GOOGLETRANSLATE(B117,""en"",""hi"")"),"टिकट नहीं मिला")</f>
        <v>टिकट नहीं मिला</v>
      </c>
      <c r="E117" s="2" t="str">
        <f>IFERROR(__xludf.DUMMYFUNCTION("GOOGLETRANSLATE(B117,""en"",""ml"")"),"ടിക്കറ്റ് കണ്ടെത്തിയില്ല")</f>
        <v>ടിക്കറ്റ് കണ്ടെത്തിയില്ല</v>
      </c>
      <c r="F117" s="2" t="str">
        <f>IFERROR(__xludf.DUMMYFUNCTION("GOOGLETRANSLATE(B117,""en"",""te"")"),"టిక్కెట్టు దొరకలేదు")</f>
        <v>టిక్కెట్టు దొరకలేదు</v>
      </c>
      <c r="G117" s="2" t="str">
        <f>IFERROR(__xludf.DUMMYFUNCTION("GOOGLETRANSLATE(B117,""en"",""kn"")"),"ಟಿಕೆಟ್ ಸಿಕ್ಕಿಲ್ಲ")</f>
        <v>ಟಿಕೆಟ್ ಸಿಕ್ಕಿಲ್ಲ</v>
      </c>
    </row>
    <row r="118">
      <c r="A118" s="1" t="s">
        <v>239</v>
      </c>
      <c r="B118" s="1" t="s">
        <v>240</v>
      </c>
      <c r="C118" s="2" t="str">
        <f>IFERROR(__xludf.DUMMYFUNCTION("GOOGLETRANSLATE(B118,""en"",""ta"")"),"திரும்பி செல்")</f>
        <v>திரும்பி செல்</v>
      </c>
      <c r="D118" s="2" t="str">
        <f>IFERROR(__xludf.DUMMYFUNCTION("GOOGLETRANSLATE(B118,""en"",""hi"")"),"वापस जाओ")</f>
        <v>वापस जाओ</v>
      </c>
      <c r="E118" s="2" t="str">
        <f>IFERROR(__xludf.DUMMYFUNCTION("GOOGLETRANSLATE(B118,""en"",""ml"")"),"മടങ്ങിപ്പോവുക")</f>
        <v>മടങ്ങിപ്പോവുക</v>
      </c>
      <c r="F118" s="2" t="str">
        <f>IFERROR(__xludf.DUMMYFUNCTION("GOOGLETRANSLATE(B118,""en"",""te"")"),"వెనక్కి వెళ్ళు")</f>
        <v>వెనక్కి వెళ్ళు</v>
      </c>
      <c r="G118" s="2" t="str">
        <f>IFERROR(__xludf.DUMMYFUNCTION("GOOGLETRANSLATE(B118,""en"",""kn"")"),"ಹಿಂತಿರುಗಿ")</f>
        <v>ಹಿಂತಿರುಗಿ</v>
      </c>
    </row>
    <row r="119">
      <c r="A119" s="1" t="s">
        <v>241</v>
      </c>
      <c r="B119" s="1" t="s">
        <v>242</v>
      </c>
      <c r="C119" s="2" t="str">
        <f>IFERROR(__xludf.DUMMYFUNCTION("GOOGLETRANSLATE(B119,""en"",""ta"")"),"வகை:")</f>
        <v>வகை:</v>
      </c>
      <c r="D119" s="2" t="str">
        <f>IFERROR(__xludf.DUMMYFUNCTION("GOOGLETRANSLATE(B119,""en"",""hi"")"),"वर्ग:")</f>
        <v>वर्ग:</v>
      </c>
      <c r="E119" s="2" t="str">
        <f>IFERROR(__xludf.DUMMYFUNCTION("GOOGLETRANSLATE(B119,""en"",""ml"")"),"വിഭാഗം:")</f>
        <v>വിഭാഗം:</v>
      </c>
      <c r="F119" s="2" t="str">
        <f>IFERROR(__xludf.DUMMYFUNCTION("GOOGLETRANSLATE(B119,""en"",""te"")"),"వర్గం:")</f>
        <v>వర్గం:</v>
      </c>
      <c r="G119" s="2" t="str">
        <f>IFERROR(__xludf.DUMMYFUNCTION("GOOGLETRANSLATE(B119,""en"",""kn"")"),"ವರ್ಗ:")</f>
        <v>ವರ್ಗ:</v>
      </c>
    </row>
    <row r="120">
      <c r="A120" s="1" t="s">
        <v>243</v>
      </c>
      <c r="B120" s="1" t="s">
        <v>244</v>
      </c>
      <c r="C120" s="2" t="str">
        <f>IFERROR(__xludf.DUMMYFUNCTION("GOOGLETRANSLATE(B120,""en"",""ta"")"),"முன்னுரிமை:")</f>
        <v>முன்னுரிமை:</v>
      </c>
      <c r="D120" s="2" t="str">
        <f>IFERROR(__xludf.DUMMYFUNCTION("GOOGLETRANSLATE(B120,""en"",""hi"")"),"प्राथमिकता:")</f>
        <v>प्राथमिकता:</v>
      </c>
      <c r="E120" s="2" t="str">
        <f>IFERROR(__xludf.DUMMYFUNCTION("GOOGLETRANSLATE(B120,""en"",""ml"")"),"മുൻഗണന:")</f>
        <v>മുൻഗണന:</v>
      </c>
      <c r="F120" s="2" t="str">
        <f>IFERROR(__xludf.DUMMYFUNCTION("GOOGLETRANSLATE(B120,""en"",""te"")"),"ప్రాధాన్యత:")</f>
        <v>ప్రాధాన్యత:</v>
      </c>
      <c r="G120" s="2" t="str">
        <f>IFERROR(__xludf.DUMMYFUNCTION("GOOGLETRANSLATE(B120,""en"",""kn"")"),"ಆದ್ಯತೆ:")</f>
        <v>ಆದ್ಯತೆ:</v>
      </c>
    </row>
    <row r="121">
      <c r="A121" s="1" t="s">
        <v>245</v>
      </c>
      <c r="B121" s="1" t="s">
        <v>246</v>
      </c>
      <c r="C121" s="2" t="str">
        <f>IFERROR(__xludf.DUMMYFUNCTION("GOOGLETRANSLATE(B121,""en"",""ta"")"),"உருவாக்கப்பட்டது:")</f>
        <v>உருவாக்கப்பட்டது:</v>
      </c>
      <c r="D121" s="2" t="str">
        <f>IFERROR(__xludf.DUMMYFUNCTION("GOOGLETRANSLATE(B121,""en"",""hi"")"),"बनाया था:")</f>
        <v>बनाया था:</v>
      </c>
      <c r="E121" s="2" t="str">
        <f>IFERROR(__xludf.DUMMYFUNCTION("GOOGLETRANSLATE(B121,""en"",""ml"")"),"സൃഷ്ടിച്ചത്:")</f>
        <v>സൃഷ്ടിച്ചത്:</v>
      </c>
      <c r="F121" s="2" t="str">
        <f>IFERROR(__xludf.DUMMYFUNCTION("GOOGLETRANSLATE(B121,""en"",""te"")"),"సృష్టించబడింది:")</f>
        <v>సృష్టించబడింది:</v>
      </c>
      <c r="G121" s="2" t="str">
        <f>IFERROR(__xludf.DUMMYFUNCTION("GOOGLETRANSLATE(B121,""en"",""kn"")"),"ರಚಿಸಲಾಗಿದೆ:")</f>
        <v>ರಚಿಸಲಾಗಿದೆ:</v>
      </c>
    </row>
    <row r="122">
      <c r="A122" s="1" t="s">
        <v>247</v>
      </c>
      <c r="B122" s="1" t="s">
        <v>248</v>
      </c>
      <c r="C122" s="2" t="str">
        <f>IFERROR(__xludf.DUMMYFUNCTION("GOOGLETRANSLATE(B122,""en"",""ta"")"),"முகவர் தட்டச்சு செய்கிறார்...")</f>
        <v>முகவர் தட்டச்சு செய்கிறார்...</v>
      </c>
      <c r="D122" s="2" t="str">
        <f>IFERROR(__xludf.DUMMYFUNCTION("GOOGLETRANSLATE(B122,""en"",""hi"")"),"एजेंट टाइप कर रहा है...")</f>
        <v>एजेंट टाइप कर रहा है...</v>
      </c>
      <c r="E122" s="2" t="str">
        <f>IFERROR(__xludf.DUMMYFUNCTION("GOOGLETRANSLATE(B122,""en"",""ml"")"),"ഏജൻ്റ് ടൈപ്പ് ചെയ്യുന്നു...")</f>
        <v>ഏജൻ്റ് ടൈപ്പ് ചെയ്യുന്നു...</v>
      </c>
      <c r="F122" s="2" t="str">
        <f>IFERROR(__xludf.DUMMYFUNCTION("GOOGLETRANSLATE(B122,""en"",""te"")"),"ఏజెంట్ టైప్ చేస్తున్నారు...")</f>
        <v>ఏజెంట్ టైప్ చేస్తున్నారు...</v>
      </c>
      <c r="G122" s="2" t="str">
        <f>IFERROR(__xludf.DUMMYFUNCTION("GOOGLETRANSLATE(B122,""en"",""kn"")"),"ಏಜೆಂಟ್ ಟೈಪ್ ಮಾಡುತ್ತಿದ್ದಾರೆ...")</f>
        <v>ಏಜೆಂಟ್ ಟೈಪ್ ಮಾಡುತ್ತಿದ್ದಾರೆ...</v>
      </c>
    </row>
    <row r="123">
      <c r="A123" s="1" t="s">
        <v>249</v>
      </c>
      <c r="B123" s="1" t="s">
        <v>250</v>
      </c>
      <c r="C123" s="2" t="str">
        <f>IFERROR(__xludf.DUMMYFUNCTION("GOOGLETRANSLATE(B123,""en"",""ta"")"),"இதுவரை செய்திகள் இல்லை")</f>
        <v>இதுவரை செய்திகள் இல்லை</v>
      </c>
      <c r="D123" s="2" t="str">
        <f>IFERROR(__xludf.DUMMYFUNCTION("GOOGLETRANSLATE(B123,""en"",""hi"")"),"अभी तक कोई संदेश नहीं")</f>
        <v>अभी तक कोई संदेश नहीं</v>
      </c>
      <c r="E123" s="2" t="str">
        <f>IFERROR(__xludf.DUMMYFUNCTION("GOOGLETRANSLATE(B123,""en"",""ml"")"),"ഇതുവരെ സന്ദേശങ്ങളൊന്നുമില്ല")</f>
        <v>ഇതുവരെ സന്ദേശങ്ങളൊന്നുമില്ല</v>
      </c>
      <c r="F123" s="2" t="str">
        <f>IFERROR(__xludf.DUMMYFUNCTION("GOOGLETRANSLATE(B123,""en"",""te"")"),"ఇంకా సందేశాలు లేవు")</f>
        <v>ఇంకా సందేశాలు లేవు</v>
      </c>
      <c r="G123" s="2" t="str">
        <f>IFERROR(__xludf.DUMMYFUNCTION("GOOGLETRANSLATE(B123,""en"",""kn"")"),"ಇನ್ನೂ ಯಾವುದೇ ಸಂದೇಶಗಳಿಲ್ಲ")</f>
        <v>ಇನ್ನೂ ಯಾವುದೇ ಸಂದೇಶಗಳಿಲ್ಲ</v>
      </c>
    </row>
    <row r="124">
      <c r="A124" s="1" t="s">
        <v>251</v>
      </c>
      <c r="B124" s="1" t="s">
        <v>252</v>
      </c>
      <c r="C124" s="2" t="str">
        <f>IFERROR(__xludf.DUMMYFUNCTION("GOOGLETRANSLATE(B124,""en"",""ta"")"),"உங்கள் முதல் செய்தியை அனுப்புவதன் மூலம் உரையாடலைத் தொடங்கவும்")</f>
        <v>உங்கள் முதல் செய்தியை அனுப்புவதன் மூலம் உரையாடலைத் தொடங்கவும்</v>
      </c>
      <c r="D124" s="2" t="str">
        <f>IFERROR(__xludf.DUMMYFUNCTION("GOOGLETRANSLATE(B124,""en"",""hi"")"),"अपना पहला संदेश भेजकर बातचीत शुरू करें")</f>
        <v>अपना पहला संदेश भेजकर बातचीत शुरू करें</v>
      </c>
      <c r="E124" s="2" t="str">
        <f>IFERROR(__xludf.DUMMYFUNCTION("GOOGLETRANSLATE(B124,""en"",""ml"")"),"നിങ്ങളുടെ ആദ്യ സന്ദേശം അയച്ചുകൊണ്ട് സംഭാഷണം ആരംഭിക്കുക")</f>
        <v>നിങ്ങളുടെ ആദ്യ സന്ദേശം അയച്ചുകൊണ്ട് സംഭാഷണം ആരംഭിക്കുക</v>
      </c>
      <c r="F124" s="2" t="str">
        <f>IFERROR(__xludf.DUMMYFUNCTION("GOOGLETRANSLATE(B124,""en"",""te"")"),"మీ మొదటి సందేశాన్ని పంపడం ద్వారా సంభాషణను ప్రారంభించండి")</f>
        <v>మీ మొదటి సందేశాన్ని పంపడం ద్వారా సంభాషణను ప్రారంభించండి</v>
      </c>
      <c r="G124" s="2" t="str">
        <f>IFERROR(__xludf.DUMMYFUNCTION("GOOGLETRANSLATE(B124,""en"",""kn"")"),"ನಿಮ್ಮ ಮೊದಲ ಸಂದೇಶವನ್ನು ಕಳುಹಿಸುವ ಮೂಲಕ ಸಂಭಾಷಣೆಯನ್ನು ಪ್ರಾರಂಭಿಸಿ")</f>
        <v>ನಿಮ್ಮ ಮೊದಲ ಸಂದೇಶವನ್ನು ಕಳುಹಿಸುವ ಮೂಲಕ ಸಂಭಾಷಣೆಯನ್ನು ಪ್ರಾರಂಭಿಸಿ</v>
      </c>
    </row>
    <row r="125">
      <c r="A125" s="1" t="s">
        <v>253</v>
      </c>
      <c r="B125" s="1" t="s">
        <v>254</v>
      </c>
      <c r="C125" s="2" t="str">
        <f>IFERROR(__xludf.DUMMYFUNCTION("GOOGLETRANSLATE(B125,""en"",""ta"")"),"உங்கள் செய்தியை உள்ளிடவும்...")</f>
        <v>உங்கள் செய்தியை உள்ளிடவும்...</v>
      </c>
      <c r="D125" s="2" t="str">
        <f>IFERROR(__xludf.DUMMYFUNCTION("GOOGLETRANSLATE(B125,""en"",""hi"")"),"अपना संदेश लिखें...")</f>
        <v>अपना संदेश लिखें...</v>
      </c>
      <c r="E125" s="2" t="str">
        <f>IFERROR(__xludf.DUMMYFUNCTION("GOOGLETRANSLATE(B125,""en"",""ml"")"),"നിങ്ങളുടെ സന്ദേശം ടൈപ്പ് ചെയ്യുക...")</f>
        <v>നിങ്ങളുടെ സന്ദേശം ടൈപ്പ് ചെയ്യുക...</v>
      </c>
      <c r="F125" s="2" t="str">
        <f>IFERROR(__xludf.DUMMYFUNCTION("GOOGLETRANSLATE(B125,""en"",""te"")"),"మీ సందేశాన్ని టైప్ చేయండి...")</f>
        <v>మీ సందేశాన్ని టైప్ చేయండి...</v>
      </c>
      <c r="G125" s="2" t="str">
        <f>IFERROR(__xludf.DUMMYFUNCTION("GOOGLETRANSLATE(B125,""en"",""kn"")"),"ನಿಮ್ಮ ಸಂದೇಶವನ್ನು ಟೈಪ್ ಮಾಡಿ...")</f>
        <v>ನಿಮ್ಮ ಸಂದೇಶವನ್ನು ಟೈಪ್ ಮಾಡಿ...</v>
      </c>
    </row>
    <row r="126">
      <c r="A126" s="1" t="s">
        <v>255</v>
      </c>
      <c r="B126" s="1" t="s">
        <v>256</v>
      </c>
      <c r="C126" s="2" t="str">
        <f>IFERROR(__xludf.DUMMYFUNCTION("GOOGLETRANSLATE(B126,""en"",""ta"")"),"செய்தியை அனுப்ப முடியவில்லை. மீண்டும் முயற்சிக்கவும்.")</f>
        <v>செய்தியை அனுப்ப முடியவில்லை. மீண்டும் முயற்சிக்கவும்.</v>
      </c>
      <c r="D126" s="2" t="str">
        <f>IFERROR(__xludf.DUMMYFUNCTION("GOOGLETRANSLATE(B126,""en"",""hi"")"),"संदेश भेजने में विफल. कृपया पुनः प्रयास करें.")</f>
        <v>संदेश भेजने में विफल. कृपया पुनः प्रयास करें.</v>
      </c>
      <c r="E126" s="2" t="str">
        <f>IFERROR(__xludf.DUMMYFUNCTION("GOOGLETRANSLATE(B126,""en"",""ml"")"),"സന്ദേശം അയയ്‌ക്കുന്നതിൽ പരാജയപ്പെട്ടു. ദയവായി വീണ്ടും ശ്രമിക്കുക.")</f>
        <v>സന്ദേശം അയയ്‌ക്കുന്നതിൽ പരാജയപ്പെട്ടു. ദയവായി വീണ്ടും ശ്രമിക്കുക.</v>
      </c>
      <c r="F126" s="2" t="str">
        <f>IFERROR(__xludf.DUMMYFUNCTION("GOOGLETRANSLATE(B126,""en"",""te"")"),"సందేశాన్ని పంపడంలో విఫలమైంది. దయచేసి మళ్లీ ప్రయత్నించండి.")</f>
        <v>సందేశాన్ని పంపడంలో విఫలమైంది. దయచేసి మళ్లీ ప్రయత్నించండి.</v>
      </c>
      <c r="G126" s="2" t="str">
        <f>IFERROR(__xludf.DUMMYFUNCTION("GOOGLETRANSLATE(B126,""en"",""kn"")"),"ಸಂದೇಶ ಕಳುಹಿಸಲು ವಿಫಲವಾಗಿದೆ. ದಯವಿಟ್ಟು ಮತ್ತೆ ಪ್ರಯತ್ನಿಸಿ.")</f>
        <v>ಸಂದೇಶ ಕಳುಹಿಸಲು ವಿಫಲವಾಗಿದೆ. ದಯವಿಟ್ಟು ಮತ್ತೆ ಪ್ರಯತ್ನಿಸಿ.</v>
      </c>
    </row>
    <row r="127">
      <c r="A127" s="1" t="s">
        <v>257</v>
      </c>
      <c r="B127" s="1" t="s">
        <v>258</v>
      </c>
      <c r="C127" s="2" t="str">
        <f>IFERROR(__xludf.DUMMYFUNCTION("GOOGLETRANSLATE(B127,""en"",""ta"")"),"பயணத்தைத் தேர்ந்தெடுக்கவும்")</f>
        <v>பயணத்தைத் தேர்ந்தெடுக்கவும்</v>
      </c>
      <c r="D127" s="2" t="str">
        <f>IFERROR(__xludf.DUMMYFUNCTION("GOOGLETRANSLATE(B127,""en"",""hi"")"),"यात्रा का चयन करें")</f>
        <v>यात्रा का चयन करें</v>
      </c>
      <c r="E127" s="2" t="str">
        <f>IFERROR(__xludf.DUMMYFUNCTION("GOOGLETRANSLATE(B127,""en"",""ml"")"),"യാത്ര തിരഞ്ഞെടുക്കുക")</f>
        <v>യാത്ര തിരഞ്ഞെടുക്കുക</v>
      </c>
      <c r="F127" s="2" t="str">
        <f>IFERROR(__xludf.DUMMYFUNCTION("GOOGLETRANSLATE(B127,""en"",""te"")"),"యాత్రను ఎంచుకోండి")</f>
        <v>యాత్రను ఎంచుకోండి</v>
      </c>
      <c r="G127" s="2" t="str">
        <f>IFERROR(__xludf.DUMMYFUNCTION("GOOGLETRANSLATE(B127,""en"",""kn"")"),"ಟ್ರಿಪ್ ಆಯ್ಕೆಮಾಡಿ")</f>
        <v>ಟ್ರಿಪ್ ಆಯ್ಕೆಮಾಡಿ</v>
      </c>
    </row>
    <row r="128">
      <c r="A128" s="1" t="s">
        <v>259</v>
      </c>
      <c r="B128" s="1" t="s">
        <v>260</v>
      </c>
      <c r="C128" s="2" t="str">
        <f>IFERROR(__xludf.DUMMYFUNCTION("GOOGLETRANSLATE(B128,""en"",""ta"")"),"பயணங்களை ஏற்ற முடியவில்லை")</f>
        <v>பயணங்களை ஏற்ற முடியவில்லை</v>
      </c>
      <c r="D128" s="2" t="str">
        <f>IFERROR(__xludf.DUMMYFUNCTION("GOOGLETRANSLATE(B128,""en"",""hi"")"),"यात्राएं लोड करने में विफल")</f>
        <v>यात्राएं लोड करने में विफल</v>
      </c>
      <c r="E128" s="2" t="str">
        <f>IFERROR(__xludf.DUMMYFUNCTION("GOOGLETRANSLATE(B128,""en"",""ml"")"),"യാത്രകൾ ലോഡ് ചെയ്യാനായില്ല")</f>
        <v>യാത്രകൾ ലോഡ് ചെയ്യാനായില്ല</v>
      </c>
      <c r="F128" s="2" t="str">
        <f>IFERROR(__xludf.DUMMYFUNCTION("GOOGLETRANSLATE(B128,""en"",""te"")"),"పర్యటనలను లోడ్ చేయడంలో విఫలమైంది")</f>
        <v>పర్యటనలను లోడ్ చేయడంలో విఫలమైంది</v>
      </c>
      <c r="G128" s="2" t="str">
        <f>IFERROR(__xludf.DUMMYFUNCTION("GOOGLETRANSLATE(B128,""en"",""kn"")"),"ಟ್ರಿಪ್‌ಗಳನ್ನು ಲೋಡ್ ಮಾಡಲು ವಿಫಲವಾಗಿದೆ")</f>
        <v>ಟ್ರಿಪ್‌ಗಳನ್ನು ಲೋಡ್ ಮಾಡಲು ವಿಫಲವಾಗಿದೆ</v>
      </c>
    </row>
    <row r="129">
      <c r="A129" s="1" t="s">
        <v>261</v>
      </c>
      <c r="B129" s="1" t="s">
        <v>262</v>
      </c>
      <c r="C129" s="2" t="str">
        <f>IFERROR(__xludf.DUMMYFUNCTION("GOOGLETRANSLATE(B129,""en"",""ta"")"),"தேர்ந்தெடு")</f>
        <v>தேர்ந்தெடு</v>
      </c>
      <c r="D129" s="2" t="str">
        <f>IFERROR(__xludf.DUMMYFUNCTION("GOOGLETRANSLATE(B129,""en"",""hi"")"),"चुनना")</f>
        <v>चुनना</v>
      </c>
      <c r="E129" s="2" t="str">
        <f>IFERROR(__xludf.DUMMYFUNCTION("GOOGLETRANSLATE(B129,""en"",""ml"")"),"തിരഞ്ഞെടുക്കുക")</f>
        <v>തിരഞ്ഞെടുക്കുക</v>
      </c>
      <c r="F129" s="2" t="str">
        <f>IFERROR(__xludf.DUMMYFUNCTION("GOOGLETRANSLATE(B129,""en"",""te"")"),"ఎంచుకోండి")</f>
        <v>ఎంచుకోండి</v>
      </c>
      <c r="G129" s="2" t="str">
        <f>IFERROR(__xludf.DUMMYFUNCTION("GOOGLETRANSLATE(B129,""en"",""kn"")"),"ಆಯ್ಕೆ ಮಾಡಿ")</f>
        <v>ಆಯ್ಕೆ ಮಾಡಿ</v>
      </c>
    </row>
    <row r="130">
      <c r="A130" s="1" t="s">
        <v>263</v>
      </c>
      <c r="B130" s="1" t="s">
        <v>264</v>
      </c>
      <c r="C130" s="2" t="str">
        <f>IFERROR(__xludf.DUMMYFUNCTION("GOOGLETRANSLATE(B130,""en"",""ta"")"),"நிலை")</f>
        <v>நிலை</v>
      </c>
      <c r="D130" s="2" t="str">
        <f>IFERROR(__xludf.DUMMYFUNCTION("GOOGLETRANSLATE(B130,""en"",""hi"")"),"स्थिति")</f>
        <v>स्थिति</v>
      </c>
      <c r="E130" s="2" t="str">
        <f>IFERROR(__xludf.DUMMYFUNCTION("GOOGLETRANSLATE(B130,""en"",""ml"")"),"നില")</f>
        <v>നില</v>
      </c>
      <c r="F130" s="2" t="str">
        <f>IFERROR(__xludf.DUMMYFUNCTION("GOOGLETRANSLATE(B130,""en"",""te"")"),"స్థితి")</f>
        <v>స్థితి</v>
      </c>
      <c r="G130" s="2" t="str">
        <f>IFERROR(__xludf.DUMMYFUNCTION("GOOGLETRANSLATE(B130,""en"",""kn"")"),"ಸ್ಥಿತಿ")</f>
        <v>ಸ್ಥಿತಿ</v>
      </c>
    </row>
    <row r="131">
      <c r="A131" s="1" t="s">
        <v>265</v>
      </c>
      <c r="B131" s="1" t="s">
        <v>266</v>
      </c>
      <c r="C131" s="2" t="str">
        <f>IFERROR(__xludf.DUMMYFUNCTION("GOOGLETRANSLATE(B131,""en"",""ta"")"),"தேதி &amp; நேரம்")</f>
        <v>தேதி &amp; நேரம்</v>
      </c>
      <c r="D131" s="2" t="str">
        <f>IFERROR(__xludf.DUMMYFUNCTION("GOOGLETRANSLATE(B131,""en"",""hi"")"),"दिनांक समय")</f>
        <v>दिनांक समय</v>
      </c>
      <c r="E131" s="2" t="str">
        <f>IFERROR(__xludf.DUMMYFUNCTION("GOOGLETRANSLATE(B131,""en"",""ml"")"),"തീയതിയും സമയവും")</f>
        <v>തീയതിയും സമയവും</v>
      </c>
      <c r="F131" s="2" t="str">
        <f>IFERROR(__xludf.DUMMYFUNCTION("GOOGLETRANSLATE(B131,""en"",""te"")"),"తేదీ &amp; సమయం")</f>
        <v>తేదీ &amp; సమయం</v>
      </c>
      <c r="G131" s="2" t="str">
        <f>IFERROR(__xludf.DUMMYFUNCTION("GOOGLETRANSLATE(B131,""en"",""kn"")"),"ದಿನಾಂಕ ಮತ್ತು ಸಮಯ")</f>
        <v>ದಿನಾಂಕ ಮತ್ತು ಸಮಯ</v>
      </c>
    </row>
    <row r="132">
      <c r="A132" s="1" t="s">
        <v>267</v>
      </c>
      <c r="B132" s="1" t="s">
        <v>268</v>
      </c>
      <c r="C132" s="2" t="str">
        <f>IFERROR(__xludf.DUMMYFUNCTION("GOOGLETRANSLATE(B132,""en"",""ta"")"),"உங்கள் பயணத்தைத் திட்டமிடுங்கள்")</f>
        <v>உங்கள் பயணத்தைத் திட்டமிடுங்கள்</v>
      </c>
      <c r="D132" s="2" t="str">
        <f>IFERROR(__xludf.DUMMYFUNCTION("GOOGLETRANSLATE(B132,""en"",""hi"")"),"अपनी यात्रा की योजना बनाएं")</f>
        <v>अपनी यात्रा की योजना बनाएं</v>
      </c>
      <c r="E132" s="2" t="str">
        <f>IFERROR(__xludf.DUMMYFUNCTION("GOOGLETRANSLATE(B132,""en"",""ml"")"),"നിങ്ങളുടെ യാത്ര ആസൂത്രണം ചെയ്യുക")</f>
        <v>നിങ്ങളുടെ യാത്ര ആസൂത്രണം ചെയ്യുക</v>
      </c>
      <c r="F132" s="2" t="str">
        <f>IFERROR(__xludf.DUMMYFUNCTION("GOOGLETRANSLATE(B132,""en"",""te"")"),"మీ యాత్రను ప్లాన్ చేయండి")</f>
        <v>మీ యాత్రను ప్లాన్ చేయండి</v>
      </c>
      <c r="G132" s="2" t="str">
        <f>IFERROR(__xludf.DUMMYFUNCTION("GOOGLETRANSLATE(B132,""en"",""kn"")"),"ನಿಮ್ಮ ಪ್ರವಾಸವನ್ನು ಯೋಜಿಸಿ")</f>
        <v>ನಿಮ್ಮ ಪ್ರವಾಸವನ್ನು ಯೋಜಿಸಿ</v>
      </c>
    </row>
    <row r="133">
      <c r="A133" s="1" t="s">
        <v>269</v>
      </c>
      <c r="B133" s="1" t="s">
        <v>270</v>
      </c>
      <c r="C133" s="2" t="str">
        <f>IFERROR(__xludf.DUMMYFUNCTION("GOOGLETRANSLATE(B133,""en"",""ta"")"),"நானே")</f>
        <v>நானே</v>
      </c>
      <c r="D133" s="2" t="str">
        <f>IFERROR(__xludf.DUMMYFUNCTION("GOOGLETRANSLATE(B133,""en"",""hi"")"),"खुद")</f>
        <v>खुद</v>
      </c>
      <c r="E133" s="2" t="str">
        <f>IFERROR(__xludf.DUMMYFUNCTION("GOOGLETRANSLATE(B133,""en"",""ml"")"),"ഞാൻ തന്നെ")</f>
        <v>ഞാൻ തന്നെ</v>
      </c>
      <c r="F133" s="2" t="str">
        <f>IFERROR(__xludf.DUMMYFUNCTION("GOOGLETRANSLATE(B133,""en"",""te"")"),"నేనే")</f>
        <v>నేనే</v>
      </c>
      <c r="G133" s="2" t="str">
        <f>IFERROR(__xludf.DUMMYFUNCTION("GOOGLETRANSLATE(B133,""en"",""kn"")"),"ನಾನೇ")</f>
        <v>ನಾನೇ</v>
      </c>
    </row>
    <row r="134">
      <c r="A134" s="1" t="s">
        <v>271</v>
      </c>
      <c r="B134" s="1" t="s">
        <v>272</v>
      </c>
      <c r="C134" s="2" t="str">
        <f>IFERROR(__xludf.DUMMYFUNCTION("GOOGLETRANSLATE(B134,""en"",""ta"")"),"மற்றவை")</f>
        <v>மற்றவை</v>
      </c>
      <c r="D134" s="2" t="str">
        <f>IFERROR(__xludf.DUMMYFUNCTION("GOOGLETRANSLATE(B134,""en"",""hi"")"),"अन्य")</f>
        <v>अन्य</v>
      </c>
      <c r="E134" s="2" t="str">
        <f>IFERROR(__xludf.DUMMYFUNCTION("GOOGLETRANSLATE(B134,""en"",""ml"")"),"മറ്റുള്ളവ")</f>
        <v>മറ്റുള്ളവ</v>
      </c>
      <c r="F134" s="2" t="str">
        <f>IFERROR(__xludf.DUMMYFUNCTION("GOOGLETRANSLATE(B134,""en"",""te"")"),"ఇతరులు")</f>
        <v>ఇతరులు</v>
      </c>
      <c r="G134" s="2" t="str">
        <f>IFERROR(__xludf.DUMMYFUNCTION("GOOGLETRANSLATE(B134,""en"",""kn"")"),"ಇತರರು")</f>
        <v>ಇತರರು</v>
      </c>
    </row>
    <row r="135">
      <c r="A135" s="1" t="s">
        <v>273</v>
      </c>
      <c r="B135" s="1" t="s">
        <v>274</v>
      </c>
      <c r="C135" s="2" t="str">
        <f>IFERROR(__xludf.DUMMYFUNCTION("GOOGLETRANSLATE(B135,""en"",""ta"")"),"தொடரவும்")</f>
        <v>தொடரவும்</v>
      </c>
      <c r="D135" s="2" t="str">
        <f>IFERROR(__xludf.DUMMYFUNCTION("GOOGLETRANSLATE(B135,""en"",""hi"")"),"जारी रखना")</f>
        <v>जारी रखना</v>
      </c>
      <c r="E135" s="2" t="str">
        <f>IFERROR(__xludf.DUMMYFUNCTION("GOOGLETRANSLATE(B135,""en"",""ml"")"),"തുടരുക")</f>
        <v>തുടരുക</v>
      </c>
      <c r="F135" s="2" t="str">
        <f>IFERROR(__xludf.DUMMYFUNCTION("GOOGLETRANSLATE(B135,""en"",""te"")"),"కొనసాగించు")</f>
        <v>కొనసాగించు</v>
      </c>
      <c r="G135" s="2" t="str">
        <f>IFERROR(__xludf.DUMMYFUNCTION("GOOGLETRANSLATE(B135,""en"",""kn"")"),"ಮುಂದುವರಿಸಿ")</f>
        <v>ಮುಂದುವರಿಸಿ</v>
      </c>
    </row>
    <row r="136">
      <c r="A136" s="1" t="s">
        <v>275</v>
      </c>
      <c r="B136" s="1" t="s">
        <v>276</v>
      </c>
      <c r="C136" s="2" t="str">
        <f>IFERROR(__xludf.DUMMYFUNCTION("GOOGLETRANSLATE(B136,""en"",""ta"")"),"அட்டவணை சவாரி")</f>
        <v>அட்டவணை சவாரி</v>
      </c>
      <c r="D136" s="2" t="str">
        <f>IFERROR(__xludf.DUMMYFUNCTION("GOOGLETRANSLATE(B136,""en"",""hi"")"),"सवारी का शेड्यूल")</f>
        <v>सवारी का शेड्यूल</v>
      </c>
      <c r="E136" s="2" t="str">
        <f>IFERROR(__xludf.DUMMYFUNCTION("GOOGLETRANSLATE(B136,""en"",""ml"")"),"റൈഡ് ഷെഡ്യൂൾ ചെയ്യുക")</f>
        <v>റൈഡ് ഷെഡ്യൂൾ ചെയ്യുക</v>
      </c>
      <c r="F136" s="2" t="str">
        <f>IFERROR(__xludf.DUMMYFUNCTION("GOOGLETRANSLATE(B136,""en"",""te"")"),"షెడ్యూల్ రైడ్")</f>
        <v>షెడ్యూల్ రైడ్</v>
      </c>
      <c r="G136" s="2" t="str">
        <f>IFERROR(__xludf.DUMMYFUNCTION("GOOGLETRANSLATE(B136,""en"",""kn"")"),"ವೇಳಾಪಟ್ಟಿ ರೈಡ್")</f>
        <v>ವೇಳಾಪಟ್ಟಿ ರೈಡ್</v>
      </c>
    </row>
    <row r="137">
      <c r="A137" s="1" t="s">
        <v>277</v>
      </c>
      <c r="B137" s="1" t="s">
        <v>278</v>
      </c>
      <c r="C137" s="2" t="str">
        <f>IFERROR(__xludf.DUMMYFUNCTION("GOOGLETRANSLATE(B137,""en"",""ta"")"),"சவாரி வகை")</f>
        <v>சவாரி வகை</v>
      </c>
      <c r="D137" s="2" t="str">
        <f>IFERROR(__xludf.DUMMYFUNCTION("GOOGLETRANSLATE(B137,""en"",""hi"")"),"सवारी का प्रकार")</f>
        <v>सवारी का प्रकार</v>
      </c>
      <c r="E137" s="2" t="str">
        <f>IFERROR(__xludf.DUMMYFUNCTION("GOOGLETRANSLATE(B137,""en"",""ml"")"),"റൈഡ് തരം")</f>
        <v>റൈഡ് തരം</v>
      </c>
      <c r="F137" s="2" t="str">
        <f>IFERROR(__xludf.DUMMYFUNCTION("GOOGLETRANSLATE(B137,""en"",""te"")"),"రైడ్ రకం")</f>
        <v>రైడ్ రకం</v>
      </c>
      <c r="G137" s="2" t="str">
        <f>IFERROR(__xludf.DUMMYFUNCTION("GOOGLETRANSLATE(B137,""en"",""kn"")"),"ರೈಡ್ ಪ್ರಕಾರ")</f>
        <v>ರೈಡ್ ಪ್ರಕಾರ</v>
      </c>
    </row>
    <row r="138">
      <c r="A138" s="1" t="s">
        <v>279</v>
      </c>
      <c r="B138" s="1" t="s">
        <v>280</v>
      </c>
      <c r="C138" s="2" t="str">
        <f>IFERROR(__xludf.DUMMYFUNCTION("GOOGLETRANSLATE(B138,""en"",""ta"")"),"பயணம்")</f>
        <v>பயணம்</v>
      </c>
      <c r="D138" s="2" t="str">
        <f>IFERROR(__xludf.DUMMYFUNCTION("GOOGLETRANSLATE(B138,""en"",""hi"")"),"यात्रा के लिए")</f>
        <v>यात्रा के लिए</v>
      </c>
      <c r="E138" s="2" t="str">
        <f>IFERROR(__xludf.DUMMYFUNCTION("GOOGLETRANSLATE(B138,""en"",""ml"")"),"വേണ്ടിയുള്ള യാത്ര")</f>
        <v>വേണ്ടിയുള്ള യാത്ര</v>
      </c>
      <c r="F138" s="2" t="str">
        <f>IFERROR(__xludf.DUMMYFUNCTION("GOOGLETRANSLATE(B138,""en"",""te"")"),"ట్రిప్ కోసం")</f>
        <v>ట్రిప్ కోసం</v>
      </c>
      <c r="G138" s="2" t="str">
        <f>IFERROR(__xludf.DUMMYFUNCTION("GOOGLETRANSLATE(B138,""en"",""kn"")"),"ಗಾಗಿ ಪ್ರವಾಸ")</f>
        <v>ಗಾಗಿ ಪ್ರವಾಸ</v>
      </c>
    </row>
    <row r="139">
      <c r="A139" s="1" t="s">
        <v>281</v>
      </c>
      <c r="B139" s="1" t="s">
        <v>282</v>
      </c>
      <c r="C139" s="2" t="str">
        <f>IFERROR(__xludf.DUMMYFUNCTION("GOOGLETRANSLATE(B139,""en"",""ta"")"),"பிக்கப் இடம்")</f>
        <v>பிக்கப் இடம்</v>
      </c>
      <c r="D139" s="2" t="str">
        <f>IFERROR(__xludf.DUMMYFUNCTION("GOOGLETRANSLATE(B139,""en"",""hi"")"),"लेने की जगह")</f>
        <v>लेने की जगह</v>
      </c>
      <c r="E139" s="2" t="str">
        <f>IFERROR(__xludf.DUMMYFUNCTION("GOOGLETRANSLATE(B139,""en"",""ml"")"),"പിക്കപ്പ് ലൊക്കേഷൻ")</f>
        <v>പിക്കപ്പ് ലൊക്കേഷൻ</v>
      </c>
      <c r="F139" s="2" t="str">
        <f>IFERROR(__xludf.DUMMYFUNCTION("GOOGLETRANSLATE(B139,""en"",""te"")"),"పికప్ స్థానం")</f>
        <v>పికప్ స్థానం</v>
      </c>
      <c r="G139" s="2" t="str">
        <f>IFERROR(__xludf.DUMMYFUNCTION("GOOGLETRANSLATE(B139,""en"",""kn"")"),"ಪಿಕಪ್ ಸ್ಥಳ")</f>
        <v>ಪಿಕಪ್ ಸ್ಥಳ</v>
      </c>
    </row>
    <row r="140">
      <c r="A140" s="1" t="s">
        <v>283</v>
      </c>
      <c r="B140" s="1" t="s">
        <v>284</v>
      </c>
      <c r="C140" s="2" t="str">
        <f>IFERROR(__xludf.DUMMYFUNCTION("GOOGLETRANSLATE(B140,""en"",""ta"")"),"டிராபோஃப் இடம்")</f>
        <v>டிராபோஃப் இடம்</v>
      </c>
      <c r="D140" s="2" t="str">
        <f>IFERROR(__xludf.DUMMYFUNCTION("GOOGLETRANSLATE(B140,""en"",""hi"")"),"ड्रॉपऑफ़ स्थान")</f>
        <v>ड्रॉपऑफ़ स्थान</v>
      </c>
      <c r="E140" s="2" t="str">
        <f>IFERROR(__xludf.DUMMYFUNCTION("GOOGLETRANSLATE(B140,""en"",""ml"")"),"ഡ്രോപ്പോഫ് ലൊക്കേഷൻ")</f>
        <v>ഡ്രോപ്പോഫ് ലൊക്കേഷൻ</v>
      </c>
      <c r="F140" s="2" t="str">
        <f>IFERROR(__xludf.DUMMYFUNCTION("GOOGLETRANSLATE(B140,""en"",""te"")"),"డ్రాపాఫ్ స్థానం")</f>
        <v>డ్రాపాఫ్ స్థానం</v>
      </c>
      <c r="G140" s="2" t="str">
        <f>IFERROR(__xludf.DUMMYFUNCTION("GOOGLETRANSLATE(B140,""en"",""kn"")"),"ಡ್ರಾಪ್ಆಫ್ ಸ್ಥಳ")</f>
        <v>ಡ್ರಾಪ್ಆಫ್ ಸ್ಥಳ</v>
      </c>
    </row>
    <row r="141">
      <c r="A141" s="1" t="s">
        <v>285</v>
      </c>
      <c r="B141" s="1" t="s">
        <v>286</v>
      </c>
      <c r="C141" s="2" t="str">
        <f>IFERROR(__xludf.DUMMYFUNCTION("GOOGLETRANSLATE(B141,""en"",""ta"")"),"வழிப்பாதையைச் சேர்க்கவும்")</f>
        <v>வழிப்பாதையைச் சேர்க்கவும்</v>
      </c>
      <c r="D141" s="2" t="str">
        <f>IFERROR(__xludf.DUMMYFUNCTION("GOOGLETRANSLATE(B141,""en"",""hi"")"),"वेपॉइंट जोड़ें")</f>
        <v>वेपॉइंट जोड़ें</v>
      </c>
      <c r="E141" s="2" t="str">
        <f>IFERROR(__xludf.DUMMYFUNCTION("GOOGLETRANSLATE(B141,""en"",""ml"")"),"വേപോയിൻ്റ് ചേർക്കുക")</f>
        <v>വേപോയിൻ്റ് ചേർക്കുക</v>
      </c>
      <c r="F141" s="2" t="str">
        <f>IFERROR(__xludf.DUMMYFUNCTION("GOOGLETRANSLATE(B141,""en"",""te"")"),"వే పాయింట్‌ని జోడించండి")</f>
        <v>వే పాయింట్‌ని జోడించండి</v>
      </c>
      <c r="G141" s="2" t="str">
        <f>IFERROR(__xludf.DUMMYFUNCTION("GOOGLETRANSLATE(B141,""en"",""kn"")"),"ವೇಪಾಯಿಂಟ್ ಸೇರಿಸಿ")</f>
        <v>ವೇಪಾಯಿಂಟ್ ಸೇರಿಸಿ</v>
      </c>
    </row>
    <row r="142">
      <c r="A142" s="1" t="s">
        <v>287</v>
      </c>
      <c r="B142" s="1" t="s">
        <v>288</v>
      </c>
      <c r="C142" s="2" t="str">
        <f>IFERROR(__xludf.DUMMYFUNCTION("GOOGLETRANSLATE(B142,""en"",""ta"")"),"சவாரி வகையைத் தேர்ந்தெடுக்கவும்")</f>
        <v>சவாரி வகையைத் தேர்ந்தெடுக்கவும்</v>
      </c>
      <c r="D142" s="2" t="str">
        <f>IFERROR(__xludf.DUMMYFUNCTION("GOOGLETRANSLATE(B142,""en"",""hi"")"),"सवारी का प्रकार चुनें")</f>
        <v>सवारी का प्रकार चुनें</v>
      </c>
      <c r="E142" s="2" t="str">
        <f>IFERROR(__xludf.DUMMYFUNCTION("GOOGLETRANSLATE(B142,""en"",""ml"")"),"റൈഡ് തരം തിരഞ്ഞെടുക്കുക")</f>
        <v>റൈഡ് തരം തിരഞ്ഞെടുക്കുക</v>
      </c>
      <c r="F142" s="2" t="str">
        <f>IFERROR(__xludf.DUMMYFUNCTION("GOOGLETRANSLATE(B142,""en"",""te"")"),"రైడ్ రకాన్ని ఎంచుకోండి")</f>
        <v>రైడ్ రకాన్ని ఎంచుకోండి</v>
      </c>
      <c r="G142" s="2" t="str">
        <f>IFERROR(__xludf.DUMMYFUNCTION("GOOGLETRANSLATE(B142,""en"",""kn"")"),"ರೈಡ್ ಪ್ರಕಾರವನ್ನು ಆಯ್ಕೆಮಾಡಿ")</f>
        <v>ರೈಡ್ ಪ್ರಕಾರವನ್ನು ಆಯ್ಕೆಮಾಡಿ</v>
      </c>
    </row>
    <row r="143">
      <c r="A143" s="1" t="s">
        <v>289</v>
      </c>
      <c r="B143" s="1" t="s">
        <v>290</v>
      </c>
      <c r="C143" s="2" t="str">
        <f>IFERROR(__xludf.DUMMYFUNCTION("GOOGLETRANSLATE(B143,""en"",""ta"")"),"பயணத்திற்கான பயணத்தைத் தேர்ந்தெடுக்கவும்")</f>
        <v>பயணத்திற்கான பயணத்தைத் தேர்ந்தெடுக்கவும்</v>
      </c>
      <c r="D143" s="2" t="str">
        <f>IFERROR(__xludf.DUMMYFUNCTION("GOOGLETRANSLATE(B143,""en"",""hi"")"),"यात्रा के लिए चयन करें")</f>
        <v>यात्रा के लिए चयन करें</v>
      </c>
      <c r="E143" s="2" t="str">
        <f>IFERROR(__xludf.DUMMYFUNCTION("GOOGLETRANSLATE(B143,""en"",""ml"")"),"യാത്ര തിരഞ്ഞെടുക്കുക")</f>
        <v>യാത്ര തിരഞ്ഞെടുക്കുക</v>
      </c>
      <c r="F143" s="2" t="str">
        <f>IFERROR(__xludf.DUMMYFUNCTION("GOOGLETRANSLATE(B143,""en"",""te"")"),"ట్రిప్ ఫర్ ఎంచుకోండి")</f>
        <v>ట్రిప్ ఫర్ ఎంచుకోండి</v>
      </c>
      <c r="G143" s="2" t="str">
        <f>IFERROR(__xludf.DUMMYFUNCTION("GOOGLETRANSLATE(B143,""en"",""kn"")"),"ಟ್ರಿಪ್ ಫಾರ್ ಆಯ್ಕೆಮಾಡಿ")</f>
        <v>ಟ್ರಿಪ್ ಫಾರ್ ಆಯ್ಕೆಮಾಡಿ</v>
      </c>
    </row>
    <row r="144">
      <c r="A144" s="1" t="s">
        <v>291</v>
      </c>
      <c r="B144" s="1" t="s">
        <v>292</v>
      </c>
      <c r="C144" s="2" t="str">
        <f>IFERROR(__xludf.DUMMYFUNCTION("GOOGLETRANSLATE(B144,""en"",""ta"")"),"பிக்கப்பைத் தேர்ந்தெடுக்கவும்")</f>
        <v>பிக்கப்பைத் தேர்ந்தெடுக்கவும்</v>
      </c>
      <c r="D144" s="2" t="str">
        <f>IFERROR(__xludf.DUMMYFUNCTION("GOOGLETRANSLATE(B144,""en"",""hi"")"),"पिकअप चुनें")</f>
        <v>पिकअप चुनें</v>
      </c>
      <c r="E144" s="2" t="str">
        <f>IFERROR(__xludf.DUMMYFUNCTION("GOOGLETRANSLATE(B144,""en"",""ml"")"),"പിക്കപ്പ് തിരഞ്ഞെടുക്കുക")</f>
        <v>പിക്കപ്പ് തിരഞ്ഞെടുക്കുക</v>
      </c>
      <c r="F144" s="2" t="str">
        <f>IFERROR(__xludf.DUMMYFUNCTION("GOOGLETRANSLATE(B144,""en"",""te"")"),"పికప్ ఎంచుకోండి")</f>
        <v>పికప్ ఎంచుకోండి</v>
      </c>
      <c r="G144" s="2" t="str">
        <f>IFERROR(__xludf.DUMMYFUNCTION("GOOGLETRANSLATE(B144,""en"",""kn"")"),"ಪಿಕಪ್ ಆಯ್ಕೆಮಾಡಿ")</f>
        <v>ಪಿಕಪ್ ಆಯ್ಕೆಮಾಡಿ</v>
      </c>
    </row>
    <row r="145">
      <c r="A145" s="1" t="s">
        <v>293</v>
      </c>
      <c r="B145" s="1" t="s">
        <v>294</v>
      </c>
      <c r="C145" s="2" t="str">
        <f>IFERROR(__xludf.DUMMYFUNCTION("GOOGLETRANSLATE(B145,""en"",""ta"")"),"டிராப்பாஃப் என்பதைத் தேர்ந்தெடுக்கவும்")</f>
        <v>டிராப்பாஃப் என்பதைத் தேர்ந்தெடுக்கவும்</v>
      </c>
      <c r="D145" s="2" t="str">
        <f>IFERROR(__xludf.DUMMYFUNCTION("GOOGLETRANSLATE(B145,""en"",""hi"")"),"ड्रॉपऑफ़ चुनें")</f>
        <v>ड्रॉपऑफ़ चुनें</v>
      </c>
      <c r="E145" s="2" t="str">
        <f>IFERROR(__xludf.DUMMYFUNCTION("GOOGLETRANSLATE(B145,""en"",""ml"")"),"ഡ്രോപ്പ്ഓഫ് തിരഞ്ഞെടുക്കുക")</f>
        <v>ഡ്രോപ്പ്ഓഫ് തിരഞ്ഞെടുക്കുക</v>
      </c>
      <c r="F145" s="2" t="str">
        <f>IFERROR(__xludf.DUMMYFUNCTION("GOOGLETRANSLATE(B145,""en"",""te"")"),"డ్రాప్‌ఆఫ్‌ని ఎంచుకోండి")</f>
        <v>డ్రాప్‌ఆఫ్‌ని ఎంచుకోండి</v>
      </c>
      <c r="G145" s="2" t="str">
        <f>IFERROR(__xludf.DUMMYFUNCTION("GOOGLETRANSLATE(B145,""en"",""kn"")"),"ಡ್ರಾಪ್ಆಫ್ ಆಯ್ಕೆಮಾಡಿ")</f>
        <v>ಡ್ರಾಪ್ಆಫ್ ಆಯ್ಕೆಮಾಡಿ</v>
      </c>
    </row>
    <row r="146">
      <c r="A146" s="1" t="s">
        <v>295</v>
      </c>
      <c r="B146" s="1" t="s">
        <v>296</v>
      </c>
      <c r="C146" s="2" t="str">
        <f>IFERROR(__xludf.DUMMYFUNCTION("GOOGLETRANSLATE(B146,""en"",""ta"")"),"புத்தக சவாரி")</f>
        <v>புத்தக சவாரி</v>
      </c>
      <c r="D146" s="2" t="str">
        <f>IFERROR(__xludf.DUMMYFUNCTION("GOOGLETRANSLATE(B146,""en"",""hi"")"),"सवारी बुक करें")</f>
        <v>सवारी बुक करें</v>
      </c>
      <c r="E146" s="2" t="str">
        <f>IFERROR(__xludf.DUMMYFUNCTION("GOOGLETRANSLATE(B146,""en"",""ml"")"),"ബുക്ക് റൈഡ്")</f>
        <v>ബുക്ക് റൈഡ്</v>
      </c>
      <c r="F146" s="2" t="str">
        <f>IFERROR(__xludf.DUMMYFUNCTION("GOOGLETRANSLATE(B146,""en"",""te"")"),"బుక్ రైడ్")</f>
        <v>బుక్ రైడ్</v>
      </c>
      <c r="G146" s="2" t="str">
        <f>IFERROR(__xludf.DUMMYFUNCTION("GOOGLETRANSLATE(B146,""en"",""kn"")"),"ಪುಸ್ತಕ ಸವಾರಿ")</f>
        <v>ಪುಸ್ತಕ ಸವಾರಿ</v>
      </c>
    </row>
    <row r="147">
      <c r="A147" s="1" t="s">
        <v>297</v>
      </c>
      <c r="B147" s="1" t="s">
        <v>298</v>
      </c>
      <c r="C147" s="2" t="str">
        <f>IFERROR(__xludf.DUMMYFUNCTION("GOOGLETRANSLATE(B147,""en"",""ta"")"),"கட்டண மதிப்பீடு")</f>
        <v>கட்டண மதிப்பீடு</v>
      </c>
      <c r="D147" s="2" t="str">
        <f>IFERROR(__xludf.DUMMYFUNCTION("GOOGLETRANSLATE(B147,""en"",""hi"")"),"किराया अनुमान")</f>
        <v>किराया अनुमान</v>
      </c>
      <c r="E147" s="2" t="str">
        <f>IFERROR(__xludf.DUMMYFUNCTION("GOOGLETRANSLATE(B147,""en"",""ml"")"),"നിരക്ക് എസ്റ്റിമേറ്റ്")</f>
        <v>നിരക്ക് എസ്റ്റിമേറ്റ്</v>
      </c>
      <c r="F147" s="2" t="str">
        <f>IFERROR(__xludf.DUMMYFUNCTION("GOOGLETRANSLATE(B147,""en"",""te"")"),"ఛార్జీల అంచనా")</f>
        <v>ఛార్జీల అంచనా</v>
      </c>
      <c r="G147" s="2" t="str">
        <f>IFERROR(__xludf.DUMMYFUNCTION("GOOGLETRANSLATE(B147,""en"",""kn"")"),"ದರ ಅಂದಾಜು")</f>
        <v>ದರ ಅಂದಾಜು</v>
      </c>
    </row>
    <row r="148">
      <c r="A148" s="1" t="s">
        <v>299</v>
      </c>
      <c r="B148" s="1" t="s">
        <v>300</v>
      </c>
      <c r="C148" s="2" t="str">
        <f>IFERROR(__xludf.DUMMYFUNCTION("GOOGLETRANSLATE(B148,""en"",""ta"")"),"வாகன வகை")</f>
        <v>வாகன வகை</v>
      </c>
      <c r="D148" s="2" t="str">
        <f>IFERROR(__xludf.DUMMYFUNCTION("GOOGLETRANSLATE(B148,""en"",""hi"")"),"वाहन का प्रकार")</f>
        <v>वाहन का प्रकार</v>
      </c>
      <c r="E148" s="2" t="str">
        <f>IFERROR(__xludf.DUMMYFUNCTION("GOOGLETRANSLATE(B148,""en"",""ml"")"),"വാഹന തരം")</f>
        <v>വാഹന തരം</v>
      </c>
      <c r="F148" s="2" t="str">
        <f>IFERROR(__xludf.DUMMYFUNCTION("GOOGLETRANSLATE(B148,""en"",""te"")"),"వాహనం రకం")</f>
        <v>వాహనం రకం</v>
      </c>
      <c r="G148" s="2" t="str">
        <f>IFERROR(__xludf.DUMMYFUNCTION("GOOGLETRANSLATE(B148,""en"",""kn"")"),"ವಾಹನದ ಪ್ರಕಾರ")</f>
        <v>ವಾಹನದ ಪ್ರಕಾರ</v>
      </c>
    </row>
    <row r="149">
      <c r="A149" s="1" t="s">
        <v>301</v>
      </c>
      <c r="B149" s="1" t="s">
        <v>302</v>
      </c>
      <c r="C149" s="2" t="str">
        <f>IFERROR(__xludf.DUMMYFUNCTION("GOOGLETRANSLATE(B149,""en"",""ta"")"),"முன்பதிவை உறுதிப்படுத்தவும்")</f>
        <v>முன்பதிவை உறுதிப்படுத்தவும்</v>
      </c>
      <c r="D149" s="2" t="str">
        <f>IFERROR(__xludf.DUMMYFUNCTION("GOOGLETRANSLATE(B149,""en"",""hi"")"),"बुकिंग की पुष्टि करें")</f>
        <v>बुकिंग की पुष्टि करें</v>
      </c>
      <c r="E149" s="2" t="str">
        <f>IFERROR(__xludf.DUMMYFUNCTION("GOOGLETRANSLATE(B149,""en"",""ml"")"),"ബുക്കിംഗ് സ്ഥിരീകരിക്കുക")</f>
        <v>ബുക്കിംഗ് സ്ഥിരീകരിക്കുക</v>
      </c>
      <c r="F149" s="2" t="str">
        <f>IFERROR(__xludf.DUMMYFUNCTION("GOOGLETRANSLATE(B149,""en"",""te"")"),"బుకింగ్‌ని నిర్ధారించండి")</f>
        <v>బుకింగ్‌ని నిర్ధారించండి</v>
      </c>
      <c r="G149" s="2" t="str">
        <f>IFERROR(__xludf.DUMMYFUNCTION("GOOGLETRANSLATE(B149,""en"",""kn"")"),"ಬುಕಿಂಗ್ ಅನ್ನು ದೃಢೀಕರಿಸಿ")</f>
        <v>ಬುಕಿಂಗ್ ಅನ್ನು ದೃಢೀಕರಿಸಿ</v>
      </c>
    </row>
    <row r="150">
      <c r="A150" s="1" t="s">
        <v>303</v>
      </c>
      <c r="B150" s="1" t="s">
        <v>304</v>
      </c>
      <c r="C150" s="2" t="str">
        <f>IFERROR(__xludf.DUMMYFUNCTION("GOOGLETRANSLATE(B150,""en"",""ta"")"),"முன்பதிவை ரத்துசெய்")</f>
        <v>முன்பதிவை ரத்துசெய்</v>
      </c>
      <c r="D150" s="2" t="str">
        <f>IFERROR(__xludf.DUMMYFUNCTION("GOOGLETRANSLATE(B150,""en"",""hi"")"),"बुकिंग रद्द करें")</f>
        <v>बुकिंग रद्द करें</v>
      </c>
      <c r="E150" s="2" t="str">
        <f>IFERROR(__xludf.DUMMYFUNCTION("GOOGLETRANSLATE(B150,""en"",""ml"")"),"ബുക്കിംഗ് റദ്ദാക്കുക")</f>
        <v>ബുക്കിംഗ് റദ്ദാക്കുക</v>
      </c>
      <c r="F150" s="2" t="str">
        <f>IFERROR(__xludf.DUMMYFUNCTION("GOOGLETRANSLATE(B150,""en"",""te"")"),"బుకింగ్ రద్దు చేయండి")</f>
        <v>బుకింగ్ రద్దు చేయండి</v>
      </c>
      <c r="G150" s="2" t="str">
        <f>IFERROR(__xludf.DUMMYFUNCTION("GOOGLETRANSLATE(B150,""en"",""kn"")"),"ಬುಕಿಂಗ್ ರದ್ದುಮಾಡಿ")</f>
        <v>ಬುಕಿಂಗ್ ರದ್ದುಮಾಡಿ</v>
      </c>
    </row>
    <row r="151">
      <c r="A151" s="1" t="s">
        <v>305</v>
      </c>
      <c r="B151" s="1" t="s">
        <v>306</v>
      </c>
      <c r="C151" s="2" t="str">
        <f>IFERROR(__xludf.DUMMYFUNCTION("GOOGLETRANSLATE(B151,""en"",""ta"")"),"முன்பதிவு உறுதி செய்யப்பட்டது")</f>
        <v>முன்பதிவு உறுதி செய்யப்பட்டது</v>
      </c>
      <c r="D151" s="2" t="str">
        <f>IFERROR(__xludf.DUMMYFUNCTION("GOOGLETRANSLATE(B151,""en"",""hi"")"),"बुकिंग संपुष्ट")</f>
        <v>बुकिंग संपुष्ट</v>
      </c>
      <c r="E151" s="2" t="str">
        <f>IFERROR(__xludf.DUMMYFUNCTION("GOOGLETRANSLATE(B151,""en"",""ml"")"),"ബുക്കിംഗ് സ്ഥിരീകരിച്ചു")</f>
        <v>ബുക്കിംഗ് സ്ഥിരീകരിച്ചു</v>
      </c>
      <c r="F151" s="2" t="str">
        <f>IFERROR(__xludf.DUMMYFUNCTION("GOOGLETRANSLATE(B151,""en"",""te"")"),"బుకింగ్ నిర్ధారించబడింది")</f>
        <v>బుకింగ్ నిర్ధారించబడింది</v>
      </c>
      <c r="G151" s="2" t="str">
        <f>IFERROR(__xludf.DUMMYFUNCTION("GOOGLETRANSLATE(B151,""en"",""kn"")"),"ಬುಕಿಂಗ್ ದೃಢಪಟ್ಟಿದೆ")</f>
        <v>ಬುಕಿಂಗ್ ದೃಢಪಟ್ಟಿದೆ</v>
      </c>
    </row>
    <row r="152">
      <c r="A152" s="1" t="s">
        <v>307</v>
      </c>
      <c r="B152" s="1" t="s">
        <v>308</v>
      </c>
      <c r="C152" s="2" t="str">
        <f>IFERROR(__xludf.DUMMYFUNCTION("GOOGLETRANSLATE(B152,""en"",""ta"")"),"முன்பதிவு தோல்வியடைந்தது")</f>
        <v>முன்பதிவு தோல்வியடைந்தது</v>
      </c>
      <c r="D152" s="2" t="str">
        <f>IFERROR(__xludf.DUMMYFUNCTION("GOOGLETRANSLATE(B152,""en"",""hi"")"),"बुकिंग विफल")</f>
        <v>बुकिंग विफल</v>
      </c>
      <c r="E152" s="2" t="str">
        <f>IFERROR(__xludf.DUMMYFUNCTION("GOOGLETRANSLATE(B152,""en"",""ml"")"),"ബുക്കിംഗ് പരാജയപ്പെട്ടു")</f>
        <v>ബുക്കിംഗ് പരാജയപ്പെട്ടു</v>
      </c>
      <c r="F152" s="2" t="str">
        <f>IFERROR(__xludf.DUMMYFUNCTION("GOOGLETRANSLATE(B152,""en"",""te"")"),"బుకింగ్ విఫలమైంది")</f>
        <v>బుకింగ్ విఫలమైంది</v>
      </c>
      <c r="G152" s="2" t="str">
        <f>IFERROR(__xludf.DUMMYFUNCTION("GOOGLETRANSLATE(B152,""en"",""kn"")"),"ಬುಕಿಂಗ್ ವಿಫಲವಾಗಿದೆ")</f>
        <v>ಬುಕಿಂಗ್ ವಿಫಲವಾಗಿದೆ</v>
      </c>
    </row>
    <row r="153">
      <c r="A153" s="1" t="s">
        <v>309</v>
      </c>
      <c r="B153" s="1" t="s">
        <v>310</v>
      </c>
      <c r="C153" s="2" t="str">
        <f>IFERROR(__xludf.DUMMYFUNCTION("GOOGLETRANSLATE(B153,""en"",""ta"")"),"டிரைவர் நியமிக்கப்பட்டார்")</f>
        <v>டிரைவர் நியமிக்கப்பட்டார்</v>
      </c>
      <c r="D153" s="2" t="str">
        <f>IFERROR(__xludf.DUMMYFUNCTION("GOOGLETRANSLATE(B153,""en"",""hi"")"),"ड्राइवर नियुक्त")</f>
        <v>ड्राइवर नियुक्त</v>
      </c>
      <c r="E153" s="2" t="str">
        <f>IFERROR(__xludf.DUMMYFUNCTION("GOOGLETRANSLATE(B153,""en"",""ml"")"),"ഡ്രൈവറെ നിയമിച്ചു")</f>
        <v>ഡ്രൈവറെ നിയമിച്ചു</v>
      </c>
      <c r="F153" s="2" t="str">
        <f>IFERROR(__xludf.DUMMYFUNCTION("GOOGLETRANSLATE(B153,""en"",""te"")"),"డ్రైవర్‌ని కేటాయించారు")</f>
        <v>డ్రైవర్‌ని కేటాయించారు</v>
      </c>
      <c r="G153" s="2" t="str">
        <f>IFERROR(__xludf.DUMMYFUNCTION("GOOGLETRANSLATE(B153,""en"",""kn"")"),"ಚಾಲಕ ನಿಯೋಜಿಸಲಾಗಿದೆ")</f>
        <v>ಚಾಲಕ ನಿಯೋಜಿಸಲಾಗಿದೆ</v>
      </c>
    </row>
    <row r="154">
      <c r="A154" s="1" t="s">
        <v>311</v>
      </c>
      <c r="B154" s="1" t="s">
        <v>312</v>
      </c>
      <c r="C154" s="2" t="str">
        <f>IFERROR(__xludf.DUMMYFUNCTION("GOOGLETRANSLATE(B154,""en"",""ta"")"),"டிரைவர் வருகிறார்")</f>
        <v>டிரைவர் வருகிறார்</v>
      </c>
      <c r="D154" s="2" t="str">
        <f>IFERROR(__xludf.DUMMYFUNCTION("GOOGLETRANSLATE(B154,""en"",""hi"")"),"ड्राइवर आ रहा है")</f>
        <v>ड्राइवर आ रहा है</v>
      </c>
      <c r="E154" s="2" t="str">
        <f>IFERROR(__xludf.DUMMYFUNCTION("GOOGLETRANSLATE(B154,""en"",""ml"")"),"ഡ്രൈവർ എത്തുന്നു")</f>
        <v>ഡ്രൈവർ എത്തുന്നു</v>
      </c>
      <c r="F154" s="2" t="str">
        <f>IFERROR(__xludf.DUMMYFUNCTION("GOOGLETRANSLATE(B154,""en"",""te"")"),"డ్రైవర్ వస్తున్నాడు")</f>
        <v>డ్రైవర్ వస్తున్నాడు</v>
      </c>
      <c r="G154" s="2" t="str">
        <f>IFERROR(__xludf.DUMMYFUNCTION("GOOGLETRANSLATE(B154,""en"",""kn"")"),"ಡ್ರೈವರ್ ಆಗಮನ")</f>
        <v>ಡ್ರೈವರ್ ಆಗಮನ</v>
      </c>
    </row>
    <row r="155">
      <c r="A155" s="1" t="s">
        <v>313</v>
      </c>
      <c r="B155" s="1" t="s">
        <v>314</v>
      </c>
      <c r="C155" s="2" t="str">
        <f>IFERROR(__xludf.DUMMYFUNCTION("GOOGLETRANSLATE(B155,""en"",""ta"")"),"சவாரி தொடங்கியது")</f>
        <v>சவாரி தொடங்கியது</v>
      </c>
      <c r="D155" s="2" t="str">
        <f>IFERROR(__xludf.DUMMYFUNCTION("GOOGLETRANSLATE(B155,""en"",""hi"")"),"सवारी शुरू हुई")</f>
        <v>सवारी शुरू हुई</v>
      </c>
      <c r="E155" s="2" t="str">
        <f>IFERROR(__xludf.DUMMYFUNCTION("GOOGLETRANSLATE(B155,""en"",""ml"")"),"സവാരി ആരംഭിച്ചു")</f>
        <v>സവാരി ആരംഭിച്ചു</v>
      </c>
      <c r="F155" s="2" t="str">
        <f>IFERROR(__xludf.DUMMYFUNCTION("GOOGLETRANSLATE(B155,""en"",""te"")"),"రైడ్ ప్రారంభమైంది")</f>
        <v>రైడ్ ప్రారంభమైంది</v>
      </c>
      <c r="G155" s="2" t="str">
        <f>IFERROR(__xludf.DUMMYFUNCTION("GOOGLETRANSLATE(B155,""en"",""kn"")"),"ಸವಾರಿ ಪ್ರಾರಂಭವಾಯಿತು")</f>
        <v>ಸವಾರಿ ಪ್ರಾರಂಭವಾಯಿತು</v>
      </c>
    </row>
    <row r="156">
      <c r="A156" s="1" t="s">
        <v>315</v>
      </c>
      <c r="B156" s="1" t="s">
        <v>316</v>
      </c>
      <c r="C156" s="2" t="str">
        <f>IFERROR(__xludf.DUMMYFUNCTION("GOOGLETRANSLATE(B156,""en"",""ta"")"),"சவாரி முடிந்தது")</f>
        <v>சவாரி முடிந்தது</v>
      </c>
      <c r="D156" s="2" t="str">
        <f>IFERROR(__xludf.DUMMYFUNCTION("GOOGLETRANSLATE(B156,""en"",""hi"")"),"सवारी पूरी हुई")</f>
        <v>सवारी पूरी हुई</v>
      </c>
      <c r="E156" s="2" t="str">
        <f>IFERROR(__xludf.DUMMYFUNCTION("GOOGLETRANSLATE(B156,""en"",""ml"")"),"റൈഡ് പൂർത്തിയായി")</f>
        <v>റൈഡ് പൂർത്തിയായി</v>
      </c>
      <c r="F156" s="2" t="str">
        <f>IFERROR(__xludf.DUMMYFUNCTION("GOOGLETRANSLATE(B156,""en"",""te"")"),"రైడ్ పూర్తయింది")</f>
        <v>రైడ్ పూర్తయింది</v>
      </c>
      <c r="G156" s="2" t="str">
        <f>IFERROR(__xludf.DUMMYFUNCTION("GOOGLETRANSLATE(B156,""en"",""kn"")"),"ಸವಾರಿ ಪೂರ್ಣಗೊಂಡಿದೆ")</f>
        <v>ಸವಾರಿ ಪೂರ್ಣಗೊಂಡಿದೆ</v>
      </c>
    </row>
    <row r="157">
      <c r="A157" s="1" t="s">
        <v>317</v>
      </c>
      <c r="B157" s="1" t="s">
        <v>318</v>
      </c>
      <c r="C157" s="2" t="str">
        <f>IFERROR(__xludf.DUMMYFUNCTION("GOOGLETRANSLATE(B157,""en"",""ta"")"),"உங்கள் சவாரியை மதிப்பிடவும்")</f>
        <v>உங்கள் சவாரியை மதிப்பிடவும்</v>
      </c>
      <c r="D157" s="2" t="str">
        <f>IFERROR(__xludf.DUMMYFUNCTION("GOOGLETRANSLATE(B157,""en"",""hi"")"),"अपनी सवारी को रेटिंग दें")</f>
        <v>अपनी सवारी को रेटिंग दें</v>
      </c>
      <c r="E157" s="2" t="str">
        <f>IFERROR(__xludf.DUMMYFUNCTION("GOOGLETRANSLATE(B157,""en"",""ml"")"),"നിങ്ങളുടെ റൈഡ് റേറ്റ് ചെയ്യുക")</f>
        <v>നിങ്ങളുടെ റൈഡ് റേറ്റ് ചെയ്യുക</v>
      </c>
      <c r="F157" s="2" t="str">
        <f>IFERROR(__xludf.DUMMYFUNCTION("GOOGLETRANSLATE(B157,""en"",""te"")"),"మీ రైడ్‌ని రేట్ చేయండి")</f>
        <v>మీ రైడ్‌ని రేట్ చేయండి</v>
      </c>
      <c r="G157" s="2" t="str">
        <f>IFERROR(__xludf.DUMMYFUNCTION("GOOGLETRANSLATE(B157,""en"",""kn"")"),"ನಿಮ್ಮ ಸವಾರಿಯನ್ನು ರೇಟ್ ಮಾಡಿ")</f>
        <v>ನಿಮ್ಮ ಸವಾರಿಯನ್ನು ರೇಟ್ ಮಾಡಿ</v>
      </c>
    </row>
    <row r="158">
      <c r="A158" s="1" t="s">
        <v>319</v>
      </c>
      <c r="B158" s="1" t="s">
        <v>320</v>
      </c>
      <c r="C158" s="2" t="str">
        <f>IFERROR(__xludf.DUMMYFUNCTION("GOOGLETRANSLATE(B158,""en"",""ta"")"),"நன்றி")</f>
        <v>நன்றி</v>
      </c>
      <c r="D158" s="2" t="str">
        <f>IFERROR(__xludf.DUMMYFUNCTION("GOOGLETRANSLATE(B158,""en"",""hi"")"),"धन्यवाद")</f>
        <v>धन्यवाद</v>
      </c>
      <c r="E158" s="2" t="str">
        <f>IFERROR(__xludf.DUMMYFUNCTION("GOOGLETRANSLATE(B158,""en"",""ml"")"),"നന്ദി")</f>
        <v>നന്ദി</v>
      </c>
      <c r="F158" s="2" t="str">
        <f>IFERROR(__xludf.DUMMYFUNCTION("GOOGLETRANSLATE(B158,""en"",""te"")"),"ధన్యవాదాలు")</f>
        <v>ధన్యవాదాలు</v>
      </c>
      <c r="G158" s="2" t="str">
        <f>IFERROR(__xludf.DUMMYFUNCTION("GOOGLETRANSLATE(B158,""en"",""kn"")"),"ಧನ್ಯವಾದಗಳು")</f>
        <v>ಧನ್ಯವಾದಗಳು</v>
      </c>
    </row>
    <row r="159">
      <c r="A159" s="1" t="s">
        <v>321</v>
      </c>
      <c r="B159" s="1" t="s">
        <v>322</v>
      </c>
      <c r="C159" s="2" t="str">
        <f>IFERROR(__xludf.DUMMYFUNCTION("GOOGLETRANSLATE(B159,""en"",""ta"")"),"பெண் டிரைவர்")</f>
        <v>பெண் டிரைவர்</v>
      </c>
      <c r="D159" s="2" t="str">
        <f>IFERROR(__xludf.DUMMYFUNCTION("GOOGLETRANSLATE(B159,""en"",""hi"")"),"महिला चालक")</f>
        <v>महिला चालक</v>
      </c>
      <c r="E159" s="2" t="str">
        <f>IFERROR(__xludf.DUMMYFUNCTION("GOOGLETRANSLATE(B159,""en"",""ml"")"),"വനിതാ ഡ്രൈവർ")</f>
        <v>വനിതാ ഡ്രൈവർ</v>
      </c>
      <c r="F159" s="2" t="str">
        <f>IFERROR(__xludf.DUMMYFUNCTION("GOOGLETRANSLATE(B159,""en"",""te"")"),"మహిళా డ్రైవర్")</f>
        <v>మహిళా డ్రైవర్</v>
      </c>
      <c r="G159" s="2" t="str">
        <f>IFERROR(__xludf.DUMMYFUNCTION("GOOGLETRANSLATE(B159,""en"",""kn"")"),"ಮಹಿಳಾ ಚಾಲಕ")</f>
        <v>ಮಹಿಳಾ ಚಾಲಕ</v>
      </c>
    </row>
    <row r="160">
      <c r="A160" s="1" t="s">
        <v>323</v>
      </c>
      <c r="B160" s="1" t="s">
        <v>324</v>
      </c>
      <c r="C160" s="2" t="str">
        <f>IFERROR(__xludf.DUMMYFUNCTION("GOOGLETRANSLATE(B160,""en"",""ta"")"),"கூப்பன்களை வழங்குங்கள்")</f>
        <v>கூப்பன்களை வழங்குங்கள்</v>
      </c>
      <c r="D160" s="2" t="str">
        <f>IFERROR(__xludf.DUMMYFUNCTION("GOOGLETRANSLATE(B160,""en"",""hi"")"),"ऑफ़र कूपन")</f>
        <v>ऑफ़र कूपन</v>
      </c>
      <c r="E160" s="2" t="str">
        <f>IFERROR(__xludf.DUMMYFUNCTION("GOOGLETRANSLATE(B160,""en"",""ml"")"),"കൂപ്പണുകൾ ഓഫർ ചെയ്യുക")</f>
        <v>കൂപ്പണുകൾ ഓഫർ ചെയ്യുക</v>
      </c>
      <c r="F160" s="2" t="str">
        <f>IFERROR(__xludf.DUMMYFUNCTION("GOOGLETRANSLATE(B160,""en"",""te"")"),"కూపన్‌లను ఆఫర్ చేయండి")</f>
        <v>కూపన్‌లను ఆఫర్ చేయండి</v>
      </c>
      <c r="G160" s="2" t="str">
        <f>IFERROR(__xludf.DUMMYFUNCTION("GOOGLETRANSLATE(B160,""en"",""kn"")"),"ಕೂಪನ್‌ಗಳನ್ನು ನೀಡಿ")</f>
        <v>ಕೂಪನ್‌ಗಳನ್ನು ನೀಡಿ</v>
      </c>
    </row>
    <row r="161">
      <c r="A161" s="1" t="s">
        <v>325</v>
      </c>
      <c r="B161" s="1" t="s">
        <v>326</v>
      </c>
      <c r="C161" s="2" t="str">
        <f>IFERROR(__xludf.DUMMYFUNCTION("GOOGLETRANSLATE(B161,""en"",""ta"")"),"கூப்பன்")</f>
        <v>கூப்பன்</v>
      </c>
      <c r="D161" s="2" t="str">
        <f>IFERROR(__xludf.DUMMYFUNCTION("GOOGLETRANSLATE(B161,""en"",""hi"")"),"कूपन")</f>
        <v>कूपन</v>
      </c>
      <c r="E161" s="2" t="str">
        <f>IFERROR(__xludf.DUMMYFUNCTION("GOOGLETRANSLATE(B161,""en"",""ml"")"),"കൂപ്പൺ")</f>
        <v>കൂപ്പൺ</v>
      </c>
      <c r="F161" s="2" t="str">
        <f>IFERROR(__xludf.DUMMYFUNCTION("GOOGLETRANSLATE(B161,""en"",""te"")"),"కూపన్")</f>
        <v>కూపన్</v>
      </c>
      <c r="G161" s="2" t="str">
        <f>IFERROR(__xludf.DUMMYFUNCTION("GOOGLETRANSLATE(B161,""en"",""kn"")"),"ಕೂಪನ್")</f>
        <v>ಕೂಪನ್</v>
      </c>
    </row>
    <row r="162">
      <c r="A162" s="1" t="s">
        <v>327</v>
      </c>
      <c r="B162" s="1" t="s">
        <v>328</v>
      </c>
      <c r="C162" s="2" t="str">
        <f>IFERROR(__xludf.DUMMYFUNCTION("GOOGLETRANSLATE(B162,""en"",""ta"")"),"விண்ணப்பிக்கப்பட்டது")</f>
        <v>விண்ணப்பிக்கப்பட்டது</v>
      </c>
      <c r="D162" s="2" t="str">
        <f>IFERROR(__xludf.DUMMYFUNCTION("GOOGLETRANSLATE(B162,""en"",""hi"")"),"लागू")</f>
        <v>लागू</v>
      </c>
      <c r="E162" s="2" t="str">
        <f>IFERROR(__xludf.DUMMYFUNCTION("GOOGLETRANSLATE(B162,""en"",""ml"")"),"പ്രയോഗിച്ചു")</f>
        <v>പ്രയോഗിച്ചു</v>
      </c>
      <c r="F162" s="2" t="str">
        <f>IFERROR(__xludf.DUMMYFUNCTION("GOOGLETRANSLATE(B162,""en"",""te"")"),"దరఖాస్తు చేసుకున్నారు")</f>
        <v>దరఖాస్తు చేసుకున్నారు</v>
      </c>
      <c r="G162" s="2" t="str">
        <f>IFERROR(__xludf.DUMMYFUNCTION("GOOGLETRANSLATE(B162,""en"",""kn"")"),"ಅನ್ವಯಿಸಲಾಗಿದೆ")</f>
        <v>ಅನ್ವಯಿಸಲಾಗಿದೆ</v>
      </c>
    </row>
    <row r="163">
      <c r="A163" s="1" t="s">
        <v>329</v>
      </c>
      <c r="B163" s="1" t="s">
        <v>330</v>
      </c>
      <c r="C163" s="2" t="str">
        <f>IFERROR(__xludf.DUMMYFUNCTION("GOOGLETRANSLATE(B163,""en"",""ta"")"),"மூலம் செலுத்தவும்")</f>
        <v>மூலம் செலுத்தவும்</v>
      </c>
      <c r="D163" s="2" t="str">
        <f>IFERROR(__xludf.DUMMYFUNCTION("GOOGLETRANSLATE(B163,""en"",""hi"")"),"भुगतान करें")</f>
        <v>भुगतान करें</v>
      </c>
      <c r="E163" s="2" t="str">
        <f>IFERROR(__xludf.DUMMYFUNCTION("GOOGLETRANSLATE(B163,""en"",""ml"")"),"പണം നൽകുക")</f>
        <v>പണം നൽകുക</v>
      </c>
      <c r="F163" s="2" t="str">
        <f>IFERROR(__xludf.DUMMYFUNCTION("GOOGLETRANSLATE(B163,""en"",""te"")"),"ద్వారా చెల్లించండి")</f>
        <v>ద్వారా చెల్లించండి</v>
      </c>
      <c r="G163" s="2" t="str">
        <f>IFERROR(__xludf.DUMMYFUNCTION("GOOGLETRANSLATE(B163,""en"",""kn"")"),"ಮೂಲಕ ಪಾವತಿಸಿ")</f>
        <v>ಮೂಲಕ ಪಾವತಿಸಿ</v>
      </c>
    </row>
    <row r="164">
      <c r="A164" s="1" t="s">
        <v>331</v>
      </c>
      <c r="B164" s="1" t="s">
        <v>332</v>
      </c>
      <c r="C164" s="2" t="str">
        <f>IFERROR(__xludf.DUMMYFUNCTION("GOOGLETRANSLATE(B164,""en"",""ta"")"),"முன்பதிவு...")</f>
        <v>முன்பதிவு...</v>
      </c>
      <c r="D164" s="2" t="str">
        <f>IFERROR(__xludf.DUMMYFUNCTION("GOOGLETRANSLATE(B164,""en"",""hi"")"),"बुकिंग...")</f>
        <v>बुकिंग...</v>
      </c>
      <c r="E164" s="2" t="str">
        <f>IFERROR(__xludf.DUMMYFUNCTION("GOOGLETRANSLATE(B164,""en"",""ml"")"),"ബുക്കിംഗ്...")</f>
        <v>ബുക്കിംഗ്...</v>
      </c>
      <c r="F164" s="2" t="str">
        <f>IFERROR(__xludf.DUMMYFUNCTION("GOOGLETRANSLATE(B164,""en"",""te"")"),"బుకింగ్...")</f>
        <v>బుకింగ్...</v>
      </c>
      <c r="G164" s="2" t="str">
        <f>IFERROR(__xludf.DUMMYFUNCTION("GOOGLETRANSLATE(B164,""en"",""kn"")"),"ಬುಕಿಂಗ್...")</f>
        <v>ಬುಕಿಂಗ್...</v>
      </c>
    </row>
    <row r="165">
      <c r="A165" s="1" t="s">
        <v>333</v>
      </c>
      <c r="B165" s="1" t="s">
        <v>334</v>
      </c>
      <c r="C165" s="2" t="str">
        <f>IFERROR(__xludf.DUMMYFUNCTION("GOOGLETRANSLATE(B165,""en"",""ta"")"),"சவாரியை உறுதிப்படுத்தவும்")</f>
        <v>சவாரியை உறுதிப்படுத்தவும்</v>
      </c>
      <c r="D165" s="2" t="str">
        <f>IFERROR(__xludf.DUMMYFUNCTION("GOOGLETRANSLATE(B165,""en"",""hi"")"),"सवारी की पुष्टि करें")</f>
        <v>सवारी की पुष्टि करें</v>
      </c>
      <c r="E165" s="2" t="str">
        <f>IFERROR(__xludf.DUMMYFUNCTION("GOOGLETRANSLATE(B165,""en"",""ml"")"),"റൈഡ് സ്ഥിരീകരിക്കുക")</f>
        <v>റൈഡ് സ്ഥിരീകരിക്കുക</v>
      </c>
      <c r="F165" s="2" t="str">
        <f>IFERROR(__xludf.DUMMYFUNCTION("GOOGLETRANSLATE(B165,""en"",""te"")"),"రైడ్‌ని నిర్ధారించండి")</f>
        <v>రైడ్‌ని నిర్ధారించండి</v>
      </c>
      <c r="G165" s="2" t="str">
        <f>IFERROR(__xludf.DUMMYFUNCTION("GOOGLETRANSLATE(B165,""en"",""kn"")"),"ಸವಾರಿಯನ್ನು ದೃಢೀಕರಿಸಿ")</f>
        <v>ಸವಾರಿಯನ್ನು ದೃಢೀಕರಿಸಿ</v>
      </c>
    </row>
    <row r="166">
      <c r="A166" s="1" t="s">
        <v>335</v>
      </c>
      <c r="B166" s="1" t="s">
        <v>336</v>
      </c>
      <c r="C166" s="2" t="str">
        <f>IFERROR(__xludf.DUMMYFUNCTION("GOOGLETRANSLATE(B166,""en"",""ta"")"),"புதுப்பிக்கப்பட்ட கட்டண விவரங்கள்")</f>
        <v>புதுப்பிக்கப்பட்ட கட்டண விவரங்கள்</v>
      </c>
      <c r="D166" s="2" t="str">
        <f>IFERROR(__xludf.DUMMYFUNCTION("GOOGLETRANSLATE(B166,""en"",""hi"")"),"अद्यतन किराया विवरण")</f>
        <v>अद्यतन किराया विवरण</v>
      </c>
      <c r="E166" s="2" t="str">
        <f>IFERROR(__xludf.DUMMYFUNCTION("GOOGLETRANSLATE(B166,""en"",""ml"")"),"പുതുക്കിയ നിരക്ക് വിശദാംശങ്ങൾ")</f>
        <v>പുതുക്കിയ നിരക്ക് വിശദാംശങ്ങൾ</v>
      </c>
      <c r="F166" s="2" t="str">
        <f>IFERROR(__xludf.DUMMYFUNCTION("GOOGLETRANSLATE(B166,""en"",""te"")"),"ఛార్జీల వివరాలు నవీకరించబడ్డాయి")</f>
        <v>ఛార్జీల వివరాలు నవీకరించబడ్డాయి</v>
      </c>
      <c r="G166" s="2" t="str">
        <f>IFERROR(__xludf.DUMMYFUNCTION("GOOGLETRANSLATE(B166,""en"",""kn"")"),"ದರದ ವಿವರಗಳನ್ನು ನವೀಕರಿಸಲಾಗಿದೆ")</f>
        <v>ದರದ ವಿವರಗಳನ್ನು ನವೀಕರಿಸಲಾಗಿದೆ</v>
      </c>
    </row>
    <row r="167">
      <c r="A167" s="1" t="s">
        <v>337</v>
      </c>
      <c r="B167" s="1" t="s">
        <v>338</v>
      </c>
      <c r="C167" s="2" t="str">
        <f>IFERROR(__xludf.DUMMYFUNCTION("GOOGLETRANSLATE(B167,""en"",""ta"")"),"காத்திருக்கும் நேரம்")</f>
        <v>காத்திருக்கும் நேரம்</v>
      </c>
      <c r="D167" s="2" t="str">
        <f>IFERROR(__xludf.DUMMYFUNCTION("GOOGLETRANSLATE(B167,""en"",""hi"")"),"प्रतीक्षा समय")</f>
        <v>प्रतीक्षा समय</v>
      </c>
      <c r="E167" s="2" t="str">
        <f>IFERROR(__xludf.DUMMYFUNCTION("GOOGLETRANSLATE(B167,""en"",""ml"")"),"കാത്തിരിപ്പ് സമയം")</f>
        <v>കാത്തിരിപ്പ് സമയം</v>
      </c>
      <c r="F167" s="2" t="str">
        <f>IFERROR(__xludf.DUMMYFUNCTION("GOOGLETRANSLATE(B167,""en"",""te"")"),"వెయిట్ టైమ్")</f>
        <v>వెయిట్ టైమ్</v>
      </c>
      <c r="G167" s="2" t="str">
        <f>IFERROR(__xludf.DUMMYFUNCTION("GOOGLETRANSLATE(B167,""en"",""kn"")"),"ಕಾಯುವ ಸಮಯ")</f>
        <v>ಕಾಯುವ ಸಮಯ</v>
      </c>
    </row>
    <row r="168">
      <c r="A168" s="1" t="s">
        <v>339</v>
      </c>
      <c r="B168" s="1" t="s">
        <v>340</v>
      </c>
      <c r="C168" s="2" t="str">
        <f>IFERROR(__xludf.DUMMYFUNCTION("GOOGLETRANSLATE(B168,""en"",""ta"")"),"உண்மையான பிக்-அப் நேரம், சென்ற வழி மற்றும் பயணத்தின் போது உண்மையான காத்திருப்பு நேரம் ஆகியவற்றின் அடிப்படையில் இறுதிக் கட்டணம் மாறலாம்.")</f>
        <v>உண்மையான பிக்-அப் நேரம், சென்ற வழி மற்றும் பயணத்தின் போது உண்மையான காத்திருப்பு நேரம் ஆகியவற்றின் அடிப்படையில் இறுதிக் கட்டணம் மாறலாம்.</v>
      </c>
      <c r="D168" s="2" t="str">
        <f>IFERROR(__xludf.DUMMYFUNCTION("GOOGLETRANSLATE(B168,""en"",""hi"")"),"अंतिम किराया वास्तविक पिकअप समय, लिए गए मार्ग और यात्रा के दौरान वास्तविक प्रतीक्षा समय के आधार पर बदल सकता है।")</f>
        <v>अंतिम किराया वास्तविक पिकअप समय, लिए गए मार्ग और यात्रा के दौरान वास्तविक प्रतीक्षा समय के आधार पर बदल सकता है।</v>
      </c>
      <c r="E168" s="2" t="str">
        <f>IFERROR(__xludf.DUMMYFUNCTION("GOOGLETRANSLATE(B168,""en"",""ml"")"),"യഥാർത്ഥ പിക്കപ്പ് സമയം, എടുത്ത റൂട്ട്, യാത്രയ്ക്കിടയിലുള്ള യഥാർത്ഥ കാത്തിരിപ്പ് സമയം എന്നിവയെ അടിസ്ഥാനമാക്കി അന്തിമ നിരക്ക് മാറിയേക്കാം.")</f>
        <v>യഥാർത്ഥ പിക്കപ്പ് സമയം, എടുത്ത റൂട്ട്, യാത്രയ്ക്കിടയിലുള്ള യഥാർത്ഥ കാത്തിരിപ്പ് സമയം എന്നിവയെ അടിസ്ഥാനമാക്കി അന്തിമ നിരക്ക് മാറിയേക്കാം.</v>
      </c>
      <c r="F168" s="2" t="str">
        <f>IFERROR(__xludf.DUMMYFUNCTION("GOOGLETRANSLATE(B168,""en"",""te"")"),"అసలు పికప్ సమయం, తీసుకున్న రూట్ మరియు ట్రిప్ సమయంలో అసలు వేచి ఉండే సమయం ఆధారంగా తుది ఛార్జీ మారవచ్చు.")</f>
        <v>అసలు పికప్ సమయం, తీసుకున్న రూట్ మరియు ట్రిప్ సమయంలో అసలు వేచి ఉండే సమయం ఆధారంగా తుది ఛార్జీ మారవచ్చు.</v>
      </c>
      <c r="G168" s="2" t="str">
        <f>IFERROR(__xludf.DUMMYFUNCTION("GOOGLETRANSLATE(B168,""en"",""kn"")"),"ನಿಜವಾದ ಪಿಕಪ್ ಸಮಯ, ತೆಗೆದುಕೊಂಡ ಮಾರ್ಗ ಮತ್ತು ಪ್ರಯಾಣದ ಸಮಯದಲ್ಲಿ ನಿಜವಾದ ಕಾಯುವ ಸಮಯವನ್ನು ಆಧರಿಸಿ ಅಂತಿಮ ದರವು ಬದಲಾಗಬಹುದು.")</f>
        <v>ನಿಜವಾದ ಪಿಕಪ್ ಸಮಯ, ತೆಗೆದುಕೊಂಡ ಮಾರ್ಗ ಮತ್ತು ಪ್ರಯಾಣದ ಸಮಯದಲ್ಲಿ ನಿಜವಾದ ಕಾಯುವ ಸಮಯವನ್ನು ಆಧರಿಸಿ ಅಂತಿಮ ದರವು ಬದಲಾಗಬಹುದು.</v>
      </c>
    </row>
    <row r="169">
      <c r="A169" s="1" t="s">
        <v>341</v>
      </c>
      <c r="B169" s="1" t="s">
        <v>342</v>
      </c>
      <c r="C169" s="2" t="str">
        <f>IFERROR(__xludf.DUMMYFUNCTION("GOOGLETRANSLATE(B169,""en"",""ta"")"),"ஓட்டுநரின் ஒப்புதலுக்காகக் காத்திருக்கிறது")</f>
        <v>ஓட்டுநரின் ஒப்புதலுக்காகக் காத்திருக்கிறது</v>
      </c>
      <c r="D169" s="2" t="str">
        <f>IFERROR(__xludf.DUMMYFUNCTION("GOOGLETRANSLATE(B169,""en"",""hi"")"),"ड्राइवर की स्वीकृति की प्रतीक्षा में")</f>
        <v>ड्राइवर की स्वीकृति की प्रतीक्षा में</v>
      </c>
      <c r="E169" s="2" t="str">
        <f>IFERROR(__xludf.DUMMYFUNCTION("GOOGLETRANSLATE(B169,""en"",""ml"")"),"ഡ്രൈവർ അനുമതിക്കായി കാത്തിരിക്കുന്നു")</f>
        <v>ഡ്രൈവർ അനുമതിക്കായി കാത്തിരിക്കുന്നു</v>
      </c>
      <c r="F169" s="2" t="str">
        <f>IFERROR(__xludf.DUMMYFUNCTION("GOOGLETRANSLATE(B169,""en"",""te"")"),"డ్రైవర్ అనుమతి కోసం వేచి ఉంది")</f>
        <v>డ్రైవర్ అనుమతి కోసం వేచి ఉంది</v>
      </c>
      <c r="G169" s="2" t="str">
        <f>IFERROR(__xludf.DUMMYFUNCTION("GOOGLETRANSLATE(B169,""en"",""kn"")"),"ಚಾಲಕ ಅನುಮೋದನೆಗಾಗಿ ಕಾಯಲಾಗುತ್ತಿದೆ")</f>
        <v>ಚಾಲಕ ಅನುಮೋದನೆಗಾಗಿ ಕಾಯಲಾಗುತ್ತಿದೆ</v>
      </c>
    </row>
    <row r="170">
      <c r="A170" s="1" t="s">
        <v>343</v>
      </c>
      <c r="B170" s="1" t="s">
        <v>344</v>
      </c>
      <c r="C170" s="2" t="str">
        <f>IFERROR(__xludf.DUMMYFUNCTION("GOOGLETRANSLATE(B170,""en"",""ta"")"),"உறுதிப்படுத்துகிறது...")</f>
        <v>உறுதிப்படுத்துகிறது...</v>
      </c>
      <c r="D170" s="2" t="str">
        <f>IFERROR(__xludf.DUMMYFUNCTION("GOOGLETRANSLATE(B170,""en"",""hi"")"),"पुष्टि...")</f>
        <v>पुष्टि...</v>
      </c>
      <c r="E170" s="2" t="str">
        <f>IFERROR(__xludf.DUMMYFUNCTION("GOOGLETRANSLATE(B170,""en"",""ml"")"),"സ്ഥിരീകരിക്കുന്നു...")</f>
        <v>സ്ഥിരീകരിക്കുന്നു...</v>
      </c>
      <c r="F170" s="2" t="str">
        <f>IFERROR(__xludf.DUMMYFUNCTION("GOOGLETRANSLATE(B170,""en"",""te"")"),"ధృవీకరిస్తోంది...")</f>
        <v>ధృవీకరిస్తోంది...</v>
      </c>
      <c r="G170" s="2" t="str">
        <f>IFERROR(__xludf.DUMMYFUNCTION("GOOGLETRANSLATE(B170,""en"",""kn"")"),"ದೃಢೀಕರಿಸಲಾಗುತ್ತಿದೆ...")</f>
        <v>ದೃಢೀಕರಿಸಲಾಗುತ್ತಿದೆ...</v>
      </c>
    </row>
    <row r="171">
      <c r="A171" s="1" t="s">
        <v>345</v>
      </c>
      <c r="B171" s="1" t="s">
        <v>346</v>
      </c>
      <c r="C171" s="2" t="str">
        <f>IFERROR(__xludf.DUMMYFUNCTION("GOOGLETRANSLATE(B171,""en"",""ta"")"),"கணக்கிடுகிறது...")</f>
        <v>கணக்கிடுகிறது...</v>
      </c>
      <c r="D171" s="2" t="str">
        <f>IFERROR(__xludf.DUMMYFUNCTION("GOOGLETRANSLATE(B171,""en"",""hi"")"),"गणना...")</f>
        <v>गणना...</v>
      </c>
      <c r="E171" s="2" t="str">
        <f>IFERROR(__xludf.DUMMYFUNCTION("GOOGLETRANSLATE(B171,""en"",""ml"")"),"കണക്കാക്കുന്നു...")</f>
        <v>കണക്കാക്കുന്നു...</v>
      </c>
      <c r="F171" s="2" t="str">
        <f>IFERROR(__xludf.DUMMYFUNCTION("GOOGLETRANSLATE(B171,""en"",""te"")"),"లెక్కిస్తోంది...")</f>
        <v>లెక్కిస్తోంది...</v>
      </c>
      <c r="G171" s="2" t="str">
        <f>IFERROR(__xludf.DUMMYFUNCTION("GOOGLETRANSLATE(B171,""en"",""kn"")"),"ಲೆಕ್ಕಾಚಾರ ಮಾಡಲಾಗುತ್ತಿದೆ...")</f>
        <v>ಲೆಕ್ಕಾಚಾರ ಮಾಡಲಾಗುತ್ತಿದೆ...</v>
      </c>
    </row>
    <row r="172">
      <c r="A172" s="1" t="s">
        <v>347</v>
      </c>
      <c r="B172" s="1" t="s">
        <v>348</v>
      </c>
      <c r="C172" s="2" t="str">
        <f>IFERROR(__xludf.DUMMYFUNCTION("GOOGLETRANSLATE(B172,""en"",""ta"")"),"கி.மீ")</f>
        <v>கி.மீ</v>
      </c>
      <c r="D172" s="2" t="str">
        <f>IFERROR(__xludf.DUMMYFUNCTION("GOOGLETRANSLATE(B172,""en"",""hi"")"),"किमी")</f>
        <v>किमी</v>
      </c>
      <c r="E172" s="2" t="str">
        <f>IFERROR(__xludf.DUMMYFUNCTION("GOOGLETRANSLATE(B172,""en"",""ml"")"),"കി.മീ")</f>
        <v>കി.മീ</v>
      </c>
      <c r="F172" s="2" t="str">
        <f>IFERROR(__xludf.DUMMYFUNCTION("GOOGLETRANSLATE(B172,""en"",""te"")"),"కి.మీ")</f>
        <v>కి.మీ</v>
      </c>
      <c r="G172" s="2" t="str">
        <f>IFERROR(__xludf.DUMMYFUNCTION("GOOGLETRANSLATE(B172,""en"",""kn"")"),"ಕಿ.ಮೀ")</f>
        <v>ಕಿ.ಮೀ</v>
      </c>
    </row>
    <row r="173">
      <c r="A173" s="1" t="s">
        <v>349</v>
      </c>
      <c r="B173" s="1" t="s">
        <v>349</v>
      </c>
      <c r="C173" s="2" t="str">
        <f>IFERROR(__xludf.DUMMYFUNCTION("GOOGLETRANSLATE(B173,""en"",""ta"")"),"நிமிடம்")</f>
        <v>நிமிடம்</v>
      </c>
      <c r="D173" s="2" t="str">
        <f>IFERROR(__xludf.DUMMYFUNCTION("GOOGLETRANSLATE(B173,""en"",""hi"")"),"मिन")</f>
        <v>मिन</v>
      </c>
      <c r="E173" s="2" t="str">
        <f>IFERROR(__xludf.DUMMYFUNCTION("GOOGLETRANSLATE(B173,""en"",""ml"")"),"മിനിറ്റ്")</f>
        <v>മിനിറ്റ്</v>
      </c>
      <c r="F173" s="2" t="str">
        <f>IFERROR(__xludf.DUMMYFUNCTION("GOOGLETRANSLATE(B173,""en"",""te"")"),"నిమి")</f>
        <v>నిమి</v>
      </c>
      <c r="G173" s="2" t="str">
        <f>IFERROR(__xludf.DUMMYFUNCTION("GOOGLETRANSLATE(B173,""en"",""kn"")"),"ನಿಮಿಷ")</f>
        <v>ನಿಮಿಷ</v>
      </c>
    </row>
    <row r="174">
      <c r="A174" s="1" t="s">
        <v>350</v>
      </c>
      <c r="B174" s="1" t="s">
        <v>351</v>
      </c>
      <c r="C174" s="2" t="str">
        <f>IFERROR(__xludf.DUMMYFUNCTION("GOOGLETRANSLATE(B174,""en"",""ta"")"),"கட்டணம் மாறுபடலாம்")</f>
        <v>கட்டணம் மாறுபடலாம்</v>
      </c>
      <c r="D174" s="2" t="str">
        <f>IFERROR(__xludf.DUMMYFUNCTION("GOOGLETRANSLATE(B174,""en"",""hi"")"),"किराया भिन्न हो सकता है")</f>
        <v>किराया भिन्न हो सकता है</v>
      </c>
      <c r="E174" s="2" t="str">
        <f>IFERROR(__xludf.DUMMYFUNCTION("GOOGLETRANSLATE(B174,""en"",""ml"")"),"നിരക്ക് വ്യത്യാസപ്പെടാം")</f>
        <v>നിരക്ക് വ്യത്യാസപ്പെടാം</v>
      </c>
      <c r="F174" s="2" t="str">
        <f>IFERROR(__xludf.DUMMYFUNCTION("GOOGLETRANSLATE(B174,""en"",""te"")"),"ఛార్జీ మారవచ్చు")</f>
        <v>ఛార్జీ మారవచ్చు</v>
      </c>
      <c r="G174" s="2" t="str">
        <f>IFERROR(__xludf.DUMMYFUNCTION("GOOGLETRANSLATE(B174,""en"",""kn"")"),"ದರ ಬದಲಾಗಬಹುದು")</f>
        <v>ದರ ಬದಲಾಗಬಹುದು</v>
      </c>
    </row>
    <row r="175">
      <c r="A175" s="1" t="s">
        <v>352</v>
      </c>
      <c r="B175" s="1" t="s">
        <v>353</v>
      </c>
      <c r="C175" s="2" t="str">
        <f>IFERROR(__xludf.DUMMYFUNCTION("GOOGLETRANSLATE(B175,""en"",""ta"")"),"திறன்")</f>
        <v>திறன்</v>
      </c>
      <c r="D175" s="2" t="str">
        <f>IFERROR(__xludf.DUMMYFUNCTION("GOOGLETRANSLATE(B175,""en"",""hi"")"),"क्षमता")</f>
        <v>क्षमता</v>
      </c>
      <c r="E175" s="2" t="str">
        <f>IFERROR(__xludf.DUMMYFUNCTION("GOOGLETRANSLATE(B175,""en"",""ml"")"),"ശേഷി")</f>
        <v>ശേഷി</v>
      </c>
      <c r="F175" s="2" t="str">
        <f>IFERROR(__xludf.DUMMYFUNCTION("GOOGLETRANSLATE(B175,""en"",""te"")"),"కెపాసిటీ")</f>
        <v>కెపాసిటీ</v>
      </c>
      <c r="G175" s="2" t="str">
        <f>IFERROR(__xludf.DUMMYFUNCTION("GOOGLETRANSLATE(B175,""en"",""kn"")"),"ಸಾಮರ್ಥ್ಯ")</f>
        <v>ಸಾಮರ್ಥ್ಯ</v>
      </c>
    </row>
    <row r="176">
      <c r="A176" s="1" t="s">
        <v>354</v>
      </c>
      <c r="B176" s="1" t="s">
        <v>355</v>
      </c>
      <c r="C176" s="2" t="str">
        <f>IFERROR(__xludf.DUMMYFUNCTION("GOOGLETRANSLATE(B176,""en"",""ta"")"),"மதிப்பிடப்பட்ட கட்டணம்")</f>
        <v>மதிப்பிடப்பட்ட கட்டணம்</v>
      </c>
      <c r="D176" s="2" t="str">
        <f>IFERROR(__xludf.DUMMYFUNCTION("GOOGLETRANSLATE(B176,""en"",""hi"")"),"अनुमानित किराया")</f>
        <v>अनुमानित किराया</v>
      </c>
      <c r="E176" s="2" t="str">
        <f>IFERROR(__xludf.DUMMYFUNCTION("GOOGLETRANSLATE(B176,""en"",""ml"")"),"കണക്കാക്കിയ നിരക്ക്")</f>
        <v>കണക്കാക്കിയ നിരക്ക്</v>
      </c>
      <c r="F176" s="2" t="str">
        <f>IFERROR(__xludf.DUMMYFUNCTION("GOOGLETRANSLATE(B176,""en"",""te"")"),"అంచనా ధర")</f>
        <v>అంచనా ధర</v>
      </c>
      <c r="G176" s="2" t="str">
        <f>IFERROR(__xludf.DUMMYFUNCTION("GOOGLETRANSLATE(B176,""en"",""kn"")"),"ಅಂದಾಜು ದರ")</f>
        <v>ಅಂದಾಜು ದರ</v>
      </c>
    </row>
    <row r="177">
      <c r="A177" s="1" t="s">
        <v>356</v>
      </c>
      <c r="B177" s="1" t="s">
        <v>357</v>
      </c>
      <c r="C177" s="2" t="str">
        <f>IFERROR(__xludf.DUMMYFUNCTION("GOOGLETRANSLATE(B177,""en"",""ta"")"),"வாகனத்தைத் தேர்ந்தெடுக்கவும்")</f>
        <v>வாகனத்தைத் தேர்ந்தெடுக்கவும்</v>
      </c>
      <c r="D177" s="2" t="str">
        <f>IFERROR(__xludf.DUMMYFUNCTION("GOOGLETRANSLATE(B177,""en"",""hi"")"),"वाहन चुनें")</f>
        <v>वाहन चुनें</v>
      </c>
      <c r="E177" s="2" t="str">
        <f>IFERROR(__xludf.DUMMYFUNCTION("GOOGLETRANSLATE(B177,""en"",""ml"")"),"വാഹനം തിരഞ്ഞെടുക്കുക")</f>
        <v>വാഹനം തിരഞ്ഞെടുക്കുക</v>
      </c>
      <c r="F177" s="2" t="str">
        <f>IFERROR(__xludf.DUMMYFUNCTION("GOOGLETRANSLATE(B177,""en"",""te"")"),"వాహనాన్ని ఎంచుకోండి")</f>
        <v>వాహనాన్ని ఎంచుకోండి</v>
      </c>
      <c r="G177" s="2" t="str">
        <f>IFERROR(__xludf.DUMMYFUNCTION("GOOGLETRANSLATE(B177,""en"",""kn"")"),"ವಾಹನವನ್ನು ಆಯ್ಕೆಮಾಡಿ")</f>
        <v>ವಾಹನವನ್ನು ಆಯ್ಕೆಮಾಡಿ</v>
      </c>
    </row>
    <row r="178">
      <c r="A178" s="1" t="s">
        <v>358</v>
      </c>
      <c r="B178" s="1" t="s">
        <v>359</v>
      </c>
      <c r="C178" s="2" t="str">
        <f>IFERROR(__xludf.DUMMYFUNCTION("GOOGLETRANSLATE(B178,""en"",""ta"")"),"வாகனங்கள் இல்லை")</f>
        <v>வாகனங்கள் இல்லை</v>
      </c>
      <c r="D178" s="2" t="str">
        <f>IFERROR(__xludf.DUMMYFUNCTION("GOOGLETRANSLATE(B178,""en"",""hi"")"),"कोई वाहन उपलब्ध नहीं है")</f>
        <v>कोई वाहन उपलब्ध नहीं है</v>
      </c>
      <c r="E178" s="2" t="str">
        <f>IFERROR(__xludf.DUMMYFUNCTION("GOOGLETRANSLATE(B178,""en"",""ml"")"),"വാഹനങ്ങളൊന്നും ലഭ്യമല്ല")</f>
        <v>വാഹനങ്ങളൊന്നും ലഭ്യമല്ല</v>
      </c>
      <c r="F178" s="2" t="str">
        <f>IFERROR(__xludf.DUMMYFUNCTION("GOOGLETRANSLATE(B178,""en"",""te"")"),"వాహనాలు అందుబాటులో లేవు")</f>
        <v>వాహనాలు అందుబాటులో లేవు</v>
      </c>
      <c r="G178" s="2" t="str">
        <f>IFERROR(__xludf.DUMMYFUNCTION("GOOGLETRANSLATE(B178,""en"",""kn"")"),"ಯಾವುದೇ ವಾಹನಗಳು ಲಭ್ಯವಿಲ್ಲ")</f>
        <v>ಯಾವುದೇ ವಾಹನಗಳು ಲಭ್ಯವಿಲ್ಲ</v>
      </c>
    </row>
    <row r="179">
      <c r="A179" s="1" t="s">
        <v>360</v>
      </c>
      <c r="B179" s="1" t="s">
        <v>361</v>
      </c>
      <c r="C179" s="2" t="str">
        <f>IFERROR(__xludf.DUMMYFUNCTION("GOOGLETRANSLATE(B179,""en"",""ta"")"),"வாகனங்களை ஏற்றுகிறது...")</f>
        <v>வாகனங்களை ஏற்றுகிறது...</v>
      </c>
      <c r="D179" s="2" t="str">
        <f>IFERROR(__xludf.DUMMYFUNCTION("GOOGLETRANSLATE(B179,""en"",""hi"")"),"वाहन लोड हो रहे हैं...")</f>
        <v>वाहन लोड हो रहे हैं...</v>
      </c>
      <c r="E179" s="2" t="str">
        <f>IFERROR(__xludf.DUMMYFUNCTION("GOOGLETRANSLATE(B179,""en"",""ml"")"),"വാഹനങ്ങൾ കയറ്റുന്നു...")</f>
        <v>വാഹനങ്ങൾ കയറ്റുന്നു...</v>
      </c>
      <c r="F179" s="2" t="str">
        <f>IFERROR(__xludf.DUMMYFUNCTION("GOOGLETRANSLATE(B179,""en"",""te"")"),"వాహనాలను లోడ్ చేస్తోంది...")</f>
        <v>వాహనాలను లోడ్ చేస్తోంది...</v>
      </c>
      <c r="G179" s="2" t="str">
        <f>IFERROR(__xludf.DUMMYFUNCTION("GOOGLETRANSLATE(B179,""en"",""kn"")"),"ವಾಹನಗಳನ್ನು ಲೋಡ್ ಮಾಡಲಾಗುತ್ತಿದೆ...")</f>
        <v>ವಾಹನಗಳನ್ನು ಲೋಡ್ ಮಾಡಲಾಗುತ್ತಿದೆ...</v>
      </c>
    </row>
    <row r="180">
      <c r="A180" s="1" t="s">
        <v>362</v>
      </c>
      <c r="B180" s="1" t="s">
        <v>363</v>
      </c>
      <c r="C180" s="2" t="str">
        <f>IFERROR(__xludf.DUMMYFUNCTION("GOOGLETRANSLATE(B180,""en"",""ta"")"),"பணம் செலுத்தும் முறைகள்")</f>
        <v>பணம் செலுத்தும் முறைகள்</v>
      </c>
      <c r="D180" s="2" t="str">
        <f>IFERROR(__xludf.DUMMYFUNCTION("GOOGLETRANSLATE(B180,""en"",""hi"")"),"भुगतान विधियाँ")</f>
        <v>भुगतान विधियाँ</v>
      </c>
      <c r="E180" s="2" t="str">
        <f>IFERROR(__xludf.DUMMYFUNCTION("GOOGLETRANSLATE(B180,""en"",""ml"")"),"പേയ്മെൻ്റ് രീതികൾ")</f>
        <v>പേയ്മെൻ്റ് രീതികൾ</v>
      </c>
      <c r="F180" s="2" t="str">
        <f>IFERROR(__xludf.DUMMYFUNCTION("GOOGLETRANSLATE(B180,""en"",""te"")"),"చెల్లింపు పద్ధతులు")</f>
        <v>చెల్లింపు పద్ధతులు</v>
      </c>
      <c r="G180" s="2" t="str">
        <f>IFERROR(__xludf.DUMMYFUNCTION("GOOGLETRANSLATE(B180,""en"",""kn"")"),"ಪಾವತಿ ವಿಧಾನಗಳು")</f>
        <v>ಪಾವತಿ ವಿಧಾನಗಳು</v>
      </c>
    </row>
    <row r="181">
      <c r="A181" s="1" t="s">
        <v>364</v>
      </c>
      <c r="B181" s="1" t="s">
        <v>365</v>
      </c>
      <c r="C181" s="2" t="str">
        <f>IFERROR(__xludf.DUMMYFUNCTION("GOOGLETRANSLATE(B181,""en"",""ta"")"),"பணம்")</f>
        <v>பணம்</v>
      </c>
      <c r="D181" s="2" t="str">
        <f>IFERROR(__xludf.DUMMYFUNCTION("GOOGLETRANSLATE(B181,""en"",""hi"")"),"नकद")</f>
        <v>नकद</v>
      </c>
      <c r="E181" s="2" t="str">
        <f>IFERROR(__xludf.DUMMYFUNCTION("GOOGLETRANSLATE(B181,""en"",""ml"")"),"പണം")</f>
        <v>പണം</v>
      </c>
      <c r="F181" s="2" t="str">
        <f>IFERROR(__xludf.DUMMYFUNCTION("GOOGLETRANSLATE(B181,""en"",""te"")"),"నగదు")</f>
        <v>నగదు</v>
      </c>
      <c r="G181" s="2" t="str">
        <f>IFERROR(__xludf.DUMMYFUNCTION("GOOGLETRANSLATE(B181,""en"",""kn"")"),"ನಗದು")</f>
        <v>ನಗದು</v>
      </c>
    </row>
    <row r="182">
      <c r="A182" s="1" t="s">
        <v>366</v>
      </c>
      <c r="B182" s="1" t="s">
        <v>367</v>
      </c>
      <c r="C182" s="2" t="str">
        <f>IFERROR(__xludf.DUMMYFUNCTION("GOOGLETRANSLATE(B182,""en"",""ta"")"),"UPI")</f>
        <v>UPI</v>
      </c>
      <c r="D182" s="2" t="str">
        <f>IFERROR(__xludf.DUMMYFUNCTION("GOOGLETRANSLATE(B182,""en"",""hi"")"),"है मैं")</f>
        <v>है मैं</v>
      </c>
      <c r="E182" s="2" t="str">
        <f>IFERROR(__xludf.DUMMYFUNCTION("GOOGLETRANSLATE(B182,""en"",""ml"")"),"യുപിഐ")</f>
        <v>യുപിഐ</v>
      </c>
      <c r="F182" s="2" t="str">
        <f>IFERROR(__xludf.DUMMYFUNCTION("GOOGLETRANSLATE(B182,""en"",""te"")"),"UPI")</f>
        <v>UPI</v>
      </c>
      <c r="G182" s="2" t="str">
        <f>IFERROR(__xludf.DUMMYFUNCTION("GOOGLETRANSLATE(B182,""en"",""kn"")"),"UPI")</f>
        <v>UPI</v>
      </c>
    </row>
    <row r="183">
      <c r="A183" s="1" t="s">
        <v>368</v>
      </c>
      <c r="B183" s="1" t="s">
        <v>369</v>
      </c>
      <c r="C183" s="2" t="str">
        <f>IFERROR(__xludf.DUMMYFUNCTION("GOOGLETRANSLATE(B183,""en"",""ta"")"),"அட்டை")</f>
        <v>அட்டை</v>
      </c>
      <c r="D183" s="2" t="str">
        <f>IFERROR(__xludf.DUMMYFUNCTION("GOOGLETRANSLATE(B183,""en"",""hi"")"),"कार्ड")</f>
        <v>कार्ड</v>
      </c>
      <c r="E183" s="2" t="str">
        <f>IFERROR(__xludf.DUMMYFUNCTION("GOOGLETRANSLATE(B183,""en"",""ml"")"),"കാർഡ്")</f>
        <v>കാർഡ്</v>
      </c>
      <c r="F183" s="2" t="str">
        <f>IFERROR(__xludf.DUMMYFUNCTION("GOOGLETRANSLATE(B183,""en"",""te"")"),"కార్డ్")</f>
        <v>కార్డ్</v>
      </c>
      <c r="G183" s="2" t="str">
        <f>IFERROR(__xludf.DUMMYFUNCTION("GOOGLETRANSLATE(B183,""en"",""kn"")"),"ಕಾರ್ಡ್")</f>
        <v>ಕಾರ್ಡ್</v>
      </c>
    </row>
    <row r="184">
      <c r="A184" s="1" t="s">
        <v>370</v>
      </c>
      <c r="B184" s="1" t="s">
        <v>371</v>
      </c>
      <c r="C184" s="2" t="str">
        <f>IFERROR(__xludf.DUMMYFUNCTION("GOOGLETRANSLATE(B184,""en"",""ta"")"),"கட்டண முறையைத் தேர்ந்தெடுக்கவும்")</f>
        <v>கட்டண முறையைத் தேர்ந்தெடுக்கவும்</v>
      </c>
      <c r="D184" s="2" t="str">
        <f>IFERROR(__xludf.DUMMYFUNCTION("GOOGLETRANSLATE(B184,""en"",""hi"")"),"भुगतान विधि चुनें")</f>
        <v>भुगतान विधि चुनें</v>
      </c>
      <c r="E184" s="2" t="str">
        <f>IFERROR(__xludf.DUMMYFUNCTION("GOOGLETRANSLATE(B184,""en"",""ml"")"),"പേയ്‌മെൻ്റ് രീതി തിരഞ്ഞെടുക്കുക")</f>
        <v>പേയ്‌മെൻ്റ് രീതി തിരഞ്ഞെടുക്കുക</v>
      </c>
      <c r="F184" s="2" t="str">
        <f>IFERROR(__xludf.DUMMYFUNCTION("GOOGLETRANSLATE(B184,""en"",""te"")"),"చెల్లింపు పద్ధతిని ఎంచుకోండి")</f>
        <v>చెల్లింపు పద్ధతిని ఎంచుకోండి</v>
      </c>
      <c r="G184" s="2" t="str">
        <f>IFERROR(__xludf.DUMMYFUNCTION("GOOGLETRANSLATE(B184,""en"",""kn"")"),"ಪಾವತಿ ವಿಧಾನವನ್ನು ಆಯ್ಕೆಮಾಡಿ")</f>
        <v>ಪಾವತಿ ವಿಧಾನವನ್ನು ಆಯ್ಕೆಮಾಡಿ</v>
      </c>
    </row>
    <row r="185">
      <c r="A185" s="1" t="s">
        <v>372</v>
      </c>
      <c r="B185" s="1" t="s">
        <v>373</v>
      </c>
      <c r="C185" s="2" t="str">
        <f>IFERROR(__xludf.DUMMYFUNCTION("GOOGLETRANSLATE(B185,""en"",""ta"")"),"கூப்பன்கள்")</f>
        <v>கூப்பன்கள்</v>
      </c>
      <c r="D185" s="2" t="str">
        <f>IFERROR(__xludf.DUMMYFUNCTION("GOOGLETRANSLATE(B185,""en"",""hi"")"),"कूपन")</f>
        <v>कूपन</v>
      </c>
      <c r="E185" s="2" t="str">
        <f>IFERROR(__xludf.DUMMYFUNCTION("GOOGLETRANSLATE(B185,""en"",""ml"")"),"കൂപ്പണുകൾ")</f>
        <v>കൂപ്പണുകൾ</v>
      </c>
      <c r="F185" s="2" t="str">
        <f>IFERROR(__xludf.DUMMYFUNCTION("GOOGLETRANSLATE(B185,""en"",""te"")"),"కూపన్లు")</f>
        <v>కూపన్లు</v>
      </c>
      <c r="G185" s="2" t="str">
        <f>IFERROR(__xludf.DUMMYFUNCTION("GOOGLETRANSLATE(B185,""en"",""kn"")"),"ಕೂಪನ್ಗಳು")</f>
        <v>ಕೂಪನ್ಗಳು</v>
      </c>
    </row>
    <row r="186">
      <c r="A186" s="1" t="s">
        <v>374</v>
      </c>
      <c r="B186" s="1" t="s">
        <v>375</v>
      </c>
      <c r="C186" s="2" t="str">
        <f>IFERROR(__xludf.DUMMYFUNCTION("GOOGLETRANSLATE(B186,""en"",""ta"")"),"கிடைக்கும் கூப்பன்கள்")</f>
        <v>கிடைக்கும் கூப்பன்கள்</v>
      </c>
      <c r="D186" s="2" t="str">
        <f>IFERROR(__xludf.DUMMYFUNCTION("GOOGLETRANSLATE(B186,""en"",""hi"")"),"उपलब्ध कूपन")</f>
        <v>उपलब्ध कूपन</v>
      </c>
      <c r="E186" s="2" t="str">
        <f>IFERROR(__xludf.DUMMYFUNCTION("GOOGLETRANSLATE(B186,""en"",""ml"")"),"ലഭ്യമായ കൂപ്പണുകൾ")</f>
        <v>ലഭ്യമായ കൂപ്പണുകൾ</v>
      </c>
      <c r="F186" s="2" t="str">
        <f>IFERROR(__xludf.DUMMYFUNCTION("GOOGLETRANSLATE(B186,""en"",""te"")"),"అందుబాటులో ఉన్న కూపన్లు")</f>
        <v>అందుబాటులో ఉన్న కూపన్లు</v>
      </c>
      <c r="G186" s="2" t="str">
        <f>IFERROR(__xludf.DUMMYFUNCTION("GOOGLETRANSLATE(B186,""en"",""kn"")"),"ಲಭ್ಯವಿರುವ ಕೂಪನ್‌ಗಳು")</f>
        <v>ಲಭ್ಯವಿರುವ ಕೂಪನ್‌ಗಳು</v>
      </c>
    </row>
    <row r="187">
      <c r="A187" s="1" t="s">
        <v>376</v>
      </c>
      <c r="B187" s="1" t="s">
        <v>377</v>
      </c>
      <c r="C187" s="2" t="str">
        <f>IFERROR(__xludf.DUMMYFUNCTION("GOOGLETRANSLATE(B187,""en"",""ta"")"),"கூப்பன்கள் இல்லை")</f>
        <v>கூப்பன்கள் இல்லை</v>
      </c>
      <c r="D187" s="2" t="str">
        <f>IFERROR(__xludf.DUMMYFUNCTION("GOOGLETRANSLATE(B187,""en"",""hi"")"),"कोई कूपन उपलब्ध नहीं है")</f>
        <v>कोई कूपन उपलब्ध नहीं है</v>
      </c>
      <c r="E187" s="2" t="str">
        <f>IFERROR(__xludf.DUMMYFUNCTION("GOOGLETRANSLATE(B187,""en"",""ml"")"),"കൂപ്പണുകളൊന്നും ലഭ്യമല്ല")</f>
        <v>കൂപ്പണുകളൊന്നും ലഭ്യമല്ല</v>
      </c>
      <c r="F187" s="2" t="str">
        <f>IFERROR(__xludf.DUMMYFUNCTION("GOOGLETRANSLATE(B187,""en"",""te"")"),"కూపన్లు అందుబాటులో లేవు")</f>
        <v>కూపన్లు అందుబాటులో లేవు</v>
      </c>
      <c r="G187" s="2" t="str">
        <f>IFERROR(__xludf.DUMMYFUNCTION("GOOGLETRANSLATE(B187,""en"",""kn"")"),"ಯಾವುದೇ ಕೂಪನ್‌ಗಳು ಲಭ್ಯವಿಲ್ಲ")</f>
        <v>ಯಾವುದೇ ಕೂಪನ್‌ಗಳು ಲಭ್ಯವಿಲ್ಲ</v>
      </c>
    </row>
    <row r="188">
      <c r="A188" s="1" t="s">
        <v>378</v>
      </c>
      <c r="B188" s="1" t="s">
        <v>379</v>
      </c>
      <c r="C188" s="2" t="str">
        <f>IFERROR(__xludf.DUMMYFUNCTION("GOOGLETRANSLATE(B188,""en"",""ta"")"),"கூப்பனை விண்ணப்பிக்கவும்")</f>
        <v>கூப்பனை விண்ணப்பிக்கவும்</v>
      </c>
      <c r="D188" s="2" t="str">
        <f>IFERROR(__xludf.DUMMYFUNCTION("GOOGLETRANSLATE(B188,""en"",""hi"")"),"कूपन के लिए आवेदन करो")</f>
        <v>कूपन के लिए आवेदन करो</v>
      </c>
      <c r="E188" s="2" t="str">
        <f>IFERROR(__xludf.DUMMYFUNCTION("GOOGLETRANSLATE(B188,""en"",""ml"")"),"കൂപ്പൺ പ്രയോഗിക്കുക")</f>
        <v>കൂപ്പൺ പ്രയോഗിക്കുക</v>
      </c>
      <c r="F188" s="2" t="str">
        <f>IFERROR(__xludf.DUMMYFUNCTION("GOOGLETRANSLATE(B188,""en"",""te"")"),"కూపన్ వర్తించు")</f>
        <v>కూపన్ వర్తించు</v>
      </c>
      <c r="G188" s="2" t="str">
        <f>IFERROR(__xludf.DUMMYFUNCTION("GOOGLETRANSLATE(B188,""en"",""kn"")"),"ಕೂಪನ್ ಅನ್ನು ಅನ್ವಯಿಸಿ")</f>
        <v>ಕೂಪನ್ ಅನ್ನು ಅನ್ವಯಿಸಿ</v>
      </c>
    </row>
    <row r="189">
      <c r="A189" s="1" t="s">
        <v>380</v>
      </c>
      <c r="B189" s="1" t="s">
        <v>381</v>
      </c>
      <c r="C189" s="2" t="str">
        <f>IFERROR(__xludf.DUMMYFUNCTION("GOOGLETRANSLATE(B189,""en"",""ta"")"),"கூப்பன் பயன்படுத்தப்பட்டது")</f>
        <v>கூப்பன் பயன்படுத்தப்பட்டது</v>
      </c>
      <c r="D189" s="2" t="str">
        <f>IFERROR(__xludf.DUMMYFUNCTION("GOOGLETRANSLATE(B189,""en"",""hi"")"),"कूपन लागू")</f>
        <v>कूपन लागू</v>
      </c>
      <c r="E189" s="2" t="str">
        <f>IFERROR(__xludf.DUMMYFUNCTION("GOOGLETRANSLATE(B189,""en"",""ml"")"),"കൂപ്പൺ പ്രയോഗിച്ചു")</f>
        <v>കൂപ്പൺ പ്രയോഗിച്ചു</v>
      </c>
      <c r="F189" s="2" t="str">
        <f>IFERROR(__xludf.DUMMYFUNCTION("GOOGLETRANSLATE(B189,""en"",""te"")"),"కూపన్ వర్తింపజేయబడింది")</f>
        <v>కూపన్ వర్తింపజేయబడింది</v>
      </c>
      <c r="G189" s="2" t="str">
        <f>IFERROR(__xludf.DUMMYFUNCTION("GOOGLETRANSLATE(B189,""en"",""kn"")"),"ಕೂಪನ್ ಅನ್ವಯಿಸಲಾಗಿದೆ")</f>
        <v>ಕೂಪನ್ ಅನ್ವಯಿಸಲಾಗಿದೆ</v>
      </c>
    </row>
    <row r="190">
      <c r="A190" s="1" t="s">
        <v>382</v>
      </c>
      <c r="B190" s="1" t="s">
        <v>383</v>
      </c>
      <c r="C190" s="2" t="str">
        <f>IFERROR(__xludf.DUMMYFUNCTION("GOOGLETRANSLATE(B190,""en"",""ta"")"),"கூப்பனை அகற்று")</f>
        <v>கூப்பனை அகற்று</v>
      </c>
      <c r="D190" s="2" t="str">
        <f>IFERROR(__xludf.DUMMYFUNCTION("GOOGLETRANSLATE(B190,""en"",""hi"")"),"कूपन हटाएँ")</f>
        <v>कूपन हटाएँ</v>
      </c>
      <c r="E190" s="2" t="str">
        <f>IFERROR(__xludf.DUMMYFUNCTION("GOOGLETRANSLATE(B190,""en"",""ml"")"),"കൂപ്പൺ നീക്കം ചെയ്യുക")</f>
        <v>കൂപ്പൺ നീക്കം ചെയ്യുക</v>
      </c>
      <c r="F190" s="2" t="str">
        <f>IFERROR(__xludf.DUMMYFUNCTION("GOOGLETRANSLATE(B190,""en"",""te"")"),"కూపన్‌ని తీసివేయండి")</f>
        <v>కూపన్‌ని తీసివేయండి</v>
      </c>
      <c r="G190" s="2" t="str">
        <f>IFERROR(__xludf.DUMMYFUNCTION("GOOGLETRANSLATE(B190,""en"",""kn"")"),"ಕೂಪನ್ ತೆಗೆದುಹಾಕಿ")</f>
        <v>ಕೂಪನ್ ತೆಗೆದುಹಾಕಿ</v>
      </c>
    </row>
    <row r="191">
      <c r="A191" s="1" t="s">
        <v>384</v>
      </c>
      <c r="B191" s="1" t="s">
        <v>385</v>
      </c>
      <c r="C191" s="2" t="str">
        <f>IFERROR(__xludf.DUMMYFUNCTION("GOOGLETRANSLATE(B191,""en"",""ta"")"),"தள்ளுபடி")</f>
        <v>தள்ளுபடி</v>
      </c>
      <c r="D191" s="2" t="str">
        <f>IFERROR(__xludf.DUMMYFUNCTION("GOOGLETRANSLATE(B191,""en"",""hi"")"),"छूट")</f>
        <v>छूट</v>
      </c>
      <c r="E191" s="2" t="str">
        <f>IFERROR(__xludf.DUMMYFUNCTION("GOOGLETRANSLATE(B191,""en"",""ml"")"),"കിഴിവ്")</f>
        <v>കിഴിവ്</v>
      </c>
      <c r="F191" s="2" t="str">
        <f>IFERROR(__xludf.DUMMYFUNCTION("GOOGLETRANSLATE(B191,""en"",""te"")"),"తగ్గింపు")</f>
        <v>తగ్గింపు</v>
      </c>
      <c r="G191" s="2" t="str">
        <f>IFERROR(__xludf.DUMMYFUNCTION("GOOGLETRANSLATE(B191,""en"",""kn"")"),"ರಿಯಾಯಿತಿ")</f>
        <v>ರಿಯಾಯಿತಿ</v>
      </c>
    </row>
    <row r="192">
      <c r="A192" s="1" t="s">
        <v>386</v>
      </c>
      <c r="B192" s="1" t="s">
        <v>387</v>
      </c>
      <c r="C192" s="2" t="str">
        <f>IFERROR(__xludf.DUMMYFUNCTION("GOOGLETRANSLATE(B192,""en"",""ta"")"),"சேமிப்பு")</f>
        <v>சேமிப்பு</v>
      </c>
      <c r="D192" s="2" t="str">
        <f>IFERROR(__xludf.DUMMYFUNCTION("GOOGLETRANSLATE(B192,""en"",""hi"")"),"बचत")</f>
        <v>बचत</v>
      </c>
      <c r="E192" s="2" t="str">
        <f>IFERROR(__xludf.DUMMYFUNCTION("GOOGLETRANSLATE(B192,""en"",""ml"")"),"സേവിംഗ്സ്")</f>
        <v>സേവിംഗ്സ്</v>
      </c>
      <c r="F192" s="2" t="str">
        <f>IFERROR(__xludf.DUMMYFUNCTION("GOOGLETRANSLATE(B192,""en"",""te"")"),"పొదుపు")</f>
        <v>పొదుపు</v>
      </c>
      <c r="G192" s="2" t="str">
        <f>IFERROR(__xludf.DUMMYFUNCTION("GOOGLETRANSLATE(B192,""en"",""kn"")"),"ಉಳಿತಾಯ")</f>
        <v>ಉಳಿತಾಯ</v>
      </c>
    </row>
    <row r="193">
      <c r="A193" s="1" t="s">
        <v>388</v>
      </c>
      <c r="B193" s="1" t="s">
        <v>389</v>
      </c>
      <c r="C193" s="2" t="str">
        <f>IFERROR(__xludf.DUMMYFUNCTION("GOOGLETRANSLATE(B193,""en"",""ta"")"),"சவாரி விருப்பங்கள்")</f>
        <v>சவாரி விருப்பங்கள்</v>
      </c>
      <c r="D193" s="2" t="str">
        <f>IFERROR(__xludf.DUMMYFUNCTION("GOOGLETRANSLATE(B193,""en"",""hi"")"),"सवारी प्राथमिकताएँ")</f>
        <v>सवारी प्राथमिकताएँ</v>
      </c>
      <c r="E193" s="2" t="str">
        <f>IFERROR(__xludf.DUMMYFUNCTION("GOOGLETRANSLATE(B193,""en"",""ml"")"),"റൈഡ് മുൻഗണനകൾ")</f>
        <v>റൈഡ് മുൻഗണനകൾ</v>
      </c>
      <c r="F193" s="2" t="str">
        <f>IFERROR(__xludf.DUMMYFUNCTION("GOOGLETRANSLATE(B193,""en"",""te"")"),"రైడ్ ప్రాధాన్యతలు")</f>
        <v>రైడ్ ప్రాధాన్యతలు</v>
      </c>
      <c r="G193" s="2" t="str">
        <f>IFERROR(__xludf.DUMMYFUNCTION("GOOGLETRANSLATE(B193,""en"",""kn"")"),"ಸವಾರಿ ಆದ್ಯತೆಗಳು")</f>
        <v>ಸವಾರಿ ಆದ್ಯತೆಗಳು</v>
      </c>
    </row>
    <row r="194">
      <c r="A194" s="1" t="s">
        <v>390</v>
      </c>
      <c r="B194" s="1" t="s">
        <v>391</v>
      </c>
      <c r="C194" s="2" t="str">
        <f>IFERROR(__xludf.DUMMYFUNCTION("GOOGLETRANSLATE(B194,""en"",""ta"")"),"விருப்பங்களைச் சேமிக்கவும்")</f>
        <v>விருப்பங்களைச் சேமிக்கவும்</v>
      </c>
      <c r="D194" s="2" t="str">
        <f>IFERROR(__xludf.DUMMYFUNCTION("GOOGLETRANSLATE(B194,""en"",""hi"")"),"प्राथमिकताएँ सहेजें")</f>
        <v>प्राथमिकताएँ सहेजें</v>
      </c>
      <c r="E194" s="2" t="str">
        <f>IFERROR(__xludf.DUMMYFUNCTION("GOOGLETRANSLATE(B194,""en"",""ml"")"),"മുൻഗണനകൾ സംരക്ഷിക്കുക")</f>
        <v>മുൻഗണനകൾ സംരക്ഷിക്കുക</v>
      </c>
      <c r="F194" s="2" t="str">
        <f>IFERROR(__xludf.DUMMYFUNCTION("GOOGLETRANSLATE(B194,""en"",""te"")"),"ప్రాధాన్యతలను సేవ్ చేయండి")</f>
        <v>ప్రాధాన్యతలను సేవ్ చేయండి</v>
      </c>
      <c r="G194" s="2" t="str">
        <f>IFERROR(__xludf.DUMMYFUNCTION("GOOGLETRANSLATE(B194,""en"",""kn"")"),"ಆದ್ಯತೆಗಳನ್ನು ಉಳಿಸಿ")</f>
        <v>ಆದ್ಯತೆಗಳನ್ನು ಉಳಿಸಿ</v>
      </c>
    </row>
    <row r="195">
      <c r="A195" s="1" t="s">
        <v>392</v>
      </c>
      <c r="B195" s="1" t="s">
        <v>393</v>
      </c>
      <c r="C195" s="2" t="str">
        <f>IFERROR(__xludf.DUMMYFUNCTION("GOOGLETRANSLATE(B195,""en"",""ta"")"),"விருப்பத்தேர்வுகள் சேமிக்கப்பட்டன")</f>
        <v>விருப்பத்தேர்வுகள் சேமிக்கப்பட்டன</v>
      </c>
      <c r="D195" s="2" t="str">
        <f>IFERROR(__xludf.DUMMYFUNCTION("GOOGLETRANSLATE(B195,""en"",""hi"")"),"प्राथमिकताएँ सहेजी गईं")</f>
        <v>प्राथमिकताएँ सहेजी गईं</v>
      </c>
      <c r="E195" s="2" t="str">
        <f>IFERROR(__xludf.DUMMYFUNCTION("GOOGLETRANSLATE(B195,""en"",""ml"")"),"മുൻഗണനകൾ സംരക്ഷിച്ചു")</f>
        <v>മുൻഗണനകൾ സംരക്ഷിച്ചു</v>
      </c>
      <c r="F195" s="2" t="str">
        <f>IFERROR(__xludf.DUMMYFUNCTION("GOOGLETRANSLATE(B195,""en"",""te"")"),"ప్రాధాన్యతలు సేవ్ చేయబడ్డాయి")</f>
        <v>ప్రాధాన్యతలు సేవ్ చేయబడ్డాయి</v>
      </c>
      <c r="G195" s="2" t="str">
        <f>IFERROR(__xludf.DUMMYFUNCTION("GOOGLETRANSLATE(B195,""en"",""kn"")"),"ಪ್ರಾಶಸ್ತ್ಯಗಳನ್ನು ಉಳಿಸಲಾಗಿದೆ")</f>
        <v>ಪ್ರಾಶಸ್ತ್ಯಗಳನ್ನು ಉಳಿಸಲಾಗಿದೆ</v>
      </c>
    </row>
    <row r="196">
      <c r="A196" s="1" t="s">
        <v>394</v>
      </c>
      <c r="B196" s="1" t="s">
        <v>395</v>
      </c>
      <c r="C196" s="2" t="str">
        <f>IFERROR(__xludf.DUMMYFUNCTION("GOOGLETRANSLATE(B196,""en"",""ta"")"),"சவாரி தகவல்")</f>
        <v>சவாரி தகவல்</v>
      </c>
      <c r="D196" s="2" t="str">
        <f>IFERROR(__xludf.DUMMYFUNCTION("GOOGLETRANSLATE(B196,""en"",""hi"")"),"सवारी की जानकारी")</f>
        <v>सवारी की जानकारी</v>
      </c>
      <c r="E196" s="2" t="str">
        <f>IFERROR(__xludf.DUMMYFUNCTION("GOOGLETRANSLATE(B196,""en"",""ml"")"),"റൈഡ് വിവരം")</f>
        <v>റൈഡ് വിവരം</v>
      </c>
      <c r="F196" s="2" t="str">
        <f>IFERROR(__xludf.DUMMYFUNCTION("GOOGLETRANSLATE(B196,""en"",""te"")"),"రైడ్ సమాచారం")</f>
        <v>రైడ్ సమాచారం</v>
      </c>
      <c r="G196" s="2" t="str">
        <f>IFERROR(__xludf.DUMMYFUNCTION("GOOGLETRANSLATE(B196,""en"",""kn"")"),"ಸವಾರಿ ಮಾಹಿತಿ")</f>
        <v>ಸವಾರಿ ಮಾಹಿತಿ</v>
      </c>
    </row>
    <row r="197">
      <c r="A197" s="1" t="s">
        <v>396</v>
      </c>
      <c r="B197" s="1" t="s">
        <v>397</v>
      </c>
      <c r="C197" s="2" t="str">
        <f>IFERROR(__xludf.DUMMYFUNCTION("GOOGLETRANSLATE(B197,""en"",""ta"")"),"மதிப்பிடப்பட்ட காலம்")</f>
        <v>மதிப்பிடப்பட்ட காலம்</v>
      </c>
      <c r="D197" s="2" t="str">
        <f>IFERROR(__xludf.DUMMYFUNCTION("GOOGLETRANSLATE(B197,""en"",""hi"")"),"अनुमानित अवधि")</f>
        <v>अनुमानित अवधि</v>
      </c>
      <c r="E197" s="2" t="str">
        <f>IFERROR(__xludf.DUMMYFUNCTION("GOOGLETRANSLATE(B197,""en"",""ml"")"),"കണക്കാക്കിയ ദൈർഘ്യം")</f>
        <v>കണക്കാക്കിയ ദൈർഘ്യം</v>
      </c>
      <c r="F197" s="2" t="str">
        <f>IFERROR(__xludf.DUMMYFUNCTION("GOOGLETRANSLATE(B197,""en"",""te"")"),"అంచనా వ్యవధి")</f>
        <v>అంచనా వ్యవధి</v>
      </c>
      <c r="G197" s="2" t="str">
        <f>IFERROR(__xludf.DUMMYFUNCTION("GOOGLETRANSLATE(B197,""en"",""kn"")"),"ಅಂದಾಜು ಅವಧಿ")</f>
        <v>ಅಂದಾಜು ಅವಧಿ</v>
      </c>
    </row>
    <row r="198">
      <c r="A198" s="1" t="s">
        <v>398</v>
      </c>
      <c r="B198" s="1" t="s">
        <v>399</v>
      </c>
      <c r="C198" s="2" t="str">
        <f>IFERROR(__xludf.DUMMYFUNCTION("GOOGLETRANSLATE(B198,""en"",""ta"")"),"மதிப்பிடப்பட்ட தூரம்")</f>
        <v>மதிப்பிடப்பட்ட தூரம்</v>
      </c>
      <c r="D198" s="2" t="str">
        <f>IFERROR(__xludf.DUMMYFUNCTION("GOOGLETRANSLATE(B198,""en"",""hi"")"),"अनुमानित दूरी")</f>
        <v>अनुमानित दूरी</v>
      </c>
      <c r="E198" s="2" t="str">
        <f>IFERROR(__xludf.DUMMYFUNCTION("GOOGLETRANSLATE(B198,""en"",""ml"")"),"കണക്കാക്കിയ ദൂരം")</f>
        <v>കണക്കാക്കിയ ദൂരം</v>
      </c>
      <c r="F198" s="2" t="str">
        <f>IFERROR(__xludf.DUMMYFUNCTION("GOOGLETRANSLATE(B198,""en"",""te"")"),"అంచనా వేసిన దూరం")</f>
        <v>అంచనా వేసిన దూరం</v>
      </c>
      <c r="G198" s="2" t="str">
        <f>IFERROR(__xludf.DUMMYFUNCTION("GOOGLETRANSLATE(B198,""en"",""kn"")"),"ಅಂದಾಜು ದೂರ")</f>
        <v>ಅಂದಾಜು ದೂರ</v>
      </c>
    </row>
    <row r="199">
      <c r="A199" s="1" t="s">
        <v>400</v>
      </c>
      <c r="B199" s="1" t="s">
        <v>401</v>
      </c>
      <c r="C199" s="2" t="str">
        <f>IFERROR(__xludf.DUMMYFUNCTION("GOOGLETRANSLATE(B199,""en"",""ta"")"),"முன்பதிவு விருப்பங்கள்")</f>
        <v>முன்பதிவு விருப்பங்கள்</v>
      </c>
      <c r="D199" s="2" t="str">
        <f>IFERROR(__xludf.DUMMYFUNCTION("GOOGLETRANSLATE(B199,""en"",""hi"")"),"बुकिंग विकल्प")</f>
        <v>बुकिंग विकल्प</v>
      </c>
      <c r="E199" s="2" t="str">
        <f>IFERROR(__xludf.DUMMYFUNCTION("GOOGLETRANSLATE(B199,""en"",""ml"")"),"ബുക്കിംഗ് ഓപ്ഷനുകൾ")</f>
        <v>ബുക്കിംഗ് ഓപ്ഷനുകൾ</v>
      </c>
      <c r="F199" s="2" t="str">
        <f>IFERROR(__xludf.DUMMYFUNCTION("GOOGLETRANSLATE(B199,""en"",""te"")"),"బుకింగ్ ఎంపికలు")</f>
        <v>బుకింగ్ ఎంపికలు</v>
      </c>
      <c r="G199" s="2" t="str">
        <f>IFERROR(__xludf.DUMMYFUNCTION("GOOGLETRANSLATE(B199,""en"",""kn"")"),"ಬುಕಿಂಗ್ ಆಯ್ಕೆಗಳು")</f>
        <v>ಬುಕಿಂಗ್ ಆಯ್ಕೆಗಳು</v>
      </c>
    </row>
    <row r="200">
      <c r="A200" s="1" t="s">
        <v>402</v>
      </c>
      <c r="B200" s="1" t="s">
        <v>403</v>
      </c>
      <c r="C200" s="2" t="str">
        <f>IFERROR(__xludf.DUMMYFUNCTION("GOOGLETRANSLATE(B200,""en"",""ta"")"),"பெண் ஓட்டுனர் விருப்பம்")</f>
        <v>பெண் ஓட்டுனர் விருப்பம்</v>
      </c>
      <c r="D200" s="2" t="str">
        <f>IFERROR(__xludf.DUMMYFUNCTION("GOOGLETRANSLATE(B200,""en"",""hi"")"),"महिला चालक वरीयता")</f>
        <v>महिला चालक वरीयता</v>
      </c>
      <c r="E200" s="2" t="str">
        <f>IFERROR(__xludf.DUMMYFUNCTION("GOOGLETRANSLATE(B200,""en"",""ml"")"),"സ്ത്രീ ഡ്രൈവർ മുൻഗണന")</f>
        <v>സ്ത്രീ ഡ്രൈവർ മുൻഗണന</v>
      </c>
      <c r="F200" s="2" t="str">
        <f>IFERROR(__xludf.DUMMYFUNCTION("GOOGLETRANSLATE(B200,""en"",""te"")"),"మహిళా డ్రైవర్ ప్రాధాన్యత")</f>
        <v>మహిళా డ్రైవర్ ప్రాధాన్యత</v>
      </c>
      <c r="G200" s="2" t="str">
        <f>IFERROR(__xludf.DUMMYFUNCTION("GOOGLETRANSLATE(B200,""en"",""kn"")"),"ಮಹಿಳಾ ಚಾಲಕರ ಆದ್ಯತೆ")</f>
        <v>ಮಹಿಳಾ ಚಾಲಕರ ಆದ್ಯತೆ</v>
      </c>
    </row>
    <row r="201">
      <c r="A201" s="1" t="s">
        <v>404</v>
      </c>
      <c r="B201" s="1" t="s">
        <v>405</v>
      </c>
      <c r="C201" s="2" t="str">
        <f>IFERROR(__xludf.DUMMYFUNCTION("GOOGLETRANSLATE(B201,""en"",""ta"")"),"பிரீமியம் சவாரி")</f>
        <v>பிரீமியம் சவாரி</v>
      </c>
      <c r="D201" s="2" t="str">
        <f>IFERROR(__xludf.DUMMYFUNCTION("GOOGLETRANSLATE(B201,""en"",""hi"")"),"प्रीमियम सवारी")</f>
        <v>प्रीमियम सवारी</v>
      </c>
      <c r="E201" s="2" t="str">
        <f>IFERROR(__xludf.DUMMYFUNCTION("GOOGLETRANSLATE(B201,""en"",""ml"")"),"പ്രീമിയം റൈഡ്")</f>
        <v>പ്രീമിയം റൈഡ്</v>
      </c>
      <c r="F201" s="2" t="str">
        <f>IFERROR(__xludf.DUMMYFUNCTION("GOOGLETRANSLATE(B201,""en"",""te"")"),"ప్రీమియం రైడ్")</f>
        <v>ప్రీమియం రైడ్</v>
      </c>
      <c r="G201" s="2" t="str">
        <f>IFERROR(__xludf.DUMMYFUNCTION("GOOGLETRANSLATE(B201,""en"",""kn"")"),"ಪ್ರೀಮಿಯಂ ರೈಡ್")</f>
        <v>ಪ್ರೀಮಿಯಂ ರೈಡ್</v>
      </c>
    </row>
    <row r="202">
      <c r="A202" s="1" t="s">
        <v>406</v>
      </c>
      <c r="B202" s="1" t="s">
        <v>407</v>
      </c>
      <c r="C202" s="2" t="str">
        <f>IFERROR(__xludf.DUMMYFUNCTION("GOOGLETRANSLATE(B202,""en"",""ta"")"),"பகிரப்பட்ட சவாரி")</f>
        <v>பகிரப்பட்ட சவாரி</v>
      </c>
      <c r="D202" s="2" t="str">
        <f>IFERROR(__xludf.DUMMYFUNCTION("GOOGLETRANSLATE(B202,""en"",""hi"")"),"साझा सवारी")</f>
        <v>साझा सवारी</v>
      </c>
      <c r="E202" s="2" t="str">
        <f>IFERROR(__xludf.DUMMYFUNCTION("GOOGLETRANSLATE(B202,""en"",""ml"")"),"പങ്കിട്ട റൈഡ്")</f>
        <v>പങ്കിട്ട റൈഡ്</v>
      </c>
      <c r="F202" s="2" t="str">
        <f>IFERROR(__xludf.DUMMYFUNCTION("GOOGLETRANSLATE(B202,""en"",""te"")"),"షేర్డ్ రైడ్")</f>
        <v>షేర్డ్ రైడ్</v>
      </c>
      <c r="G202" s="2" t="str">
        <f>IFERROR(__xludf.DUMMYFUNCTION("GOOGLETRANSLATE(B202,""en"",""kn"")"),"ಹಂಚಿದ ಸವಾರಿ")</f>
        <v>ಹಂಚಿದ ಸವಾರಿ</v>
      </c>
    </row>
    <row r="203">
      <c r="A203" s="1" t="s">
        <v>408</v>
      </c>
      <c r="B203" s="1" t="s">
        <v>409</v>
      </c>
      <c r="C203" s="2" t="str">
        <f>IFERROR(__xludf.DUMMYFUNCTION("GOOGLETRANSLATE(B203,""en"",""ta"")"),"எக்ஸ்பிரஸ் சவாரி")</f>
        <v>எக்ஸ்பிரஸ் சவாரி</v>
      </c>
      <c r="D203" s="2" t="str">
        <f>IFERROR(__xludf.DUMMYFUNCTION("GOOGLETRANSLATE(B203,""en"",""hi"")"),"एक्सप्रेस सवारी")</f>
        <v>एक्सप्रेस सवारी</v>
      </c>
      <c r="E203" s="2" t="str">
        <f>IFERROR(__xludf.DUMMYFUNCTION("GOOGLETRANSLATE(B203,""en"",""ml"")"),"എക്സ്പ്രസ് റൈഡ്")</f>
        <v>എക്സ്പ്രസ് റൈഡ്</v>
      </c>
      <c r="F203" s="2" t="str">
        <f>IFERROR(__xludf.DUMMYFUNCTION("GOOGLETRANSLATE(B203,""en"",""te"")"),"ఎక్స్‌ప్రెస్ రైడ్")</f>
        <v>ఎక్స్‌ప్రెస్ రైడ్</v>
      </c>
      <c r="G203" s="2" t="str">
        <f>IFERROR(__xludf.DUMMYFUNCTION("GOOGLETRANSLATE(B203,""en"",""kn"")"),"ಎಕ್ಸ್ಪ್ರೆಸ್ ರೈಡ್")</f>
        <v>ಎಕ್ಸ್ಪ್ರೆಸ್ ರೈಡ್</v>
      </c>
    </row>
    <row r="204">
      <c r="A204" s="1" t="s">
        <v>410</v>
      </c>
      <c r="B204" s="1" t="s">
        <v>411</v>
      </c>
      <c r="C204" s="2" t="str">
        <f>IFERROR(__xludf.DUMMYFUNCTION("GOOGLETRANSLATE(B204,""en"",""ta"")"),"காலாவதியாகிறது")</f>
        <v>காலாவதியாகிறது</v>
      </c>
      <c r="D204" s="2" t="str">
        <f>IFERROR(__xludf.DUMMYFUNCTION("GOOGLETRANSLATE(B204,""en"",""hi"")"),"समाप्त हो रहा है")</f>
        <v>समाप्त हो रहा है</v>
      </c>
      <c r="E204" s="2" t="str">
        <f>IFERROR(__xludf.DUMMYFUNCTION("GOOGLETRANSLATE(B204,""en"",""ml"")"),"കാലഹരണപ്പെടുന്നു")</f>
        <v>കാലഹരണപ്പെടുന്നു</v>
      </c>
      <c r="F204" s="2" t="str">
        <f>IFERROR(__xludf.DUMMYFUNCTION("GOOGLETRANSLATE(B204,""en"",""te"")"),"గడువు ముగుస్తోంది")</f>
        <v>గడువు ముగుస్తోంది</v>
      </c>
      <c r="G204" s="2" t="str">
        <f>IFERROR(__xludf.DUMMYFUNCTION("GOOGLETRANSLATE(B204,""en"",""kn"")"),"ಅವಧಿ ಮುಗಿಯುತ್ತಿದೆ")</f>
        <v>ಅವಧಿ ಮುಗಿಯುತ್ತಿದೆ</v>
      </c>
    </row>
    <row r="205">
      <c r="A205" s="1" t="s">
        <v>412</v>
      </c>
      <c r="B205" s="1" t="s">
        <v>413</v>
      </c>
      <c r="C205" s="2" t="str">
        <f>IFERROR(__xludf.DUMMYFUNCTION("GOOGLETRANSLATE(B205,""en"",""ta"")"),"பெண் ஓட்டுனர்கள் மட்டும்")</f>
        <v>பெண் ஓட்டுனர்கள் மட்டும்</v>
      </c>
      <c r="D205" s="2" t="str">
        <f>IFERROR(__xludf.DUMMYFUNCTION("GOOGLETRANSLATE(B205,""en"",""hi"")"),"केवल महिला ड्राइवर")</f>
        <v>केवल महिला ड्राइवर</v>
      </c>
      <c r="E205" s="2" t="str">
        <f>IFERROR(__xludf.DUMMYFUNCTION("GOOGLETRANSLATE(B205,""en"",""ml"")"),"സ്ത്രീ ഡ്രൈവർമാർ മാത്രം")</f>
        <v>സ്ത്രീ ഡ്രൈവർമാർ മാത്രം</v>
      </c>
      <c r="F205" s="2" t="str">
        <f>IFERROR(__xludf.DUMMYFUNCTION("GOOGLETRANSLATE(B205,""en"",""te"")"),"మహిళా డ్రైవర్లు మాత్రమే")</f>
        <v>మహిళా డ్రైవర్లు మాత్రమే</v>
      </c>
      <c r="G205" s="2" t="str">
        <f>IFERROR(__xludf.DUMMYFUNCTION("GOOGLETRANSLATE(B205,""en"",""kn"")"),"ಮಹಿಳಾ ಚಾಲಕರು ಮಾತ್ರ")</f>
        <v>ಮಹಿಳಾ ಚಾಲಕರು ಮಾತ್ರ</v>
      </c>
    </row>
    <row r="206">
      <c r="A206" s="1" t="s">
        <v>414</v>
      </c>
      <c r="B206" s="1" t="s">
        <v>415</v>
      </c>
      <c r="C206" s="2" t="str">
        <f>IFERROR(__xludf.DUMMYFUNCTION("GOOGLETRANSLATE(B206,""en"",""ta"")"),"உங்கள் வசதிக்காகவும் மன அமைதிக்காகவும் சரிபார்க்கப்பட்ட பெண் ஓட்டுனர்களைப் பெறுங்கள்")</f>
        <v>உங்கள் வசதிக்காகவும் மன அமைதிக்காகவும் சரிபார்க்கப்பட்ட பெண் ஓட்டுனர்களைப் பெறுங்கள்</v>
      </c>
      <c r="D206" s="2" t="str">
        <f>IFERROR(__xludf.DUMMYFUNCTION("GOOGLETRANSLATE(B206,""en"",""hi"")"),"अपनी सुविधा और मन की शांति के लिए सत्यापित महिला ड्राइवर प्राप्त करें")</f>
        <v>अपनी सुविधा और मन की शांति के लिए सत्यापित महिला ड्राइवर प्राप्त करें</v>
      </c>
      <c r="E206" s="2" t="str">
        <f>IFERROR(__xludf.DUMMYFUNCTION("GOOGLETRANSLATE(B206,""en"",""ml"")"),"നിങ്ങളുടെ ആശ്വാസത്തിനും മനസ്സമാധാനത്തിനുമായി പരിശോധിച്ചുറപ്പിച്ച വനിതാ ഡ്രൈവർമാരെ നേടുക")</f>
        <v>നിങ്ങളുടെ ആശ്വാസത്തിനും മനസ്സമാധാനത്തിനുമായി പരിശോധിച്ചുറപ്പിച്ച വനിതാ ഡ്രൈവർമാരെ നേടുക</v>
      </c>
      <c r="F206" s="2" t="str">
        <f>IFERROR(__xludf.DUMMYFUNCTION("GOOGLETRANSLATE(B206,""en"",""te"")"),"మీ సౌకర్యం మరియు మనశ్శాంతి కోసం ధృవీకరించబడిన మహిళా డ్రైవర్‌లను పొందండి")</f>
        <v>మీ సౌకర్యం మరియు మనశ్శాంతి కోసం ధృవీకరించబడిన మహిళా డ్రైవర్‌లను పొందండి</v>
      </c>
      <c r="G206" s="2" t="str">
        <f>IFERROR(__xludf.DUMMYFUNCTION("GOOGLETRANSLATE(B206,""en"",""kn"")"),"ನಿಮ್ಮ ಆರಾಮ ಮತ್ತು ಮನಸ್ಸಿನ ಶಾಂತಿಗಾಗಿ ಪರಿಶೀಲಿಸಿದ ಮಹಿಳಾ ಚಾಲಕರನ್ನು ಪಡೆಯಿರಿ")</f>
        <v>ನಿಮ್ಮ ಆರಾಮ ಮತ್ತು ಮನಸ್ಸಿನ ಶಾಂತಿಗಾಗಿ ಪರಿಶೀಲಿಸಿದ ಮಹಿಳಾ ಚಾಲಕರನ್ನು ಪಡೆಯಿರಿ</v>
      </c>
    </row>
    <row r="207">
      <c r="A207" s="1" t="s">
        <v>416</v>
      </c>
      <c r="B207" s="1" t="s">
        <v>417</v>
      </c>
      <c r="C207" s="2" t="str">
        <f>IFERROR(__xludf.DUMMYFUNCTION("GOOGLETRANSLATE(B207,""en"",""ta"")"),"பாதுகாப்பான இரவு சவாரிகள்")</f>
        <v>பாதுகாப்பான இரவு சவாரிகள்</v>
      </c>
      <c r="D207" s="2" t="str">
        <f>IFERROR(__xludf.DUMMYFUNCTION("GOOGLETRANSLATE(B207,""en"",""hi"")"),"सुरक्षित रात्रि यात्राएँ")</f>
        <v>सुरक्षित रात्रि यात्राएँ</v>
      </c>
      <c r="E207" s="2" t="str">
        <f>IFERROR(__xludf.DUMMYFUNCTION("GOOGLETRANSLATE(B207,""en"",""ml"")"),"സുരക്ഷിതമായ നൈറ്റ് റൈഡുകൾ")</f>
        <v>സുരക്ഷിതമായ നൈറ്റ് റൈഡുകൾ</v>
      </c>
      <c r="F207" s="2" t="str">
        <f>IFERROR(__xludf.DUMMYFUNCTION("GOOGLETRANSLATE(B207,""en"",""te"")"),"సేఫ్ నైట్ రైడ్స్")</f>
        <v>సేఫ్ నైట్ రైడ్స్</v>
      </c>
      <c r="G207" s="2" t="str">
        <f>IFERROR(__xludf.DUMMYFUNCTION("GOOGLETRANSLATE(B207,""en"",""kn"")"),"ಸುರಕ್ಷಿತ ರಾತ್ರಿ ಸವಾರಿಗಳು")</f>
        <v>ಸುರಕ್ಷಿತ ರಾತ್ರಿ ಸವಾರಿಗಳು</v>
      </c>
    </row>
    <row r="208">
      <c r="A208" s="1" t="s">
        <v>418</v>
      </c>
      <c r="B208" s="1" t="s">
        <v>419</v>
      </c>
      <c r="C208" s="2" t="str">
        <f>IFERROR(__xludf.DUMMYFUNCTION("GOOGLETRANSLATE(B208,""en"",""ta"")"),"எங்கள் சிறந்த தரமதிப்பீடு பெற்ற, மிகவும் நம்பகமான ஓட்டுநர்களுடன் இரவில் பாதுகாப்பாக சவாரி செய்யுங்கள்")</f>
        <v>எங்கள் சிறந்த தரமதிப்பீடு பெற்ற, மிகவும் நம்பகமான ஓட்டுநர்களுடன் இரவில் பாதுகாப்பாக சவாரி செய்யுங்கள்</v>
      </c>
      <c r="D208" s="2" t="str">
        <f>IFERROR(__xludf.DUMMYFUNCTION("GOOGLETRANSLATE(B208,""en"",""hi"")"),"हमारे शीर्ष-रेटेड, सबसे भरोसेमंद ड्राइवरों के साथ रात में सुरक्षित यात्रा करें")</f>
        <v>हमारे शीर्ष-रेटेड, सबसे भरोसेमंद ड्राइवरों के साथ रात में सुरक्षित यात्रा करें</v>
      </c>
      <c r="E208" s="2" t="str">
        <f>IFERROR(__xludf.DUMMYFUNCTION("GOOGLETRANSLATE(B208,""en"",""ml"")"),"ഞങ്ങളുടെ ഏറ്റവും മികച്ച, ഏറ്റവും വിശ്വസ്തരായ ഡ്രൈവർമാർക്കൊപ്പം രാത്രിയിൽ സുരക്ഷിതമായി യാത്ര ചെയ്യുക")</f>
        <v>ഞങ്ങളുടെ ഏറ്റവും മികച്ച, ഏറ്റവും വിശ്വസ്തരായ ഡ്രൈവർമാർക്കൊപ്പം രാത്രിയിൽ സുരക്ഷിതമായി യാത്ര ചെയ്യുക</v>
      </c>
      <c r="F208" s="2" t="str">
        <f>IFERROR(__xludf.DUMMYFUNCTION("GOOGLETRANSLATE(B208,""en"",""te"")"),"మా అగ్రశ్రేణి, అత్యంత విశ్వసనీయ డ్రైవర్‌లతో రాత్రిపూట సురక్షితంగా ప్రయాణించండి")</f>
        <v>మా అగ్రశ్రేణి, అత్యంత విశ్వసనీయ డ్రైవర్‌లతో రాత్రిపూట సురక్షితంగా ప్రయాణించండి</v>
      </c>
      <c r="G208" s="2" t="str">
        <f>IFERROR(__xludf.DUMMYFUNCTION("GOOGLETRANSLATE(B208,""en"",""kn"")"),"ನಮ್ಮ ಉನ್ನತ ದರ್ಜೆಯ, ಅತ್ಯಂತ ವಿಶ್ವಾಸಾರ್ಹ ಚಾಲಕರೊಂದಿಗೆ ರಾತ್ರಿಯಲ್ಲಿ ಸುರಕ್ಷಿತವಾಗಿ ಸವಾರಿ ಮಾಡಿ")</f>
        <v>ನಮ್ಮ ಉನ್ನತ ದರ್ಜೆಯ, ಅತ್ಯಂತ ವಿಶ್ವಾಸಾರ್ಹ ಚಾಲಕರೊಂದಿಗೆ ರಾತ್ರಿಯಲ್ಲಿ ಸುರಕ್ಷಿತವಾಗಿ ಸವಾರಿ ಮಾಡಿ</v>
      </c>
    </row>
    <row r="209">
      <c r="A209" s="1" t="s">
        <v>420</v>
      </c>
      <c r="B209" s="1" t="s">
        <v>421</v>
      </c>
      <c r="C209" s="2" t="str">
        <f>IFERROR(__xludf.DUMMYFUNCTION("GOOGLETRANSLATE(B209,""en"",""ta"")"),"(காலை 12 - காலை 4 மணி)")</f>
        <v>(காலை 12 - காலை 4 மணி)</v>
      </c>
      <c r="D209" s="2" t="str">
        <f>IFERROR(__xludf.DUMMYFUNCTION("GOOGLETRANSLATE(B209,""en"",""hi"")"),"(12 बजे रात से 4 बजे सुबह तक)")</f>
        <v>(12 बजे रात से 4 बजे सुबह तक)</v>
      </c>
      <c r="E209" s="2" t="str">
        <f>IFERROR(__xludf.DUMMYFUNCTION("GOOGLETRANSLATE(B209,""en"",""ml"")"),"(12 AM - 4 AM)")</f>
        <v>(12 AM - 4 AM)</v>
      </c>
      <c r="F209" s="2" t="str">
        <f>IFERROR(__xludf.DUMMYFUNCTION("GOOGLETRANSLATE(B209,""en"",""te"")"),"(12 AM - 4 AM)")</f>
        <v>(12 AM - 4 AM)</v>
      </c>
      <c r="G209" s="2" t="str">
        <f>IFERROR(__xludf.DUMMYFUNCTION("GOOGLETRANSLATE(B209,""en"",""kn"")"),"(12 AM - 4 AM)")</f>
        <v>(12 AM - 4 AM)</v>
      </c>
    </row>
    <row r="210">
      <c r="A210" s="1" t="s">
        <v>422</v>
      </c>
      <c r="B210" s="1" t="s">
        <v>423</v>
      </c>
      <c r="C210" s="2" t="str">
        <f>IFERROR(__xludf.DUMMYFUNCTION("GOOGLETRANSLATE(B210,""en"",""ta"")"),"புத்தகம்")</f>
        <v>புத்தகம்</v>
      </c>
      <c r="D210" s="2" t="str">
        <f>IFERROR(__xludf.DUMMYFUNCTION("GOOGLETRANSLATE(B210,""en"",""hi"")"),"बुक करें")</f>
        <v>बुक करें</v>
      </c>
      <c r="E210" s="2" t="str">
        <f>IFERROR(__xludf.DUMMYFUNCTION("GOOGLETRANSLATE(B210,""en"",""ml"")"),"ഇതിനായി ബുക്ക് ചെയ്യുക")</f>
        <v>ഇതിനായി ബുക്ക് ചെയ്യുക</v>
      </c>
      <c r="F210" s="2" t="str">
        <f>IFERROR(__xludf.DUMMYFUNCTION("GOOGLETRANSLATE(B210,""en"",""te"")"),"కోసం బుక్ చేయండి")</f>
        <v>కోసం బుక్ చేయండి</v>
      </c>
      <c r="G210" s="2" t="str">
        <f>IFERROR(__xludf.DUMMYFUNCTION("GOOGLETRANSLATE(B210,""en"",""kn"")"),"ಗಾಗಿ ಬುಕ್ ಮಾಡಿ")</f>
        <v>ಗಾಗಿ ಬುಕ್ ಮಾಡಿ</v>
      </c>
    </row>
    <row r="211">
      <c r="A211" s="1" t="s">
        <v>424</v>
      </c>
      <c r="B211" s="1" t="s">
        <v>425</v>
      </c>
      <c r="C211" s="2" t="str">
        <f>IFERROR(__xludf.DUMMYFUNCTION("GOOGLETRANSLATE(B211,""en"",""ta"")"),"புதிய தொடர்பைச் சேர்க்கவும்")</f>
        <v>புதிய தொடர்பைச் சேர்க்கவும்</v>
      </c>
      <c r="D211" s="2" t="str">
        <f>IFERROR(__xludf.DUMMYFUNCTION("GOOGLETRANSLATE(B211,""en"",""hi"")"),"नए संपर्क को जोड़े")</f>
        <v>नए संपर्क को जोड़े</v>
      </c>
      <c r="E211" s="2" t="str">
        <f>IFERROR(__xludf.DUMMYFUNCTION("GOOGLETRANSLATE(B211,""en"",""ml"")"),"പുതിയ കോൺടാക്റ്റ് ചേർക്കുക")</f>
        <v>പുതിയ കോൺടാക്റ്റ് ചേർക്കുക</v>
      </c>
      <c r="F211" s="2" t="str">
        <f>IFERROR(__xludf.DUMMYFUNCTION("GOOGLETRANSLATE(B211,""en"",""te"")"),"కొత్త పరిచయాన్ని జోడించండి")</f>
        <v>కొత్త పరిచయాన్ని జోడించండి</v>
      </c>
      <c r="G211" s="2" t="str">
        <f>IFERROR(__xludf.DUMMYFUNCTION("GOOGLETRANSLATE(B211,""en"",""kn"")"),"ಹೊಸ ಸಂಪರ್ಕವನ್ನು ಸೇರಿಸಿ")</f>
        <v>ಹೊಸ ಸಂಪರ್ಕವನ್ನು ಸೇರಿಸಿ</v>
      </c>
    </row>
    <row r="212">
      <c r="A212" s="1" t="s">
        <v>426</v>
      </c>
      <c r="B212" s="1" t="s">
        <v>427</v>
      </c>
      <c r="C212" s="2" t="str">
        <f>IFERROR(__xludf.DUMMYFUNCTION("GOOGLETRANSLATE(B212,""en"",""ta"")"),"பெயரை உள்ளிடவும்")</f>
        <v>பெயரை உள்ளிடவும்</v>
      </c>
      <c r="D212" s="2" t="str">
        <f>IFERROR(__xludf.DUMMYFUNCTION("GOOGLETRANSLATE(B212,""en"",""hi"")"),"नाम दर्ज करें")</f>
        <v>नाम दर्ज करें</v>
      </c>
      <c r="E212" s="2" t="str">
        <f>IFERROR(__xludf.DUMMYFUNCTION("GOOGLETRANSLATE(B212,""en"",""ml"")"),"പേര് നൽകുക")</f>
        <v>പേര് നൽകുക</v>
      </c>
      <c r="F212" s="2" t="str">
        <f>IFERROR(__xludf.DUMMYFUNCTION("GOOGLETRANSLATE(B212,""en"",""te"")"),"పేరు నమోదు చేయండి")</f>
        <v>పేరు నమోదు చేయండి</v>
      </c>
      <c r="G212" s="2" t="str">
        <f>IFERROR(__xludf.DUMMYFUNCTION("GOOGLETRANSLATE(B212,""en"",""kn"")"),"ಹೆಸರನ್ನು ನಮೂದಿಸಿ")</f>
        <v>ಹೆಸರನ್ನು ನಮೂದಿಸಿ</v>
      </c>
    </row>
    <row r="213">
      <c r="A213" s="1" t="s">
        <v>428</v>
      </c>
      <c r="B213" s="1" t="s">
        <v>429</v>
      </c>
      <c r="C213" s="2" t="str">
        <f>IFERROR(__xludf.DUMMYFUNCTION("GOOGLETRANSLATE(B213,""en"",""ta"")"),"மொபைல் எண்ணை உள்ளிடவும்")</f>
        <v>மொபைல் எண்ணை உள்ளிடவும்</v>
      </c>
      <c r="D213" s="2" t="str">
        <f>IFERROR(__xludf.DUMMYFUNCTION("GOOGLETRANSLATE(B213,""en"",""hi"")"),"मोबाइल नंबर दर्ज करें")</f>
        <v>मोबाइल नंबर दर्ज करें</v>
      </c>
      <c r="E213" s="2" t="str">
        <f>IFERROR(__xludf.DUMMYFUNCTION("GOOGLETRANSLATE(B213,""en"",""ml"")"),"മൊബൈൽ നമ്പർ നൽകുക")</f>
        <v>മൊബൈൽ നമ്പർ നൽകുക</v>
      </c>
      <c r="F213" s="2" t="str">
        <f>IFERROR(__xludf.DUMMYFUNCTION("GOOGLETRANSLATE(B213,""en"",""te"")"),"మొబైల్ నంబర్‌ను నమోదు చేయండి")</f>
        <v>మొబైల్ నంబర్‌ను నమోదు చేయండి</v>
      </c>
      <c r="G213" s="2" t="str">
        <f>IFERROR(__xludf.DUMMYFUNCTION("GOOGLETRANSLATE(B213,""en"",""kn"")"),"ಮೊಬೈಲ್ ಸಂಖ್ಯೆಯನ್ನು ನಮೂದಿಸಿ")</f>
        <v>ಮೊಬೈಲ್ ಸಂಖ್ಯೆಯನ್ನು ನಮೂದಿಸಿ</v>
      </c>
    </row>
    <row r="214">
      <c r="A214" s="1" t="s">
        <v>430</v>
      </c>
      <c r="B214" s="1" t="s">
        <v>431</v>
      </c>
      <c r="C214" s="2" t="str">
        <f>IFERROR(__xludf.DUMMYFUNCTION("GOOGLETRANSLATE(B214,""en"",""ta"")"),"தொடர்பைச் சேர்க்கவும்")</f>
        <v>தொடர்பைச் சேர்க்கவும்</v>
      </c>
      <c r="D214" s="2" t="str">
        <f>IFERROR(__xludf.DUMMYFUNCTION("GOOGLETRANSLATE(B214,""en"",""hi"")"),"संपर्क जोड़ें")</f>
        <v>संपर्क जोड़ें</v>
      </c>
      <c r="E214" s="2" t="str">
        <f>IFERROR(__xludf.DUMMYFUNCTION("GOOGLETRANSLATE(B214,""en"",""ml"")"),"കോൺടാക്റ്റ് ചേർക്കുക")</f>
        <v>കോൺടാക്റ്റ് ചേർക്കുക</v>
      </c>
      <c r="F214" s="2" t="str">
        <f>IFERROR(__xludf.DUMMYFUNCTION("GOOGLETRANSLATE(B214,""en"",""te"")"),"పరిచయాన్ని జోడించండి")</f>
        <v>పరిచయాన్ని జోడించండి</v>
      </c>
      <c r="G214" s="2" t="str">
        <f>IFERROR(__xludf.DUMMYFUNCTION("GOOGLETRANSLATE(B214,""en"",""kn"")"),"ಸಂಪರ್ಕವನ್ನು ಸೇರಿಸಿ")</f>
        <v>ಸಂಪರ್ಕವನ್ನು ಸೇರಿಸಿ</v>
      </c>
    </row>
    <row r="215">
      <c r="A215" s="1" t="s">
        <v>432</v>
      </c>
      <c r="B215" s="1" t="s">
        <v>433</v>
      </c>
      <c r="C215" s="2" t="str">
        <f>IFERROR(__xludf.DUMMYFUNCTION("GOOGLETRANSLATE(B215,""en"",""ta"")"),"தவறான உள்ளீடு")</f>
        <v>தவறான உள்ளீடு</v>
      </c>
      <c r="D215" s="2" t="str">
        <f>IFERROR(__xludf.DUMMYFUNCTION("GOOGLETRANSLATE(B215,""en"",""hi"")"),"अमान्य निवेश")</f>
        <v>अमान्य निवेश</v>
      </c>
      <c r="E215" s="2" t="str">
        <f>IFERROR(__xludf.DUMMYFUNCTION("GOOGLETRANSLATE(B215,""en"",""ml"")"),"അസാധുവായ ഇൻപുട്ട്")</f>
        <v>അസാധുവായ ഇൻപുട്ട്</v>
      </c>
      <c r="F215" s="2" t="str">
        <f>IFERROR(__xludf.DUMMYFUNCTION("GOOGLETRANSLATE(B215,""en"",""te"")"),"చెల్లని ఇన్‌పుట్")</f>
        <v>చెల్లని ఇన్‌పుట్</v>
      </c>
      <c r="G215" s="2" t="str">
        <f>IFERROR(__xludf.DUMMYFUNCTION("GOOGLETRANSLATE(B215,""en"",""kn"")"),"ಅಮಾನ್ಯ ಇನ್‌ಪುಟ್")</f>
        <v>ಅಮಾನ್ಯ ಇನ್‌ಪುಟ್</v>
      </c>
    </row>
    <row r="216">
      <c r="A216" s="1" t="s">
        <v>434</v>
      </c>
      <c r="B216" s="1" t="s">
        <v>435</v>
      </c>
      <c r="C216" s="2" t="str">
        <f>IFERROR(__xludf.DUMMYFUNCTION("GOOGLETRANSLATE(B216,""en"",""ta"")"),"சரியான இந்திய மொபைல் எண்ணை உள்ளிடவும் (6-9 இல் தொடங்கும் 10 இலக்கங்கள்)")</f>
        <v>சரியான இந்திய மொபைல் எண்ணை உள்ளிடவும் (6-9 இல் தொடங்கும் 10 இலக்கங்கள்)</v>
      </c>
      <c r="D216" s="2" t="str">
        <f>IFERROR(__xludf.DUMMYFUNCTION("GOOGLETRANSLATE(B216,""en"",""hi"")"),"कृपया एक वैध भारतीय मोबाइल नंबर दर्ज करें (6-9 से शुरू होने वाले 10 अंक)")</f>
        <v>कृपया एक वैध भारतीय मोबाइल नंबर दर्ज करें (6-9 से शुरू होने वाले 10 अंक)</v>
      </c>
      <c r="E216" s="2" t="str">
        <f>IFERROR(__xludf.DUMMYFUNCTION("GOOGLETRANSLATE(B216,""en"",""ml"")"),"ദയവായി സാധുവായ ഒരു ഇന്ത്യൻ മൊബൈൽ നമ്പർ നൽകുക (6-9 മുതൽ ആരംഭിക്കുന്ന 10 അക്കങ്ങൾ)")</f>
        <v>ദയവായി സാധുവായ ഒരു ഇന്ത്യൻ മൊബൈൽ നമ്പർ നൽകുക (6-9 മുതൽ ആരംഭിക്കുന്ന 10 അക്കങ്ങൾ)</v>
      </c>
      <c r="F216" s="2" t="str">
        <f>IFERROR(__xludf.DUMMYFUNCTION("GOOGLETRANSLATE(B216,""en"",""te"")"),"దయచేసి చెల్లుబాటు అయ్యే భారతీయ మొబైల్ నంబర్‌ను నమోదు చేయండి (10 అంకెలు 6-9తో మొదలవుతాయి)")</f>
        <v>దయచేసి చెల్లుబాటు అయ్యే భారతీయ మొబైల్ నంబర్‌ను నమోదు చేయండి (10 అంకెలు 6-9తో మొదలవుతాయి)</v>
      </c>
      <c r="G216" s="2" t="str">
        <f>IFERROR(__xludf.DUMMYFUNCTION("GOOGLETRANSLATE(B216,""en"",""kn"")"),"ದಯವಿಟ್ಟು ಮಾನ್ಯವಾದ ಭಾರತೀಯ ಮೊಬೈಲ್ ಸಂಖ್ಯೆಯನ್ನು ನಮೂದಿಸಿ (10 ಅಂಕೆಗಳು 6-9 ರಿಂದ ಪ್ರಾರಂಭವಾಗುತ್ತವೆ)")</f>
        <v>ದಯವಿಟ್ಟು ಮಾನ್ಯವಾದ ಭಾರತೀಯ ಮೊಬೈಲ್ ಸಂಖ್ಯೆಯನ್ನು ನಮೂದಿಸಿ (10 ಅಂಕೆಗಳು 6-9 ರಿಂದ ಪ್ರಾರಂಭವಾಗುತ್ತವೆ)</v>
      </c>
    </row>
    <row r="217">
      <c r="A217" s="1" t="s">
        <v>436</v>
      </c>
      <c r="B217" s="1" t="s">
        <v>437</v>
      </c>
      <c r="C217" s="2" t="str">
        <f>IFERROR(__xludf.DUMMYFUNCTION("GOOGLETRANSLATE(B217,""en"",""ta"")"),"தொடர்பு உள்ளது")</f>
        <v>தொடர்பு உள்ளது</v>
      </c>
      <c r="D217" s="2" t="str">
        <f>IFERROR(__xludf.DUMMYFUNCTION("GOOGLETRANSLATE(B217,""en"",""hi"")"),"संपर्क मौजूद है")</f>
        <v>संपर्क मौजूद है</v>
      </c>
      <c r="E217" s="2" t="str">
        <f>IFERROR(__xludf.DUMMYFUNCTION("GOOGLETRANSLATE(B217,""en"",""ml"")"),"കോൺടാക്റ്റ് നിലവിലുണ്ട്")</f>
        <v>കോൺടാക്റ്റ് നിലവിലുണ്ട്</v>
      </c>
      <c r="F217" s="2" t="str">
        <f>IFERROR(__xludf.DUMMYFUNCTION("GOOGLETRANSLATE(B217,""en"",""te"")"),"పరిచయం ఉంది")</f>
        <v>పరిచయం ఉంది</v>
      </c>
      <c r="G217" s="2" t="str">
        <f>IFERROR(__xludf.DUMMYFUNCTION("GOOGLETRANSLATE(B217,""en"",""kn"")"),"ಸಂಪರ್ಕ ಅಸ್ತಿತ್ವದಲ್ಲಿದೆ")</f>
        <v>ಸಂಪರ್ಕ ಅಸ್ತಿತ್ವದಲ್ಲಿದೆ</v>
      </c>
    </row>
    <row r="218">
      <c r="A218" s="1" t="s">
        <v>438</v>
      </c>
      <c r="B218" s="1" t="s">
        <v>439</v>
      </c>
      <c r="C218" s="2" t="str">
        <f>IFERROR(__xludf.DUMMYFUNCTION("GOOGLETRANSLATE(B218,""en"",""ta"")"),"இந்த தொடர்பு ஏற்கனவே உங்கள் பட்டியலில் உள்ளது")</f>
        <v>இந்த தொடர்பு ஏற்கனவே உங்கள் பட்டியலில் உள்ளது</v>
      </c>
      <c r="D218" s="2" t="str">
        <f>IFERROR(__xludf.DUMMYFUNCTION("GOOGLETRANSLATE(B218,""en"",""hi"")"),"यह संपर्क आपकी सूची में पहले से मौजूद है")</f>
        <v>यह संपर्क आपकी सूची में पहले से मौजूद है</v>
      </c>
      <c r="E218" s="2" t="str">
        <f>IFERROR(__xludf.DUMMYFUNCTION("GOOGLETRANSLATE(B218,""en"",""ml"")"),"ഈ കോൺടാക്റ്റ് നിങ്ങളുടെ ലിസ്റ്റിൽ ഇതിനകം നിലവിലുണ്ട്")</f>
        <v>ഈ കോൺടാക്റ്റ് നിങ്ങളുടെ ലിസ്റ്റിൽ ഇതിനകം നിലവിലുണ്ട്</v>
      </c>
      <c r="F218" s="2" t="str">
        <f>IFERROR(__xludf.DUMMYFUNCTION("GOOGLETRANSLATE(B218,""en"",""te"")"),"ఈ పరిచయం ఇప్పటికే మీ జాబితాలో ఉంది")</f>
        <v>ఈ పరిచయం ఇప్పటికే మీ జాబితాలో ఉంది</v>
      </c>
      <c r="G218" s="2" t="str">
        <f>IFERROR(__xludf.DUMMYFUNCTION("GOOGLETRANSLATE(B218,""en"",""kn"")"),"ಈ ಸಂಪರ್ಕವು ನಿಮ್ಮ ಪಟ್ಟಿಯಲ್ಲಿ ಈಗಾಗಲೇ ಅಸ್ತಿತ್ವದಲ್ಲಿದೆ")</f>
        <v>ಈ ಸಂಪರ್ಕವು ನಿಮ್ಮ ಪಟ್ಟಿಯಲ್ಲಿ ಈಗಾಗಲೇ ಅಸ್ತಿತ್ವದಲ್ಲಿದೆ</v>
      </c>
    </row>
    <row r="219">
      <c r="A219" s="1" t="s">
        <v>440</v>
      </c>
      <c r="B219" s="1" t="s">
        <v>441</v>
      </c>
      <c r="C219" s="2" t="str">
        <f>IFERROR(__xludf.DUMMYFUNCTION("GOOGLETRANSLATE(B219,""en"",""ta"")"),"பயனர் விவரங்கள்")</f>
        <v>பயனர் விவரங்கள்</v>
      </c>
      <c r="D219" s="2" t="str">
        <f>IFERROR(__xludf.DUMMYFUNCTION("GOOGLETRANSLATE(B219,""en"",""hi"")"),"उपयोगकर्ता विवरण")</f>
        <v>उपयोगकर्ता विवरण</v>
      </c>
      <c r="E219" s="2" t="str">
        <f>IFERROR(__xludf.DUMMYFUNCTION("GOOGLETRANSLATE(B219,""en"",""ml"")"),"ഉപയോക്തൃ വിശദാംശങ്ങൾ")</f>
        <v>ഉപയോക്തൃ വിശദാംശങ്ങൾ</v>
      </c>
      <c r="F219" s="2" t="str">
        <f>IFERROR(__xludf.DUMMYFUNCTION("GOOGLETRANSLATE(B219,""en"",""te"")"),"వినియోగదారు వివరాలు")</f>
        <v>వినియోగదారు వివరాలు</v>
      </c>
      <c r="G219" s="2" t="str">
        <f>IFERROR(__xludf.DUMMYFUNCTION("GOOGLETRANSLATE(B219,""en"",""kn"")"),"ಬಳಕೆದಾರರ ವಿವರಗಳು")</f>
        <v>ಬಳಕೆದಾರರ ವಿವರಗಳು</v>
      </c>
    </row>
    <row r="220">
      <c r="A220" s="1" t="s">
        <v>442</v>
      </c>
      <c r="B220" s="1" t="s">
        <v>443</v>
      </c>
      <c r="C220" s="2" t="str">
        <f>IFERROR(__xludf.DUMMYFUNCTION("GOOGLETRANSLATE(B220,""en"",""ta"")"),"பயனர் விவரங்கள் கிடைக்கவில்லை")</f>
        <v>பயனர் விவரங்கள் கிடைக்கவில்லை</v>
      </c>
      <c r="D220" s="2" t="str">
        <f>IFERROR(__xludf.DUMMYFUNCTION("GOOGLETRANSLATE(B220,""en"",""hi"")"),"उपयोगकर्ता विवरण उपलब्ध नहीं है")</f>
        <v>उपयोगकर्ता विवरण उपलब्ध नहीं है</v>
      </c>
      <c r="E220" s="2" t="str">
        <f>IFERROR(__xludf.DUMMYFUNCTION("GOOGLETRANSLATE(B220,""en"",""ml"")"),"ഉപയോക്തൃ വിശദാംശങ്ങൾ ലഭ്യമല്ല")</f>
        <v>ഉപയോക്തൃ വിശദാംശങ്ങൾ ലഭ്യമല്ല</v>
      </c>
      <c r="F220" s="2" t="str">
        <f>IFERROR(__xludf.DUMMYFUNCTION("GOOGLETRANSLATE(B220,""en"",""te"")"),"వినియోగదారు వివరాలు అందుబాటులో లేవు")</f>
        <v>వినియోగదారు వివరాలు అందుబాటులో లేవు</v>
      </c>
      <c r="G220" s="2" t="str">
        <f>IFERROR(__xludf.DUMMYFUNCTION("GOOGLETRANSLATE(B220,""en"",""kn"")"),"ಬಳಕೆದಾರರ ವಿವರಗಳು ಲಭ್ಯವಿಲ್ಲ")</f>
        <v>ಬಳಕೆದಾರರ ವಿವರಗಳು ಲಭ್ಯವಿಲ್ಲ</v>
      </c>
    </row>
    <row r="221">
      <c r="A221" s="1" t="s">
        <v>444</v>
      </c>
      <c r="B221" s="1" t="s">
        <v>445</v>
      </c>
      <c r="C221" s="2" t="str">
        <f>IFERROR(__xludf.DUMMYFUNCTION("GOOGLETRANSLATE(B221,""en"",""ta"")"),"தொடர்பை நீக்கு")</f>
        <v>தொடர்பை நீக்கு</v>
      </c>
      <c r="D221" s="2" t="str">
        <f>IFERROR(__xludf.DUMMYFUNCTION("GOOGLETRANSLATE(B221,""en"",""hi"")"),"संपर्क हटाएं")</f>
        <v>संपर्क हटाएं</v>
      </c>
      <c r="E221" s="2" t="str">
        <f>IFERROR(__xludf.DUMMYFUNCTION("GOOGLETRANSLATE(B221,""en"",""ml"")"),"കോൺടാക്റ്റ് ഇല്ലാതാക്കുക")</f>
        <v>കോൺടാക്റ്റ് ഇല്ലാതാക്കുക</v>
      </c>
      <c r="F221" s="2" t="str">
        <f>IFERROR(__xludf.DUMMYFUNCTION("GOOGLETRANSLATE(B221,""en"",""te"")"),"పరిచయాన్ని తొలగించండి")</f>
        <v>పరిచయాన్ని తొలగించండి</v>
      </c>
      <c r="G221" s="2" t="str">
        <f>IFERROR(__xludf.DUMMYFUNCTION("GOOGLETRANSLATE(B221,""en"",""kn"")"),"ಸಂಪರ್ಕವನ್ನು ಅಳಿಸಿ")</f>
        <v>ಸಂಪರ್ಕವನ್ನು ಅಳಿಸಿ</v>
      </c>
    </row>
    <row r="222">
      <c r="A222" s="1" t="s">
        <v>446</v>
      </c>
      <c r="B222" s="1" t="s">
        <v>447</v>
      </c>
      <c r="C222" s="2" t="str">
        <f>IFERROR(__xludf.DUMMYFUNCTION("GOOGLETRANSLATE(B222,""en"",""ta"")"),"இந்தத் தொடர்பை நிச்சயமாக நீக்க விரும்புகிறீர்களா?")</f>
        <v>இந்தத் தொடர்பை நிச்சயமாக நீக்க விரும்புகிறீர்களா?</v>
      </c>
      <c r="D222" s="2" t="str">
        <f>IFERROR(__xludf.DUMMYFUNCTION("GOOGLETRANSLATE(B222,""en"",""hi"")"),"क्या आप वाकई इस संपर्क को हटाना चाहते हैं?")</f>
        <v>क्या आप वाकई इस संपर्क को हटाना चाहते हैं?</v>
      </c>
      <c r="E222" s="2" t="str">
        <f>IFERROR(__xludf.DUMMYFUNCTION("GOOGLETRANSLATE(B222,""en"",""ml"")"),"ഈ കോൺടാക്റ്റ് ഇല്ലാതാക്കണമെന്ന് തീർച്ചയാണോ?")</f>
        <v>ഈ കോൺടാക്റ്റ് ഇല്ലാതാക്കണമെന്ന് തീർച്ചയാണോ?</v>
      </c>
      <c r="F222" s="2" t="str">
        <f>IFERROR(__xludf.DUMMYFUNCTION("GOOGLETRANSLATE(B222,""en"",""te"")"),"మీరు ఖచ్చితంగా ఈ పరిచయాన్ని తొలగించాలనుకుంటున్నారా?")</f>
        <v>మీరు ఖచ్చితంగా ఈ పరిచయాన్ని తొలగించాలనుకుంటున్నారా?</v>
      </c>
      <c r="G222" s="2" t="str">
        <f>IFERROR(__xludf.DUMMYFUNCTION("GOOGLETRANSLATE(B222,""en"",""kn"")"),"ಈ ಸಂಪರ್ಕವನ್ನು ಅಳಿಸಲು ನೀವು ಖಚಿತವಾಗಿ ಬಯಸುವಿರಾ?")</f>
        <v>ಈ ಸಂಪರ್ಕವನ್ನು ಅಳಿಸಲು ನೀವು ಖಚಿತವಾಗಿ ಬಯಸುವಿರಾ?</v>
      </c>
    </row>
    <row r="223">
      <c r="A223" s="1" t="s">
        <v>448</v>
      </c>
      <c r="B223" s="1" t="s">
        <v>449</v>
      </c>
      <c r="C223" s="2" t="str">
        <f>IFERROR(__xludf.DUMMYFUNCTION("GOOGLETRANSLATE(B223,""en"",""ta"")"),"நீக்கு")</f>
        <v>நீக்கு</v>
      </c>
      <c r="D223" s="2" t="str">
        <f>IFERROR(__xludf.DUMMYFUNCTION("GOOGLETRANSLATE(B223,""en"",""hi"")"),"मिटाना")</f>
        <v>मिटाना</v>
      </c>
      <c r="E223" s="2" t="str">
        <f>IFERROR(__xludf.DUMMYFUNCTION("GOOGLETRANSLATE(B223,""en"",""ml"")"),"ഇല്ലാതാക്കുക")</f>
        <v>ഇല്ലാതാക്കുക</v>
      </c>
      <c r="F223" s="2" t="str">
        <f>IFERROR(__xludf.DUMMYFUNCTION("GOOGLETRANSLATE(B223,""en"",""te"")"),"తొలగించు")</f>
        <v>తొలగించు</v>
      </c>
      <c r="G223" s="2" t="str">
        <f>IFERROR(__xludf.DUMMYFUNCTION("GOOGLETRANSLATE(B223,""en"",""kn"")"),"ಅಳಿಸಿ")</f>
        <v>ಅಳಿಸಿ</v>
      </c>
    </row>
    <row r="224">
      <c r="A224" s="1" t="s">
        <v>450</v>
      </c>
      <c r="B224" s="1" t="s">
        <v>451</v>
      </c>
      <c r="C224" s="2" t="str">
        <f>IFERROR(__xludf.DUMMYFUNCTION("GOOGLETRANSLATE(B224,""en"",""ta"")"),"கட்டண முறையை உறுதிப்படுத்தவும்")</f>
        <v>கட்டண முறையை உறுதிப்படுத்தவும்</v>
      </c>
      <c r="D224" s="2" t="str">
        <f>IFERROR(__xludf.DUMMYFUNCTION("GOOGLETRANSLATE(B224,""en"",""hi"")"),"भुगतान विधि की पुष्टि करें")</f>
        <v>भुगतान विधि की पुष्टि करें</v>
      </c>
      <c r="E224" s="2" t="str">
        <f>IFERROR(__xludf.DUMMYFUNCTION("GOOGLETRANSLATE(B224,""en"",""ml"")"),"പേയ്‌മെൻ്റ് രീതി സ്ഥിരീകരിക്കുക")</f>
        <v>പേയ്‌മെൻ്റ് രീതി സ്ഥിരീകരിക്കുക</v>
      </c>
      <c r="F224" s="2" t="str">
        <f>IFERROR(__xludf.DUMMYFUNCTION("GOOGLETRANSLATE(B224,""en"",""te"")"),"చెల్లింపు పద్ధతిని నిర్ధారించండి")</f>
        <v>చెల్లింపు పద్ధతిని నిర్ధారించండి</v>
      </c>
      <c r="G224" s="2" t="str">
        <f>IFERROR(__xludf.DUMMYFUNCTION("GOOGLETRANSLATE(B224,""en"",""kn"")"),"ಪಾವತಿ ವಿಧಾನವನ್ನು ದೃಢೀಕರಿಸಿ")</f>
        <v>ಪಾವತಿ ವಿಧಾನವನ್ನು ದೃಢೀಕರಿಸಿ</v>
      </c>
    </row>
    <row r="225">
      <c r="A225" s="1" t="s">
        <v>452</v>
      </c>
      <c r="B225" s="1" t="s">
        <v>453</v>
      </c>
      <c r="C225" s="2" t="str">
        <f>IFERROR(__xludf.DUMMYFUNCTION("GOOGLETRANSLATE(B225,""en"",""ta"")"),"ஸ்டாப் காத்திருப்பு நேரத்தைச் சேர்க்கவும்")</f>
        <v>ஸ்டாப் காத்திருப்பு நேரத்தைச் சேர்க்கவும்</v>
      </c>
      <c r="D225" s="2" t="str">
        <f>IFERROR(__xludf.DUMMYFUNCTION("GOOGLETRANSLATE(B225,""en"",""hi"")"),"स्टॉप प्रतीक्षा समय जोड़ें")</f>
        <v>स्टॉप प्रतीक्षा समय जोड़ें</v>
      </c>
      <c r="E225" s="2" t="str">
        <f>IFERROR(__xludf.DUMMYFUNCTION("GOOGLETRANSLATE(B225,""en"",""ml"")"),"സ്റ്റോപ്പ് വെയ്റ്റ് ടൈം ചേർക്കുക")</f>
        <v>സ്റ്റോപ്പ് വെയ്റ്റ് ടൈം ചേർക്കുക</v>
      </c>
      <c r="F225" s="2" t="str">
        <f>IFERROR(__xludf.DUMMYFUNCTION("GOOGLETRANSLATE(B225,""en"",""te"")"),"స్టాప్ వెయిట్ టైమ్‌ని జోడించండి")</f>
        <v>స్టాప్ వెయిట్ టైమ్‌ని జోడించండి</v>
      </c>
      <c r="G225" s="2" t="str">
        <f>IFERROR(__xludf.DUMMYFUNCTION("GOOGLETRANSLATE(B225,""en"",""kn"")"),"ಸ್ಟಾಪ್ ವೇಟ್ ಟೈಮ್ ಸೇರಿಸಿ")</f>
        <v>ಸ್ಟಾಪ್ ವೇಟ್ ಟೈಮ್ ಸೇರಿಸಿ</v>
      </c>
    </row>
    <row r="226">
      <c r="A226" s="1" t="s">
        <v>454</v>
      </c>
      <c r="B226" s="1" t="s">
        <v>455</v>
      </c>
      <c r="C226" s="2" t="str">
        <f>IFERROR(__xludf.DUMMYFUNCTION("GOOGLETRANSLATE(B226,""en"",""ta"")"),"துல்லியமான கட்டணத்திற்கு இயக்கி {defaultwaitingTime} நிமிடங்களுக்கு மேல் காத்திருக்க வேண்டுமானால், காத்திருப்பு நேரத்தைச் சேர்க்கவும்.")</f>
        <v>துல்லியமான கட்டணத்திற்கு இயக்கி {defaultwaitingTime} நிமிடங்களுக்கு மேல் காத்திருக்க வேண்டுமானால், காத்திருப்பு நேரத்தைச் சேர்க்கவும்.</v>
      </c>
      <c r="D226" s="2" t="str">
        <f>IFERROR(__xludf.DUMMYFUNCTION("GOOGLETRANSLATE(B226,""en"",""hi"")"),"यदि ड्राइवर को सटीक किराया प्राप्त करने के लिए {defaultwaitingTime} मिनट से अधिक प्रतीक्षा करनी पड़े, तो प्रतीक्षा समय जोड़ें.")</f>
        <v>यदि ड्राइवर को सटीक किराया प्राप्त करने के लिए {defaultwaitingTime} मिनट से अधिक प्रतीक्षा करनी पड़े, तो प्रतीक्षा समय जोड़ें.</v>
      </c>
      <c r="E226" s="2" t="str">
        <f>IFERROR(__xludf.DUMMYFUNCTION("GOOGLETRANSLATE(B226,""en"",""ml"")"),"കൃത്യമായ നിരക്കിനായി ഡ്രൈവർ {defaultwaitingTime} മിനിറ്റിന് മുകളിൽ കാത്തിരിക്കണമെങ്കിൽ കാത്തിരിപ്പ് സമയം ചേർക്കുക.")</f>
        <v>കൃത്യമായ നിരക്കിനായി ഡ്രൈവർ {defaultwaitingTime} മിനിറ്റിന് മുകളിൽ കാത്തിരിക്കണമെങ്കിൽ കാത്തിരിപ്പ് സമയം ചേർക്കുക.</v>
      </c>
      <c r="F226" s="2" t="str">
        <f>IFERROR(__xludf.DUMMYFUNCTION("GOOGLETRANSLATE(B226,""en"",""te"")"),"ఖచ్చితమైన ఛార్జీల కోసం డ్రైవర్ {defaultwaitingTime} నిమిషాల కంటే ఎక్కువ వేచి ఉండాలంటే వేచి ఉండే సమయాన్ని జోడించండి.")</f>
        <v>ఖచ్చితమైన ఛార్జీల కోసం డ్రైవర్ {defaultwaitingTime} నిమిషాల కంటే ఎక్కువ వేచి ఉండాలంటే వేచి ఉండే సమయాన్ని జోడించండి.</v>
      </c>
      <c r="G226" s="2" t="str">
        <f>IFERROR(__xludf.DUMMYFUNCTION("GOOGLETRANSLATE(B226,""en"",""kn"")"),"ನಿಖರವಾದ ದರಕ್ಕಾಗಿ ಚಾಲಕ {defaultwaitingTime} ನಿಮಿಷಗಳವರೆಗೆ ಕಾಯಬೇಕಾದರೆ ಕಾಯುವ ಸಮಯವನ್ನು ಸೇರಿಸಿ.")</f>
        <v>ನಿಖರವಾದ ದರಕ್ಕಾಗಿ ಚಾಲಕ {defaultwaitingTime} ನಿಮಿಷಗಳವರೆಗೆ ಕಾಯಬೇಕಾದರೆ ಕಾಯುವ ಸಮಯವನ್ನು ಸೇರಿಸಿ.</v>
      </c>
    </row>
    <row r="227">
      <c r="A227" s="1" t="s">
        <v>456</v>
      </c>
      <c r="B227" s="1" t="s">
        <v>457</v>
      </c>
      <c r="C227" s="2" t="str">
        <f>IFERROR(__xludf.DUMMYFUNCTION("GOOGLETRANSLATE(B227,""en"",""ta"")"),"நிமிடம்")</f>
        <v>நிமிடம்</v>
      </c>
      <c r="D227" s="2" t="str">
        <f>IFERROR(__xludf.DUMMYFUNCTION("GOOGLETRANSLATE(B227,""en"",""hi"")"),"मिनट")</f>
        <v>मिनट</v>
      </c>
      <c r="E227" s="2" t="str">
        <f>IFERROR(__xludf.DUMMYFUNCTION("GOOGLETRANSLATE(B227,""en"",""ml"")"),"മിനിറ്റ്")</f>
        <v>മിനിറ്റ്</v>
      </c>
      <c r="F227" s="2" t="str">
        <f>IFERROR(__xludf.DUMMYFUNCTION("GOOGLETRANSLATE(B227,""en"",""te"")"),"నిమిషాలు")</f>
        <v>నిమిషాలు</v>
      </c>
      <c r="G227" s="2" t="str">
        <f>IFERROR(__xludf.DUMMYFUNCTION("GOOGLETRANSLATE(B227,""en"",""kn"")"),"ನಿಮಿಷಗಳು")</f>
        <v>ನಿಮಿಷಗಳು</v>
      </c>
    </row>
    <row r="228">
      <c r="A228" s="1" t="s">
        <v>458</v>
      </c>
      <c r="B228" s="1" t="s">
        <v>459</v>
      </c>
      <c r="C228" s="2" t="str">
        <f>IFERROR(__xludf.DUMMYFUNCTION("GOOGLETRANSLATE(B228,""en"",""ta"")"),"குறைந்தபட்ச காத்திருப்பு நேரம் {defaultwaitingTime} நிமிடங்கள்")</f>
        <v>குறைந்தபட்ச காத்திருப்பு நேரம் {defaultwaitingTime} நிமிடங்கள்</v>
      </c>
      <c r="D228" s="2" t="str">
        <f>IFERROR(__xludf.DUMMYFUNCTION("GOOGLETRANSLATE(B228,""en"",""hi"")"),"न्यूनतम प्रतीक्षा समय {defaultwaitingTime} मिनट है")</f>
        <v>न्यूनतम प्रतीक्षा समय {defaultwaitingTime} मिनट है</v>
      </c>
      <c r="E228" s="2" t="str">
        <f>IFERROR(__xludf.DUMMYFUNCTION("GOOGLETRANSLATE(B228,""en"",""ml"")"),"ഏറ്റവും കുറഞ്ഞ കാത്തിരിപ്പ് സമയം {defaultwaitingTime} മിനിറ്റാണ്")</f>
        <v>ഏറ്റവും കുറഞ്ഞ കാത്തിരിപ്പ് സമയം {defaultwaitingTime} മിനിറ്റാണ്</v>
      </c>
      <c r="F228" s="2" t="str">
        <f>IFERROR(__xludf.DUMMYFUNCTION("GOOGLETRANSLATE(B228,""en"",""te"")"),"కనీస నిరీక్షణ సమయం {defaultwaitingTime} నిమిషాలు")</f>
        <v>కనీస నిరీక్షణ సమయం {defaultwaitingTime} నిమిషాలు</v>
      </c>
      <c r="G228" s="2" t="str">
        <f>IFERROR(__xludf.DUMMYFUNCTION("GOOGLETRANSLATE(B228,""en"",""kn"")"),"ಕನಿಷ್ಠ ಕಾಯುವ ಸಮಯ {defaultwaitingTime} ನಿಮಿಷಗಳು")</f>
        <v>ಕನಿಷ್ಠ ಕಾಯುವ ಸಮಯ {defaultwaitingTime} ನಿಮಿಷಗಳು</v>
      </c>
    </row>
    <row r="229">
      <c r="A229" s="1" t="s">
        <v>460</v>
      </c>
      <c r="B229" s="1" t="s">
        <v>461</v>
      </c>
      <c r="C229" s="2" t="str">
        <f>IFERROR(__xludf.DUMMYFUNCTION("GOOGLETRANSLATE(B229,""en"",""ta"")"),"காத்திருப்பு நேரக் கட்டணங்கள்")</f>
        <v>காத்திருப்பு நேரக் கட்டணங்கள்</v>
      </c>
      <c r="D229" s="2" t="str">
        <f>IFERROR(__xludf.DUMMYFUNCTION("GOOGLETRANSLATE(B229,""en"",""hi"")"),"प्रतीक्षा समय शुल्क")</f>
        <v>प्रतीक्षा समय शुल्क</v>
      </c>
      <c r="E229" s="2" t="str">
        <f>IFERROR(__xludf.DUMMYFUNCTION("GOOGLETRANSLATE(B229,""en"",""ml"")"),"കാത്തിരിപ്പ് സമയ നിരക്കുകൾ")</f>
        <v>കാത്തിരിപ്പ് സമയ നിരക്കുകൾ</v>
      </c>
      <c r="F229" s="2" t="str">
        <f>IFERROR(__xludf.DUMMYFUNCTION("GOOGLETRANSLATE(B229,""en"",""te"")"),"సమయ ఛార్జీలు వేచి ఉండండి")</f>
        <v>సమయ ఛార్జీలు వేచి ఉండండి</v>
      </c>
      <c r="G229" s="2" t="str">
        <f>IFERROR(__xludf.DUMMYFUNCTION("GOOGLETRANSLATE(B229,""en"",""kn"")"),"ಸಮಯ ಶುಲ್ಕಗಳನ್ನು ನಿರೀಕ್ಷಿಸಿ")</f>
        <v>ಸಮಯ ಶುಲ್ಕಗಳನ್ನು ನಿರೀಕ್ಷಿಸಿ</v>
      </c>
    </row>
    <row r="230">
      <c r="A230" s="1" t="s">
        <v>462</v>
      </c>
      <c r="B230" s="1" t="s">
        <v>463</v>
      </c>
      <c r="C230" s="2" t="str">
        <f>IFERROR(__xludf.DUMMYFUNCTION("GOOGLETRANSLATE(B230,""en"",""ta"")"),"• முதல் {defaultwaitingTime} நிமிடங்கள்: இலவசம்
• கூடுதல் நேரம்: நிமிடத்திற்கு ₹{waitingTimeChargesPerMinute}
• அதிகபட்ச காத்திருப்பு நேரம்: {maxwaitingTime} நிமிடங்கள்")</f>
        <v>• முதல் {defaultwaitingTime} நிமிடங்கள்: இலவசம்
• கூடுதல் நேரம்: நிமிடத்திற்கு ₹{waitingTimeChargesPerMinute}
• அதிகபட்ச காத்திருப்பு நேரம்: {maxwaitingTime} நிமிடங்கள்</v>
      </c>
      <c r="D230" s="2" t="str">
        <f>IFERROR(__xludf.DUMMYFUNCTION("GOOGLETRANSLATE(B230,""en"",""hi"")"),"• पहले {defaultwaitingTime} मिनट: मुफ़्त
• अतिरिक्त समय: ₹{waitingTimeChargesPerMinute} प्रति मिनट
• अधिकतम प्रतीक्षा समय: {maxwaitingTime} मिनट")</f>
        <v>• पहले {defaultwaitingTime} मिनट: मुफ़्त
• अतिरिक्त समय: ₹{waitingTimeChargesPerMinute} प्रति मिनट
• अधिकतम प्रतीक्षा समय: {maxwaitingTime} मिनट</v>
      </c>
      <c r="E230" s="2" t="str">
        <f>IFERROR(__xludf.DUMMYFUNCTION("GOOGLETRANSLATE(B230,""en"",""ml"")"),"• ആദ്യത്തെ {defaultwaitingTime} മിനിറ്റ്: സൗജന്യം
• അധിക സമയം: മിനിറ്റിന് ₹{waitingTimeChargesPerMinute}
• പരമാവധി കാത്തിരിപ്പ് സമയം: {maxwaitingTime} മിനിറ്റ്")</f>
        <v>• ആദ്യത്തെ {defaultwaitingTime} മിനിറ്റ്: സൗജന്യം
• അധിക സമയം: മിനിറ്റിന് ₹{waitingTimeChargesPerMinute}
• പരമാവധി കാത്തിരിപ്പ് സമയം: {maxwaitingTime} മിനിറ്റ്</v>
      </c>
      <c r="F230" s="2" t="str">
        <f>IFERROR(__xludf.DUMMYFUNCTION("GOOGLETRANSLATE(B230,""en"",""te"")"),"• మొదటి {defaultwaitingTime} నిమిషాలు: ఉచితం
• అదనపు సమయం: నిమిషానికి ₹{waitingTimeChargesPerMinute}
• గరిష్ట నిరీక్షణ సమయం: {maxwaitingTime} నిమిషాలు")</f>
        <v>• మొదటి {defaultwaitingTime} నిమిషాలు: ఉచితం
• అదనపు సమయం: నిమిషానికి ₹{waitingTimeChargesPerMinute}
• గరిష్ట నిరీక్షణ సమయం: {maxwaitingTime} నిమిషాలు</v>
      </c>
      <c r="G230" s="2" t="str">
        <f>IFERROR(__xludf.DUMMYFUNCTION("GOOGLETRANSLATE(B230,""en"",""kn"")"),"• ಮೊದಲ {defaultwaitingTime} ನಿಮಿಷಗಳು: ಉಚಿತ
• ಹೆಚ್ಚುವರಿ ಸಮಯ: ಪ್ರತಿ ನಿಮಿಷಕ್ಕೆ ₹{waitingTimeChargesPerMinute}
• ಗರಿಷ್ಠ ಕಾಯುವ ಸಮಯ: {maxwaitingTime} ನಿಮಿಷಗಳು")</f>
        <v>• ಮೊದಲ {defaultwaitingTime} ನಿಮಿಷಗಳು: ಉಚಿತ
• ಹೆಚ್ಚುವರಿ ಸಮಯ: ಪ್ರತಿ ನಿಮಿಷಕ್ಕೆ ₹{waitingTimeChargesPerMinute}
• ಗರಿಷ್ಠ ಕಾಯುವ ಸಮಯ: {maxwaitingTime} ನಿಮಿಷಗಳು</v>
      </c>
    </row>
    <row r="231">
      <c r="A231" s="1" t="s">
        <v>464</v>
      </c>
      <c r="B231" s="1" t="s">
        <v>465</v>
      </c>
      <c r="C231" s="2" t="str">
        <f>IFERROR(__xludf.DUMMYFUNCTION("GOOGLETRANSLATE(B231,""en"",""ta"")"),"அகற்று")</f>
        <v>அகற்று</v>
      </c>
      <c r="D231" s="2" t="str">
        <f>IFERROR(__xludf.DUMMYFUNCTION("GOOGLETRANSLATE(B231,""en"",""hi"")"),"निकालना")</f>
        <v>निकालना</v>
      </c>
      <c r="E231" s="2" t="str">
        <f>IFERROR(__xludf.DUMMYFUNCTION("GOOGLETRANSLATE(B231,""en"",""ml"")"),"നീക്കം ചെയ്യുക")</f>
        <v>നീക്കം ചെയ്യുക</v>
      </c>
      <c r="F231" s="2" t="str">
        <f>IFERROR(__xludf.DUMMYFUNCTION("GOOGLETRANSLATE(B231,""en"",""te"")"),"తొలగించు")</f>
        <v>తొలగించు</v>
      </c>
      <c r="G231" s="2" t="str">
        <f>IFERROR(__xludf.DUMMYFUNCTION("GOOGLETRANSLATE(B231,""en"",""kn"")"),"ತೆಗೆದುಹಾಕು")</f>
        <v>ತೆಗೆದುಹಾಕು</v>
      </c>
    </row>
    <row r="232">
      <c r="A232" s="1" t="s">
        <v>466</v>
      </c>
      <c r="B232" s="1" t="s">
        <v>467</v>
      </c>
      <c r="C232" s="2" t="str">
        <f>IFERROR(__xludf.DUMMYFUNCTION("GOOGLETRANSLATE(B232,""en"",""ta"")"),"தவிர்க்கவும்")</f>
        <v>தவிர்க்கவும்</v>
      </c>
      <c r="D232" s="2" t="str">
        <f>IFERROR(__xludf.DUMMYFUNCTION("GOOGLETRANSLATE(B232,""en"",""hi"")"),"छोडना")</f>
        <v>छोडना</v>
      </c>
      <c r="E232" s="2" t="str">
        <f>IFERROR(__xludf.DUMMYFUNCTION("GOOGLETRANSLATE(B232,""en"",""ml"")"),"ഒഴിവാക്കുക")</f>
        <v>ഒഴിവാക്കുക</v>
      </c>
      <c r="F232" s="2" t="str">
        <f>IFERROR(__xludf.DUMMYFUNCTION("GOOGLETRANSLATE(B232,""en"",""te"")"),"దాటవేయి")</f>
        <v>దాటవేయి</v>
      </c>
      <c r="G232" s="2" t="str">
        <f>IFERROR(__xludf.DUMMYFUNCTION("GOOGLETRANSLATE(B232,""en"",""kn"")"),"ಬಿಟ್ಟುಬಿಡಿ")</f>
        <v>ಬಿಟ್ಟುಬಿಡಿ</v>
      </c>
    </row>
    <row r="233">
      <c r="A233" s="1" t="s">
        <v>468</v>
      </c>
      <c r="B233" s="1" t="s">
        <v>469</v>
      </c>
      <c r="C233" s="2" t="str">
        <f>IFERROR(__xludf.DUMMYFUNCTION("GOOGLETRANSLATE(B233,""en"",""ta"")"),"அமைக்கவும்")</f>
        <v>அமைக்கவும்</v>
      </c>
      <c r="D233" s="2" t="str">
        <f>IFERROR(__xludf.DUMMYFUNCTION("GOOGLETRANSLATE(B233,""en"",""hi"")"),"तय करना")</f>
        <v>तय करना</v>
      </c>
      <c r="E233" s="2" t="str">
        <f>IFERROR(__xludf.DUMMYFUNCTION("GOOGLETRANSLATE(B233,""en"",""ml"")"),"സെറ്റ്")</f>
        <v>സെറ്റ്</v>
      </c>
      <c r="F233" s="2" t="str">
        <f>IFERROR(__xludf.DUMMYFUNCTION("GOOGLETRANSLATE(B233,""en"",""te"")"),"సెట్")</f>
        <v>సెట్</v>
      </c>
      <c r="G233" s="2" t="str">
        <f>IFERROR(__xludf.DUMMYFUNCTION("GOOGLETRANSLATE(B233,""en"",""kn"")"),"ಹೊಂದಿಸಿ")</f>
        <v>ಹೊಂದಿಸಿ</v>
      </c>
    </row>
    <row r="234">
      <c r="A234" s="1" t="s">
        <v>470</v>
      </c>
      <c r="B234" s="1" t="s">
        <v>471</v>
      </c>
      <c r="C234" s="2" t="str">
        <f>IFERROR(__xludf.DUMMYFUNCTION("GOOGLETRANSLATE(B234,""en"",""ta"")"),"தெரியாத முகவரி")</f>
        <v>தெரியாத முகவரி</v>
      </c>
      <c r="D234" s="2" t="str">
        <f>IFERROR(__xludf.DUMMYFUNCTION("GOOGLETRANSLATE(B234,""en"",""hi"")"),"अज्ञात पता")</f>
        <v>अज्ञात पता</v>
      </c>
      <c r="E234" s="2" t="str">
        <f>IFERROR(__xludf.DUMMYFUNCTION("GOOGLETRANSLATE(B234,""en"",""ml"")"),"അജ്ഞാത വിലാസം")</f>
        <v>അജ്ഞാത വിലാസം</v>
      </c>
      <c r="F234" s="2" t="str">
        <f>IFERROR(__xludf.DUMMYFUNCTION("GOOGLETRANSLATE(B234,""en"",""te"")"),"తెలియని చిరునామా")</f>
        <v>తెలియని చిరునామా</v>
      </c>
      <c r="G234" s="2" t="str">
        <f>IFERROR(__xludf.DUMMYFUNCTION("GOOGLETRANSLATE(B234,""en"",""kn"")"),"ಅಜ್ಞಾತ ವಿಳಾಸ")</f>
        <v>ಅಜ್ಞಾತ ವಿಳಾಸ</v>
      </c>
    </row>
    <row r="235">
      <c r="A235" s="1" t="s">
        <v>472</v>
      </c>
      <c r="B235" s="1" t="s">
        <v>473</v>
      </c>
      <c r="C235" s="2" t="str">
        <f>IFERROR(__xludf.DUMMYFUNCTION("GOOGLETRANSLATE(B235,""en"",""ta"")"),"இலக்கைத் தேடுங்கள்")</f>
        <v>இலக்கைத் தேடுங்கள்</v>
      </c>
      <c r="D235" s="2" t="str">
        <f>IFERROR(__xludf.DUMMYFUNCTION("GOOGLETRANSLATE(B235,""en"",""hi"")"),"खोज गंतव्य")</f>
        <v>खोज गंतव्य</v>
      </c>
      <c r="E235" s="2" t="str">
        <f>IFERROR(__xludf.DUMMYFUNCTION("GOOGLETRANSLATE(B235,""en"",""ml"")"),"ലക്ഷ്യസ്ഥാനം തിരയുക")</f>
        <v>ലക്ഷ്യസ്ഥാനം തിരയുക</v>
      </c>
      <c r="F235" s="2" t="str">
        <f>IFERROR(__xludf.DUMMYFUNCTION("GOOGLETRANSLATE(B235,""en"",""te"")"),"గమ్యాన్ని శోధించండి")</f>
        <v>గమ్యాన్ని శోధించండి</v>
      </c>
      <c r="G235" s="2" t="str">
        <f>IFERROR(__xludf.DUMMYFUNCTION("GOOGLETRANSLATE(B235,""en"",""kn"")"),"ಗಮ್ಯಸ್ಥಾನವನ್ನು ಹುಡುಕಿ")</f>
        <v>ಗಮ್ಯಸ್ಥಾನವನ್ನು ಹುಡುಕಿ</v>
      </c>
    </row>
    <row r="236">
      <c r="A236" s="1" t="s">
        <v>474</v>
      </c>
      <c r="B236" s="1" t="s">
        <v>475</v>
      </c>
      <c r="C236" s="2" t="str">
        <f>IFERROR(__xludf.DUMMYFUNCTION("GOOGLETRANSLATE(B236,""en"",""ta"")"),"பிக்கப் இடத்தைத் தேடுங்கள்")</f>
        <v>பிக்கப் இடத்தைத் தேடுங்கள்</v>
      </c>
      <c r="D236" s="2" t="str">
        <f>IFERROR(__xludf.DUMMYFUNCTION("GOOGLETRANSLATE(B236,""en"",""hi"")"),"पिकअप स्थान खोजें")</f>
        <v>पिकअप स्थान खोजें</v>
      </c>
      <c r="E236" s="2" t="str">
        <f>IFERROR(__xludf.DUMMYFUNCTION("GOOGLETRANSLATE(B236,""en"",""ml"")"),"പിക്കപ്പ് ലൊക്കേഷൻ തിരയുക")</f>
        <v>പിക്കപ്പ് ലൊക്കേഷൻ തിരയുക</v>
      </c>
      <c r="F236" s="2" t="str">
        <f>IFERROR(__xludf.DUMMYFUNCTION("GOOGLETRANSLATE(B236,""en"",""te"")"),"పికప్ స్థానాన్ని శోధించండి")</f>
        <v>పికప్ స్థానాన్ని శోధించండి</v>
      </c>
      <c r="G236" s="2" t="str">
        <f>IFERROR(__xludf.DUMMYFUNCTION("GOOGLETRANSLATE(B236,""en"",""kn"")"),"ಪಿಕಪ್ ಸ್ಥಳವನ್ನು ಹುಡುಕಿ")</f>
        <v>ಪಿಕಪ್ ಸ್ಥಳವನ್ನು ಹುಡುಕಿ</v>
      </c>
    </row>
    <row r="237">
      <c r="A237" s="1" t="s">
        <v>476</v>
      </c>
      <c r="B237" s="1" t="s">
        <v>477</v>
      </c>
      <c r="C237" s="2" t="str">
        <f>IFERROR(__xludf.DUMMYFUNCTION("GOOGLETRANSLATE(B237,""en"",""ta"")"),"தற்போதைய இடம்")</f>
        <v>தற்போதைய இடம்</v>
      </c>
      <c r="D237" s="2" t="str">
        <f>IFERROR(__xludf.DUMMYFUNCTION("GOOGLETRANSLATE(B237,""en"",""hi"")"),"वर्तमान स्थान")</f>
        <v>वर्तमान स्थान</v>
      </c>
      <c r="E237" s="2" t="str">
        <f>IFERROR(__xludf.DUMMYFUNCTION("GOOGLETRANSLATE(B237,""en"",""ml"")"),"നിലവിലെ സ്ഥാനം")</f>
        <v>നിലവിലെ സ്ഥാനം</v>
      </c>
      <c r="F237" s="2" t="str">
        <f>IFERROR(__xludf.DUMMYFUNCTION("GOOGLETRANSLATE(B237,""en"",""te"")"),"ప్రస్తుత స్థానం")</f>
        <v>ప్రస్తుత స్థానం</v>
      </c>
      <c r="G237" s="2" t="str">
        <f>IFERROR(__xludf.DUMMYFUNCTION("GOOGLETRANSLATE(B237,""en"",""kn"")"),"ಪ್ರಸ್ತುತ ಸ್ಥಳ")</f>
        <v>ಪ್ರಸ್ತುತ ಸ್ಥಳ</v>
      </c>
    </row>
    <row r="238">
      <c r="A238" s="1" t="s">
        <v>478</v>
      </c>
      <c r="B238" s="1" t="s">
        <v>479</v>
      </c>
      <c r="C238" s="2" t="str">
        <f>IFERROR(__xludf.DUMMYFUNCTION("GOOGLETRANSLATE(B238,""en"",""ta"")"),"இலக்கு")</f>
        <v>இலக்கு</v>
      </c>
      <c r="D238" s="2" t="str">
        <f>IFERROR(__xludf.DUMMYFUNCTION("GOOGLETRANSLATE(B238,""en"",""hi"")"),"गंतव्य")</f>
        <v>गंतव्य</v>
      </c>
      <c r="E238" s="2" t="str">
        <f>IFERROR(__xludf.DUMMYFUNCTION("GOOGLETRANSLATE(B238,""en"",""ml"")"),"ലക്ഷ്യസ്ഥാനം")</f>
        <v>ലക്ഷ്യസ്ഥാനം</v>
      </c>
      <c r="F238" s="2" t="str">
        <f>IFERROR(__xludf.DUMMYFUNCTION("GOOGLETRANSLATE(B238,""en"",""te"")"),"గమ్యం")</f>
        <v>గమ్యం</v>
      </c>
      <c r="G238" s="2" t="str">
        <f>IFERROR(__xludf.DUMMYFUNCTION("GOOGLETRANSLATE(B238,""en"",""kn"")"),"ಗಮ್ಯಸ್ಥಾನ")</f>
        <v>ಗಮ್ಯಸ್ಥಾನ</v>
      </c>
    </row>
    <row r="239">
      <c r="A239" s="1" t="s">
        <v>480</v>
      </c>
      <c r="B239" s="1" t="s">
        <v>481</v>
      </c>
      <c r="C239" s="2" t="str">
        <f>IFERROR(__xludf.DUMMYFUNCTION("GOOGLETRANSLATE(B239,""en"",""ta"")"),"நிறுத்து")</f>
        <v>நிறுத்து</v>
      </c>
      <c r="D239" s="2" t="str">
        <f>IFERROR(__xludf.DUMMYFUNCTION("GOOGLETRANSLATE(B239,""en"",""hi"")"),"रुकना")</f>
        <v>रुकना</v>
      </c>
      <c r="E239" s="2" t="str">
        <f>IFERROR(__xludf.DUMMYFUNCTION("GOOGLETRANSLATE(B239,""en"",""ml"")"),"നിർത്തുക")</f>
        <v>നിർത്തുക</v>
      </c>
      <c r="F239" s="2" t="str">
        <f>IFERROR(__xludf.DUMMYFUNCTION("GOOGLETRANSLATE(B239,""en"",""te"")"),"ఆపు")</f>
        <v>ఆపు</v>
      </c>
      <c r="G239" s="2" t="str">
        <f>IFERROR(__xludf.DUMMYFUNCTION("GOOGLETRANSLATE(B239,""en"",""kn"")"),"ನಿಲ್ಲಿಸು")</f>
        <v>ನಿಲ್ಲಿಸು</v>
      </c>
    </row>
    <row r="240">
      <c r="A240" s="1" t="s">
        <v>482</v>
      </c>
      <c r="B240" s="1" t="s">
        <v>483</v>
      </c>
      <c r="C240" s="2" t="str">
        <f>IFERROR(__xludf.DUMMYFUNCTION("GOOGLETRANSLATE(B240,""en"",""ta"")"),"நிறுத்துகிறது")</f>
        <v>நிறுத்துகிறது</v>
      </c>
      <c r="D240" s="2" t="str">
        <f>IFERROR(__xludf.DUMMYFUNCTION("GOOGLETRANSLATE(B240,""en"",""hi"")"),"बंद हो जाता है")</f>
        <v>बंद हो जाता है</v>
      </c>
      <c r="E240" s="2" t="str">
        <f>IFERROR(__xludf.DUMMYFUNCTION("GOOGLETRANSLATE(B240,""en"",""ml"")"),"നിർത്തുന്നു")</f>
        <v>നിർത്തുന്നു</v>
      </c>
      <c r="F240" s="2" t="str">
        <f>IFERROR(__xludf.DUMMYFUNCTION("GOOGLETRANSLATE(B240,""en"",""te"")"),"ఆగుతుంది")</f>
        <v>ఆగుతుంది</v>
      </c>
      <c r="G240" s="2" t="str">
        <f>IFERROR(__xludf.DUMMYFUNCTION("GOOGLETRANSLATE(B240,""en"",""kn"")"),"ನಿಲ್ಲುತ್ತದೆ")</f>
        <v>ನಿಲ್ಲುತ್ತದೆ</v>
      </c>
    </row>
    <row r="241">
      <c r="A241" s="1" t="s">
        <v>484</v>
      </c>
      <c r="B241" s="1" t="s">
        <v>485</v>
      </c>
      <c r="C241" s="2" t="str">
        <f>IFERROR(__xludf.DUMMYFUNCTION("GOOGLETRANSLATE(B241,""en"",""ta"")"),"நட்சத்திரம்")</f>
        <v>நட்சத்திரம்</v>
      </c>
      <c r="D241" s="2" t="str">
        <f>IFERROR(__xludf.DUMMYFUNCTION("GOOGLETRANSLATE(B241,""en"",""hi"")"),"तारा")</f>
        <v>तारा</v>
      </c>
      <c r="E241" s="2" t="str">
        <f>IFERROR(__xludf.DUMMYFUNCTION("GOOGLETRANSLATE(B241,""en"",""ml"")"),"നക്ഷത്രം")</f>
        <v>നക്ഷത്രം</v>
      </c>
      <c r="F241" s="2" t="str">
        <f>IFERROR(__xludf.DUMMYFUNCTION("GOOGLETRANSLATE(B241,""en"",""te"")"),"నక్షత్రం")</f>
        <v>నక్షత్రం</v>
      </c>
      <c r="G241" s="2" t="str">
        <f>IFERROR(__xludf.DUMMYFUNCTION("GOOGLETRANSLATE(B241,""en"",""kn"")"),"ನಕ್ಷತ್ರ")</f>
        <v>ನಕ್ಷತ್ರ</v>
      </c>
    </row>
    <row r="242">
      <c r="A242" s="1" t="s">
        <v>486</v>
      </c>
      <c r="B242" s="1" t="s">
        <v>487</v>
      </c>
      <c r="C242" s="2" t="str">
        <f>IFERROR(__xludf.DUMMYFUNCTION("GOOGLETRANSLATE(B242,""en"",""ta"")"),"ஒரு பயணத்தை திட்டமிடுங்கள்")</f>
        <v>ஒரு பயணத்தை திட்டமிடுங்கள்</v>
      </c>
      <c r="D242" s="2" t="str">
        <f>IFERROR(__xludf.DUMMYFUNCTION("GOOGLETRANSLATE(B242,""en"",""hi"")"),"यात्रा का कार्यक्रम बनाएं")</f>
        <v>यात्रा का कार्यक्रम बनाएं</v>
      </c>
      <c r="E242" s="2" t="str">
        <f>IFERROR(__xludf.DUMMYFUNCTION("GOOGLETRANSLATE(B242,""en"",""ml"")"),"ഒരു യാത്ര ഷെഡ്യൂൾ ചെയ്യുക")</f>
        <v>ഒരു യാത്ര ഷെഡ്യൂൾ ചെയ്യുക</v>
      </c>
      <c r="F242" s="2" t="str">
        <f>IFERROR(__xludf.DUMMYFUNCTION("GOOGLETRANSLATE(B242,""en"",""te"")"),"ట్రిప్‌ని షెడ్యూల్ చేయండి")</f>
        <v>ట్రిప్‌ని షెడ్యూల్ చేయండి</v>
      </c>
      <c r="G242" s="2" t="str">
        <f>IFERROR(__xludf.DUMMYFUNCTION("GOOGLETRANSLATE(B242,""en"",""kn"")"),"ಪ್ರವಾಸವನ್ನು ನಿಗದಿಪಡಿಸಿ")</f>
        <v>ಪ್ರವಾಸವನ್ನು ನಿಗದಿಪಡಿಸಿ</v>
      </c>
    </row>
    <row r="243">
      <c r="A243" s="1" t="s">
        <v>488</v>
      </c>
      <c r="B243" s="1" t="s">
        <v>489</v>
      </c>
      <c r="C243" s="2" t="str">
        <f>IFERROR(__xludf.DUMMYFUNCTION("GOOGLETRANSLATE(B243,""en"",""ta"")"),"தவறான தேதி நேரம்")</f>
        <v>தவறான தேதி நேரம்</v>
      </c>
      <c r="D243" s="2" t="str">
        <f>IFERROR(__xludf.DUMMYFUNCTION("GOOGLETRANSLATE(B243,""en"",""hi"")"),"अमान्य दिनांक समय")</f>
        <v>अमान्य दिनांक समय</v>
      </c>
      <c r="E243" s="2" t="str">
        <f>IFERROR(__xludf.DUMMYFUNCTION("GOOGLETRANSLATE(B243,""en"",""ml"")"),"അസാധുവായ തീയതി സമയം")</f>
        <v>അസാധുവായ തീയതി സമയം</v>
      </c>
      <c r="F243" s="2" t="str">
        <f>IFERROR(__xludf.DUMMYFUNCTION("GOOGLETRANSLATE(B243,""en"",""te"")"),"చెల్లని తేదీ సమయం")</f>
        <v>చెల్లని తేదీ సమయం</v>
      </c>
      <c r="G243" s="2" t="str">
        <f>IFERROR(__xludf.DUMMYFUNCTION("GOOGLETRANSLATE(B243,""en"",""kn"")"),"ಅಮಾನ್ಯ ದಿನಾಂಕ ಸಮಯ")</f>
        <v>ಅಮಾನ್ಯ ದಿನಾಂಕ ಸಮಯ</v>
      </c>
    </row>
    <row r="244">
      <c r="A244" s="1" t="s">
        <v>490</v>
      </c>
      <c r="B244" s="1" t="s">
        <v>491</v>
      </c>
      <c r="C244" s="2" t="str">
        <f>IFERROR(__xludf.DUMMYFUNCTION("GOOGLETRANSLATE(B244,""en"",""ta"")"),"தயவு செய்து தற்போதைய நேரத்தை விட பெரிய நேரத்தைத் தேர்ந்தெடுக்கவும்")</f>
        <v>தயவு செய்து தற்போதைய நேரத்தை விட பெரிய நேரத்தைத் தேர்ந்தெடுக்கவும்</v>
      </c>
      <c r="D244" s="2" t="str">
        <f>IFERROR(__xludf.DUMMYFUNCTION("GOOGLETRANSLATE(B244,""en"",""hi"")"),"कृपया वर्तमान समय से बड़ा समय चुनें")</f>
        <v>कृपया वर्तमान समय से बड़ा समय चुनें</v>
      </c>
      <c r="E244" s="2" t="str">
        <f>IFERROR(__xludf.DUMMYFUNCTION("GOOGLETRANSLATE(B244,""en"",""ml"")"),"ദയവായി സമയം വലിയതും നിലവിലെ സമയവും തിരഞ്ഞെടുക്കുക")</f>
        <v>ദയവായി സമയം വലിയതും നിലവിലെ സമയവും തിരഞ്ഞെടുക്കുക</v>
      </c>
      <c r="F244" s="2" t="str">
        <f>IFERROR(__xludf.DUMMYFUNCTION("GOOGLETRANSLATE(B244,""en"",""te"")"),"దయచేసి ప్రస్తుత సమయం కంటే ఎక్కువ సమయం ఎంచుకోండి")</f>
        <v>దయచేసి ప్రస్తుత సమయం కంటే ఎక్కువ సమయం ఎంచుకోండి</v>
      </c>
      <c r="G244" s="2" t="str">
        <f>IFERROR(__xludf.DUMMYFUNCTION("GOOGLETRANSLATE(B244,""en"",""kn"")"),"ದಯವಿಟ್ಟು ಸಮಯವನ್ನು ಹೆಚ್ಚು ನಂತರ ಪ್ರಸ್ತುತ ಸಮಯವನ್ನು ಆಯ್ಕೆಮಾಡಿ")</f>
        <v>ದಯವಿಟ್ಟು ಸಮಯವನ್ನು ಹೆಚ್ಚು ನಂತರ ಪ್ರಸ್ತುತ ಸಮಯವನ್ನು ಆಯ್ಕೆಮಾಡಿ</v>
      </c>
    </row>
    <row r="245">
      <c r="A245" s="1" t="s">
        <v>492</v>
      </c>
      <c r="B245" s="1" t="s">
        <v>493</v>
      </c>
      <c r="C245" s="2" t="str">
        <f>IFERROR(__xludf.DUMMYFUNCTION("GOOGLETRANSLATE(B245,""en"",""ta"")"),"நிறுத்தங்களைச் சேர்க்கவும்")</f>
        <v>நிறுத்தங்களைச் சேர்க்கவும்</v>
      </c>
      <c r="D245" s="2" t="str">
        <f>IFERROR(__xludf.DUMMYFUNCTION("GOOGLETRANSLATE(B245,""en"",""hi"")"),"स्टॉप जोड़ें")</f>
        <v>स्टॉप जोड़ें</v>
      </c>
      <c r="E245" s="2" t="str">
        <f>IFERROR(__xludf.DUMMYFUNCTION("GOOGLETRANSLATE(B245,""en"",""ml"")"),"സ്റ്റോപ്പുകൾ ചേർക്കുക")</f>
        <v>സ്റ്റോപ്പുകൾ ചേർക്കുക</v>
      </c>
      <c r="F245" s="2" t="str">
        <f>IFERROR(__xludf.DUMMYFUNCTION("GOOGLETRANSLATE(B245,""en"",""te"")"),"స్టాప్‌లను జోడించండి")</f>
        <v>స్టాప్‌లను జోడించండి</v>
      </c>
      <c r="G245" s="2" t="str">
        <f>IFERROR(__xludf.DUMMYFUNCTION("GOOGLETRANSLATE(B245,""en"",""kn"")"),"ನಿಲುಗಡೆಗಳನ್ನು ಸೇರಿಸಿ")</f>
        <v>ನಿಲುಗಡೆಗಳನ್ನು ಸೇರಿಸಿ</v>
      </c>
    </row>
    <row r="246">
      <c r="A246" s="1" t="s">
        <v>494</v>
      </c>
      <c r="B246" s="1" t="s">
        <v>495</v>
      </c>
      <c r="C246" s="2" t="str">
        <f>IFERROR(__xludf.DUMMYFUNCTION("GOOGLETRANSLATE(B246,""en"",""ta"")"),"திருத்தப்பட்ட வழியை உறுதிப்படுத்தவும்")</f>
        <v>திருத்தப்பட்ட வழியை உறுதிப்படுத்தவும்</v>
      </c>
      <c r="D246" s="2" t="str">
        <f>IFERROR(__xludf.DUMMYFUNCTION("GOOGLETRANSLATE(B246,""en"",""hi"")"),"संपादित मार्ग की पुष्टि करें")</f>
        <v>संपादित मार्ग की पुष्टि करें</v>
      </c>
      <c r="E246" s="2" t="str">
        <f>IFERROR(__xludf.DUMMYFUNCTION("GOOGLETRANSLATE(B246,""en"",""ml"")"),"എഡിറ്റുചെയ്ത റൂട്ട് സ്ഥിരീകരിക്കുക")</f>
        <v>എഡിറ്റുചെയ്ത റൂട്ട് സ്ഥിരീകരിക്കുക</v>
      </c>
      <c r="F246" s="2" t="str">
        <f>IFERROR(__xludf.DUMMYFUNCTION("GOOGLETRANSLATE(B246,""en"",""te"")"),"సవరించిన మార్గాన్ని నిర్ధారించండి")</f>
        <v>సవరించిన మార్గాన్ని నిర్ధారించండి</v>
      </c>
      <c r="G246" s="2" t="str">
        <f>IFERROR(__xludf.DUMMYFUNCTION("GOOGLETRANSLATE(B246,""en"",""kn"")"),"ಸಂಪಾದಿಸಿದ ಮಾರ್ಗವನ್ನು ದೃಢೀಕರಿಸಿ")</f>
        <v>ಸಂಪಾದಿಸಿದ ಮಾರ್ಗವನ್ನು ದೃಢೀಕರಿಸಿ</v>
      </c>
    </row>
    <row r="247">
      <c r="A247" s="1" t="s">
        <v>496</v>
      </c>
      <c r="B247" s="1" t="s">
        <v>497</v>
      </c>
      <c r="C247" s="2" t="str">
        <f>IFERROR(__xludf.DUMMYFUNCTION("GOOGLETRANSLATE(B247,""en"",""ta"")"),"பாதையை உறுதிப்படுத்தவும்")</f>
        <v>பாதையை உறுதிப்படுத்தவும்</v>
      </c>
      <c r="D247" s="2" t="str">
        <f>IFERROR(__xludf.DUMMYFUNCTION("GOOGLETRANSLATE(B247,""en"",""hi"")"),"मार्ग की पुष्टि करें")</f>
        <v>मार्ग की पुष्टि करें</v>
      </c>
      <c r="E247" s="2" t="str">
        <f>IFERROR(__xludf.DUMMYFUNCTION("GOOGLETRANSLATE(B247,""en"",""ml"")"),"റൂട്ട് സ്ഥിരീകരിക്കുക")</f>
        <v>റൂട്ട് സ്ഥിരീകരിക്കുക</v>
      </c>
      <c r="F247" s="2" t="str">
        <f>IFERROR(__xludf.DUMMYFUNCTION("GOOGLETRANSLATE(B247,""en"",""te"")"),"మార్గాన్ని నిర్ధారించండి")</f>
        <v>మార్గాన్ని నిర్ధారించండి</v>
      </c>
      <c r="G247" s="2" t="str">
        <f>IFERROR(__xludf.DUMMYFUNCTION("GOOGLETRANSLATE(B247,""en"",""kn"")"),"ಮಾರ್ಗವನ್ನು ದೃಢೀಕರಿಸಿ")</f>
        <v>ಮಾರ್ಗವನ್ನು ದೃಢೀಕರಿಸಿ</v>
      </c>
    </row>
    <row r="248">
      <c r="A248" s="1" t="s">
        <v>498</v>
      </c>
      <c r="B248" s="1" t="s">
        <v>499</v>
      </c>
      <c r="C248" s="2" t="str">
        <f>IFERROR(__xludf.DUMMYFUNCTION("GOOGLETRANSLATE(B248,""en"",""ta"")"),"பிக்கப் பாயிண்ட்")</f>
        <v>பிக்கப் பாயிண்ட்</v>
      </c>
      <c r="D248" s="2" t="str">
        <f>IFERROR(__xludf.DUMMYFUNCTION("GOOGLETRANSLATE(B248,""en"",""hi"")"),"पिक अप बिंदु")</f>
        <v>पिक अप बिंदु</v>
      </c>
      <c r="E248" s="2" t="str">
        <f>IFERROR(__xludf.DUMMYFUNCTION("GOOGLETRANSLATE(B248,""en"",""ml"")"),"പിക്കപ്പ് പോയിൻ്റ്")</f>
        <v>പിക്കപ്പ് പോയിൻ്റ്</v>
      </c>
      <c r="F248" s="2" t="str">
        <f>IFERROR(__xludf.DUMMYFUNCTION("GOOGLETRANSLATE(B248,""en"",""te"")"),"పికప్ పాయింట్")</f>
        <v>పికప్ పాయింట్</v>
      </c>
      <c r="G248" s="2" t="str">
        <f>IFERROR(__xludf.DUMMYFUNCTION("GOOGLETRANSLATE(B248,""en"",""kn"")"),"ಪಿಕಪ್ ಪಾಯಿಂಟ್")</f>
        <v>ಪಿಕಪ್ ಪಾಯಿಂಟ್</v>
      </c>
    </row>
    <row r="249">
      <c r="A249" s="1" t="s">
        <v>500</v>
      </c>
      <c r="B249" s="1" t="s">
        <v>501</v>
      </c>
      <c r="C249" s="2" t="str">
        <f>IFERROR(__xludf.DUMMYFUNCTION("GOOGLETRANSLATE(B249,""en"",""ta"")"),"டிராப் பாயிண்ட்")</f>
        <v>டிராப் பாயிண்ட்</v>
      </c>
      <c r="D249" s="2" t="str">
        <f>IFERROR(__xludf.DUMMYFUNCTION("GOOGLETRANSLATE(B249,""en"",""hi"")"),"ड्रॉप बिंदु")</f>
        <v>ड्रॉप बिंदु</v>
      </c>
      <c r="E249" s="2" t="str">
        <f>IFERROR(__xludf.DUMMYFUNCTION("GOOGLETRANSLATE(B249,""en"",""ml"")"),"ഡ്രോപ്പ് പോയിൻ്റ്")</f>
        <v>ഡ്രോപ്പ് പോയിൻ്റ്</v>
      </c>
      <c r="F249" s="2" t="str">
        <f>IFERROR(__xludf.DUMMYFUNCTION("GOOGLETRANSLATE(B249,""en"",""te"")"),"డ్రాప్ పాయింట్")</f>
        <v>డ్రాప్ పాయింట్</v>
      </c>
      <c r="G249" s="2" t="str">
        <f>IFERROR(__xludf.DUMMYFUNCTION("GOOGLETRANSLATE(B249,""en"",""kn"")"),"ಡ್ರಾಪ್ ಪಾಯಿಂಟ್")</f>
        <v>ಡ್ರಾಪ್ ಪಾಯಿಂಟ್</v>
      </c>
    </row>
    <row r="250">
      <c r="A250" s="1" t="s">
        <v>502</v>
      </c>
      <c r="B250" s="1" t="s">
        <v>503</v>
      </c>
      <c r="C250" s="2" t="str">
        <f>IFERROR(__xludf.DUMMYFUNCTION("GOOGLETRANSLATE(B250,""en"",""ta"")"),"தொடக்க மற்றும் முடிவு இடங்கள் தேவை")</f>
        <v>தொடக்க மற்றும் முடிவு இடங்கள் தேவை</v>
      </c>
      <c r="D250" s="2" t="str">
        <f>IFERROR(__xludf.DUMMYFUNCTION("GOOGLETRANSLATE(B250,""en"",""hi"")"),"आरंभ और समाप्ति स्थान आवश्यक हैं")</f>
        <v>आरंभ और समाप्ति स्थान आवश्यक हैं</v>
      </c>
      <c r="E250" s="2" t="str">
        <f>IFERROR(__xludf.DUMMYFUNCTION("GOOGLETRANSLATE(B250,""en"",""ml"")"),"ആരംഭിക്കുന്നതും അവസാനിക്കുന്നതുമായ ലൊക്കേഷനുകൾ ആവശ്യമാണ്")</f>
        <v>ആരംഭിക്കുന്നതും അവസാനിക്കുന്നതുമായ ലൊക്കേഷനുകൾ ആവശ്യമാണ്</v>
      </c>
      <c r="F250" s="2" t="str">
        <f>IFERROR(__xludf.DUMMYFUNCTION("GOOGLETRANSLATE(B250,""en"",""te"")"),"ప్రారంభ మరియు ముగింపు స్థానాలు అవసరం")</f>
        <v>ప్రారంభ మరియు ముగింపు స్థానాలు అవసరం</v>
      </c>
      <c r="G250" s="2" t="str">
        <f>IFERROR(__xludf.DUMMYFUNCTION("GOOGLETRANSLATE(B250,""en"",""kn"")"),"ಪ್ರಾರಂಭ ಮತ್ತು ಅಂತ್ಯದ ಸ್ಥಳಗಳ ಅಗತ್ಯವಿದೆ")</f>
        <v>ಪ್ರಾರಂಭ ಮತ್ತು ಅಂತ್ಯದ ಸ್ಥಳಗಳ ಅಗತ್ಯವಿದೆ</v>
      </c>
    </row>
    <row r="251">
      <c r="A251" s="1" t="s">
        <v>504</v>
      </c>
      <c r="B251" s="1" t="s">
        <v>505</v>
      </c>
      <c r="C251" s="2" t="str">
        <f>IFERROR(__xludf.DUMMYFUNCTION("GOOGLETRANSLATE(B251,""en"",""ta"")"),"வாகனம் தேர்வு தேவை")</f>
        <v>வாகனம் தேர்வு தேவை</v>
      </c>
      <c r="D251" s="2" t="str">
        <f>IFERROR(__xludf.DUMMYFUNCTION("GOOGLETRANSLATE(B251,""en"",""hi"")"),"वाहन चयन आवश्यक है")</f>
        <v>वाहन चयन आवश्यक है</v>
      </c>
      <c r="E251" s="2" t="str">
        <f>IFERROR(__xludf.DUMMYFUNCTION("GOOGLETRANSLATE(B251,""en"",""ml"")"),"വാഹനം തിരഞ്ഞെടുക്കേണ്ടത് ആവശ്യമാണ്")</f>
        <v>വാഹനം തിരഞ്ഞെടുക്കേണ്ടത് ആവശ്യമാണ്</v>
      </c>
      <c r="F251" s="2" t="str">
        <f>IFERROR(__xludf.DUMMYFUNCTION("GOOGLETRANSLATE(B251,""en"",""te"")"),"వాహనం ఎంపిక అవసరం")</f>
        <v>వాహనం ఎంపిక అవసరం</v>
      </c>
      <c r="G251" s="2" t="str">
        <f>IFERROR(__xludf.DUMMYFUNCTION("GOOGLETRANSLATE(B251,""en"",""kn"")"),"ವಾಹನ ಆಯ್ಕೆ ಅಗತ್ಯವಿದೆ")</f>
        <v>ವಾಹನ ಆಯ್ಕೆ ಅಗತ್ಯವಿದೆ</v>
      </c>
    </row>
    <row r="252">
      <c r="A252" s="1" t="s">
        <v>506</v>
      </c>
      <c r="B252" s="1" t="s">
        <v>507</v>
      </c>
      <c r="C252" s="2" t="str">
        <f>IFERROR(__xludf.DUMMYFUNCTION("GOOGLETRANSLATE(B252,""en"",""ta"")"),"முன்பதிவு பிழை")</f>
        <v>முன்பதிவு பிழை</v>
      </c>
      <c r="D252" s="2" t="str">
        <f>IFERROR(__xludf.DUMMYFUNCTION("GOOGLETRANSLATE(B252,""en"",""hi"")"),"बुकिंग त्रुटि")</f>
        <v>बुकिंग त्रुटि</v>
      </c>
      <c r="E252" s="2" t="str">
        <f>IFERROR(__xludf.DUMMYFUNCTION("GOOGLETRANSLATE(B252,""en"",""ml"")"),"ബുക്കിംഗ് പിശക്")</f>
        <v>ബുക്കിംഗ് പിശക്</v>
      </c>
      <c r="F252" s="2" t="str">
        <f>IFERROR(__xludf.DUMMYFUNCTION("GOOGLETRANSLATE(B252,""en"",""te"")"),"బుకింగ్ లోపం")</f>
        <v>బుకింగ్ లోపం</v>
      </c>
      <c r="G252" s="2" t="str">
        <f>IFERROR(__xludf.DUMMYFUNCTION("GOOGLETRANSLATE(B252,""en"",""kn"")"),"ಬುಕಿಂಗ್ ದೋಷ")</f>
        <v>ಬುಕಿಂಗ್ ದೋಷ</v>
      </c>
    </row>
    <row r="253">
      <c r="A253" s="1" t="s">
        <v>508</v>
      </c>
      <c r="B253" s="1" t="s">
        <v>509</v>
      </c>
      <c r="C253" s="2" t="str">
        <f>IFERROR(__xludf.DUMMYFUNCTION("GOOGLETRANSLATE(B253,""en"",""ta"")"),"பயணத்தை முன்பதிவு செய்ய முடியவில்லை")</f>
        <v>பயணத்தை முன்பதிவு செய்ய முடியவில்லை</v>
      </c>
      <c r="D253" s="2" t="str">
        <f>IFERROR(__xludf.DUMMYFUNCTION("GOOGLETRANSLATE(B253,""en"",""hi"")"),"सवारी बुक करने में विफल")</f>
        <v>सवारी बुक करने में विफल</v>
      </c>
      <c r="E253" s="2" t="str">
        <f>IFERROR(__xludf.DUMMYFUNCTION("GOOGLETRANSLATE(B253,""en"",""ml"")"),"റൈഡ് ബുക്ക് ചെയ്യുന്നതിൽ പരാജയപ്പെട്ടു")</f>
        <v>റൈഡ് ബുക്ക് ചെയ്യുന്നതിൽ പരാജയപ്പെട്ടു</v>
      </c>
      <c r="F253" s="2" t="str">
        <f>IFERROR(__xludf.DUMMYFUNCTION("GOOGLETRANSLATE(B253,""en"",""te"")"),"రైడ్‌ని బుక్ చేయడంలో విఫలమైంది")</f>
        <v>రైడ్‌ని బుక్ చేయడంలో విఫలమైంది</v>
      </c>
      <c r="G253" s="2" t="str">
        <f>IFERROR(__xludf.DUMMYFUNCTION("GOOGLETRANSLATE(B253,""en"",""kn"")"),"ರೈಡ್ ಅನ್ನು ಬುಕ್ ಮಾಡಲು ವಿಫಲವಾಗಿದೆ")</f>
        <v>ರೈಡ್ ಅನ್ನು ಬುಕ್ ಮಾಡಲು ವಿಫಲವಾಗಿದೆ</v>
      </c>
    </row>
    <row r="254">
      <c r="A254" s="1" t="s">
        <v>510</v>
      </c>
      <c r="B254" s="1" t="s">
        <v>511</v>
      </c>
      <c r="C254" s="2" t="str">
        <f>IFERROR(__xludf.DUMMYFUNCTION("GOOGLETRANSLATE(B254,""en"",""ta"")"),"தொடக்க மற்றும் முடிவு இடங்களைத் தேர்ந்தெடுக்கவும்")</f>
        <v>தொடக்க மற்றும் முடிவு இடங்களைத் தேர்ந்தெடுக்கவும்</v>
      </c>
      <c r="D254" s="2" t="str">
        <f>IFERROR(__xludf.DUMMYFUNCTION("GOOGLETRANSLATE(B254,""en"",""hi"")"),"कृपया आरंभ और समाप्ति स्थान चुनें")</f>
        <v>कृपया आरंभ और समाप्ति स्थान चुनें</v>
      </c>
      <c r="E254" s="2" t="str">
        <f>IFERROR(__xludf.DUMMYFUNCTION("GOOGLETRANSLATE(B254,""en"",""ml"")"),"ആരംഭിക്കുന്നതും അവസാനിക്കുന്നതുമായ ലൊക്കേഷനുകൾ തിരഞ്ഞെടുക്കുക")</f>
        <v>ആരംഭിക്കുന്നതും അവസാനിക്കുന്നതുമായ ലൊക്കേഷനുകൾ തിരഞ്ഞെടുക്കുക</v>
      </c>
      <c r="F254" s="2" t="str">
        <f>IFERROR(__xludf.DUMMYFUNCTION("GOOGLETRANSLATE(B254,""en"",""te"")"),"దయచేసి ప్రారంభ మరియు ముగింపు స్థానాలను ఎంచుకోండి")</f>
        <v>దయచేసి ప్రారంభ మరియు ముగింపు స్థానాలను ఎంచుకోండి</v>
      </c>
      <c r="G254" s="2" t="str">
        <f>IFERROR(__xludf.DUMMYFUNCTION("GOOGLETRANSLATE(B254,""en"",""kn"")"),"ದಯವಿಟ್ಟು ಪ್ರಾರಂಭ ಮತ್ತು ಅಂತ್ಯದ ಸ್ಥಳಗಳನ್ನು ಆಯ್ಕೆಮಾಡಿ")</f>
        <v>ದಯವಿಟ್ಟು ಪ್ರಾರಂಭ ಮತ್ತು ಅಂತ್ಯದ ಸ್ಥಳಗಳನ್ನು ಆಯ್ಕೆಮಾಡಿ</v>
      </c>
    </row>
    <row r="255">
      <c r="A255" s="1" t="s">
        <v>512</v>
      </c>
      <c r="B255" s="1" t="s">
        <v>513</v>
      </c>
      <c r="C255" s="2" t="str">
        <f>IFERROR(__xludf.DUMMYFUNCTION("GOOGLETRANSLATE(B255,""en"",""ta"")"),"வாகனத்தைத் தேர்ந்தெடுக்கவும்")</f>
        <v>வாகனத்தைத் தேர்ந்தெடுக்கவும்</v>
      </c>
      <c r="D255" s="2" t="str">
        <f>IFERROR(__xludf.DUMMYFUNCTION("GOOGLETRANSLATE(B255,""en"",""hi"")"),"कृपया एक वाहन चुनें")</f>
        <v>कृपया एक वाहन चुनें</v>
      </c>
      <c r="E255" s="2" t="str">
        <f>IFERROR(__xludf.DUMMYFUNCTION("GOOGLETRANSLATE(B255,""en"",""ml"")"),"ദയവായി ഒരു വാഹനം തിരഞ്ഞെടുക്കുക")</f>
        <v>ദയവായി ഒരു വാഹനം തിരഞ്ഞെടുക്കുക</v>
      </c>
      <c r="F255" s="2" t="str">
        <f>IFERROR(__xludf.DUMMYFUNCTION("GOOGLETRANSLATE(B255,""en"",""te"")"),"దయచేసి వాహనాన్ని ఎంచుకోండి")</f>
        <v>దయచేసి వాహనాన్ని ఎంచుకోండి</v>
      </c>
      <c r="G255" s="2" t="str">
        <f>IFERROR(__xludf.DUMMYFUNCTION("GOOGLETRANSLATE(B255,""en"",""kn"")"),"ದಯವಿಟ್ಟು ವಾಹನವನ್ನು ಆಯ್ಕೆಮಾಡಿ")</f>
        <v>ದಯವಿಟ್ಟು ವಾಹನವನ್ನು ಆಯ್ಕೆಮಾಡಿ</v>
      </c>
    </row>
    <row r="256">
      <c r="A256" s="1" t="s">
        <v>514</v>
      </c>
      <c r="B256" s="1" t="s">
        <v>515</v>
      </c>
      <c r="C256" s="2" t="str">
        <f>IFERROR(__xludf.DUMMYFUNCTION("GOOGLETRANSLATE(B256,""en"",""ta"")"),"கட்டண முறையைத் தேர்ந்தெடுக்கவும்")</f>
        <v>கட்டண முறையைத் தேர்ந்தெடுக்கவும்</v>
      </c>
      <c r="D256" s="2" t="str">
        <f>IFERROR(__xludf.DUMMYFUNCTION("GOOGLETRANSLATE(B256,""en"",""hi"")"),"एक भुगतान पद्धति का चयन करें")</f>
        <v>एक भुगतान पद्धति का चयन करें</v>
      </c>
      <c r="E256" s="2" t="str">
        <f>IFERROR(__xludf.DUMMYFUNCTION("GOOGLETRANSLATE(B256,""en"",""ml"")"),"ദയവായി ഒരു പേയ്‌മെൻ്റ് രീതി തിരഞ്ഞെടുക്കുക")</f>
        <v>ദയവായി ഒരു പേയ്‌മെൻ്റ് രീതി തിരഞ്ഞെടുക്കുക</v>
      </c>
      <c r="F256" s="2" t="str">
        <f>IFERROR(__xludf.DUMMYFUNCTION("GOOGLETRANSLATE(B256,""en"",""te"")"),"దయచేసి చెల్లింపు పద్ధతిని ఎంచుకోండి")</f>
        <v>దయచేసి చెల్లింపు పద్ధతిని ఎంచుకోండి</v>
      </c>
      <c r="G256" s="2" t="str">
        <f>IFERROR(__xludf.DUMMYFUNCTION("GOOGLETRANSLATE(B256,""en"",""kn"")"),"ದಯವಿಟ್ಟು ಪಾವತಿ ವಿಧಾನವನ್ನು ಆಯ್ಕೆಮಾಡಿ")</f>
        <v>ದಯವಿಟ್ಟು ಪಾವತಿ ವಿಧಾನವನ್ನು ಆಯ್ಕೆಮಾಡಿ</v>
      </c>
    </row>
    <row r="257">
      <c r="A257" s="1" t="s">
        <v>516</v>
      </c>
      <c r="B257" s="1" t="s">
        <v>517</v>
      </c>
      <c r="C257" s="2" t="str">
        <f>IFERROR(__xludf.DUMMYFUNCTION("GOOGLETRANSLATE(B257,""en"",""ta"")"),"தொடக்க இடம் தேவை")</f>
        <v>தொடக்க இடம் தேவை</v>
      </c>
      <c r="D257" s="2" t="str">
        <f>IFERROR(__xludf.DUMMYFUNCTION("GOOGLETRANSLATE(B257,""en"",""hi"")"),"प्रारंभ स्थान आवश्यक है")</f>
        <v>प्रारंभ स्थान आवश्यक है</v>
      </c>
      <c r="E257" s="2" t="str">
        <f>IFERROR(__xludf.DUMMYFUNCTION("GOOGLETRANSLATE(B257,""en"",""ml"")"),"ആരംഭ സ്ഥാനം ആവശ്യമാണ്")</f>
        <v>ആരംഭ സ്ഥാനം ആവശ്യമാണ്</v>
      </c>
      <c r="F257" s="2" t="str">
        <f>IFERROR(__xludf.DUMMYFUNCTION("GOOGLETRANSLATE(B257,""en"",""te"")"),"ప్రారంభ స్థానం అవసరం")</f>
        <v>ప్రారంభ స్థానం అవసరం</v>
      </c>
      <c r="G257" s="2" t="str">
        <f>IFERROR(__xludf.DUMMYFUNCTION("GOOGLETRANSLATE(B257,""en"",""kn"")"),"ಪ್ರಾರಂಭದ ಸ್ಥಳದ ಅಗತ್ಯವಿದೆ")</f>
        <v>ಪ್ರಾರಂಭದ ಸ್ಥಳದ ಅಗತ್ಯವಿದೆ</v>
      </c>
    </row>
    <row r="258">
      <c r="A258" s="1" t="s">
        <v>518</v>
      </c>
      <c r="B258" s="1" t="s">
        <v>519</v>
      </c>
      <c r="C258" s="2" t="str">
        <f>IFERROR(__xludf.DUMMYFUNCTION("GOOGLETRANSLATE(B258,""en"",""ta"")"),"முடிவு இடம் தேவை")</f>
        <v>முடிவு இடம் தேவை</v>
      </c>
      <c r="D258" s="2" t="str">
        <f>IFERROR(__xludf.DUMMYFUNCTION("GOOGLETRANSLATE(B258,""en"",""hi"")"),"अंतिम स्थान आवश्यक है")</f>
        <v>अंतिम स्थान आवश्यक है</v>
      </c>
      <c r="E258" s="2" t="str">
        <f>IFERROR(__xludf.DUMMYFUNCTION("GOOGLETRANSLATE(B258,""en"",""ml"")"),"അവസാന ലൊക്കേഷൻ ആവശ്യമാണ്")</f>
        <v>അവസാന ലൊക്കേഷൻ ആവശ്യമാണ്</v>
      </c>
      <c r="F258" s="2" t="str">
        <f>IFERROR(__xludf.DUMMYFUNCTION("GOOGLETRANSLATE(B258,""en"",""te"")"),"ముగింపు స్థానం అవసరం")</f>
        <v>ముగింపు స్థానం అవసరం</v>
      </c>
      <c r="G258" s="2" t="str">
        <f>IFERROR(__xludf.DUMMYFUNCTION("GOOGLETRANSLATE(B258,""en"",""kn"")"),"ಅಂತಿಮ ಸ್ಥಳದ ಅಗತ್ಯವಿದೆ")</f>
        <v>ಅಂತಿಮ ಸ್ಥಳದ ಅಗತ್ಯವಿದೆ</v>
      </c>
    </row>
    <row r="259">
      <c r="A259" s="1" t="s">
        <v>520</v>
      </c>
      <c r="B259" s="1" t="s">
        <v>521</v>
      </c>
      <c r="C259" s="2" t="str">
        <f>IFERROR(__xludf.DUMMYFUNCTION("GOOGLETRANSLATE(B259,""en"",""ta"")"),"கட்டண முறை தேவை")</f>
        <v>கட்டண முறை தேவை</v>
      </c>
      <c r="D259" s="2" t="str">
        <f>IFERROR(__xludf.DUMMYFUNCTION("GOOGLETRANSLATE(B259,""en"",""hi"")"),"भुगतान विधि आवश्यक है")</f>
        <v>भुगतान विधि आवश्यक है</v>
      </c>
      <c r="E259" s="2" t="str">
        <f>IFERROR(__xludf.DUMMYFUNCTION("GOOGLETRANSLATE(B259,""en"",""ml"")"),"പേയ്‌മെൻ്റ് രീതി ആവശ്യമാണ്")</f>
        <v>പേയ്‌മെൻ്റ് രീതി ആവശ്യമാണ്</v>
      </c>
      <c r="F259" s="2" t="str">
        <f>IFERROR(__xludf.DUMMYFUNCTION("GOOGLETRANSLATE(B259,""en"",""te"")"),"చెల్లింపు పద్ధతి అవసరం")</f>
        <v>చెల్లింపు పద్ధతి అవసరం</v>
      </c>
      <c r="G259" s="2" t="str">
        <f>IFERROR(__xludf.DUMMYFUNCTION("GOOGLETRANSLATE(B259,""en"",""kn"")"),"ಪಾವತಿ ವಿಧಾನದ ಅಗತ್ಯವಿದೆ")</f>
        <v>ಪಾವತಿ ವಿಧಾನದ ಅಗತ್ಯವಿದೆ</v>
      </c>
    </row>
    <row r="260">
      <c r="A260" s="1" t="s">
        <v>522</v>
      </c>
      <c r="B260" s="1" t="s">
        <v>523</v>
      </c>
      <c r="C260" s="2" t="str">
        <f>IFERROR(__xludf.DUMMYFUNCTION("GOOGLETRANSLATE(B260,""en"",""ta"")"),"இப்போது பிக்கப்")</f>
        <v>இப்போது பிக்கப்</v>
      </c>
      <c r="D260" s="2" t="str">
        <f>IFERROR(__xludf.DUMMYFUNCTION("GOOGLETRANSLATE(B260,""en"",""hi"")"),"अभी उठाओ")</f>
        <v>अभी उठाओ</v>
      </c>
      <c r="E260" s="2" t="str">
        <f>IFERROR(__xludf.DUMMYFUNCTION("GOOGLETRANSLATE(B260,""en"",""ml"")"),"ഇപ്പോൾ പിക്കപ്പ് ചെയ്യുക")</f>
        <v>ഇപ്പോൾ പിക്കപ്പ് ചെയ്യുക</v>
      </c>
      <c r="F260" s="2" t="str">
        <f>IFERROR(__xludf.DUMMYFUNCTION("GOOGLETRANSLATE(B260,""en"",""te"")"),"ఇప్పుడే పికప్ చేయండి")</f>
        <v>ఇప్పుడే పికప్ చేయండి</v>
      </c>
      <c r="G260" s="2" t="str">
        <f>IFERROR(__xludf.DUMMYFUNCTION("GOOGLETRANSLATE(B260,""en"",""kn"")"),"ಈಗ ಪಿಕಪ್ ಮಾಡಿ")</f>
        <v>ಈಗ ಪಿಕಪ್ ಮಾಡಿ</v>
      </c>
    </row>
    <row r="261">
      <c r="A261" s="1" t="s">
        <v>524</v>
      </c>
      <c r="B261" s="1" t="s">
        <v>525</v>
      </c>
      <c r="C261" s="2" t="str">
        <f>IFERROR(__xludf.DUMMYFUNCTION("GOOGLETRANSLATE(B261,""en"",""ta"")"),"அட்டவணை")</f>
        <v>அட்டவணை</v>
      </c>
      <c r="D261" s="2" t="str">
        <f>IFERROR(__xludf.DUMMYFUNCTION("GOOGLETRANSLATE(B261,""en"",""hi"")"),"अनुसूची")</f>
        <v>अनुसूची</v>
      </c>
      <c r="E261" s="2" t="str">
        <f>IFERROR(__xludf.DUMMYFUNCTION("GOOGLETRANSLATE(B261,""en"",""ml"")"),"ഷെഡ്യൂൾ")</f>
        <v>ഷെഡ്യൂൾ</v>
      </c>
      <c r="F261" s="2" t="str">
        <f>IFERROR(__xludf.DUMMYFUNCTION("GOOGLETRANSLATE(B261,""en"",""te"")"),"షెడ్యూల్")</f>
        <v>షెడ్యూల్</v>
      </c>
      <c r="G261" s="2" t="str">
        <f>IFERROR(__xludf.DUMMYFUNCTION("GOOGLETRANSLATE(B261,""en"",""kn"")"),"ವೇಳಾಪಟ್ಟಿ")</f>
        <v>ವೇಳಾಪಟ್ಟಿ</v>
      </c>
    </row>
    <row r="262">
      <c r="A262" s="1" t="s">
        <v>526</v>
      </c>
      <c r="B262" s="1" t="s">
        <v>527</v>
      </c>
      <c r="C262" s="2" t="str">
        <f>IFERROR(__xludf.DUMMYFUNCTION("GOOGLETRANSLATE(B262,""en"",""ta"")"),"வரைபடத்தில் கண்டறிக")</f>
        <v>வரைபடத்தில் கண்டறிக</v>
      </c>
      <c r="D262" s="2" t="str">
        <f>IFERROR(__xludf.DUMMYFUNCTION("GOOGLETRANSLATE(B262,""en"",""hi"")"),"मानचित्र पर पता लगाएँ")</f>
        <v>मानचित्र पर पता लगाएँ</v>
      </c>
      <c r="E262" s="2" t="str">
        <f>IFERROR(__xludf.DUMMYFUNCTION("GOOGLETRANSLATE(B262,""en"",""ml"")"),"മാപ്പിൽ കണ്ടെത്തുക")</f>
        <v>മാപ്പിൽ കണ്ടെത്തുക</v>
      </c>
      <c r="F262" s="2" t="str">
        <f>IFERROR(__xludf.DUMMYFUNCTION("GOOGLETRANSLATE(B262,""en"",""te"")"),"మ్యాప్‌లో గుర్తించండి")</f>
        <v>మ్యాప్‌లో గుర్తించండి</v>
      </c>
      <c r="G262" s="2" t="str">
        <f>IFERROR(__xludf.DUMMYFUNCTION("GOOGLETRANSLATE(B262,""en"",""kn"")"),"ನಕ್ಷೆಯಲ್ಲಿ ಪತ್ತೆ ಮಾಡಿ")</f>
        <v>ನಕ್ಷೆಯಲ್ಲಿ ಪತ್ತೆ ಮಾಡಿ</v>
      </c>
    </row>
    <row r="263">
      <c r="A263" s="1" t="s">
        <v>528</v>
      </c>
      <c r="B263" s="1" t="s">
        <v>529</v>
      </c>
      <c r="C263" s="2" t="str">
        <f>IFERROR(__xludf.DUMMYFUNCTION("GOOGLETRANSLATE(B263,""en"",""ta"")"),"சமீபத்திய")</f>
        <v>சமீபத்திய</v>
      </c>
      <c r="D263" s="2" t="str">
        <f>IFERROR(__xludf.DUMMYFUNCTION("GOOGLETRANSLATE(B263,""en"",""hi"")"),"हाल ही का")</f>
        <v>हाल ही का</v>
      </c>
      <c r="E263" s="2" t="str">
        <f>IFERROR(__xludf.DUMMYFUNCTION("GOOGLETRANSLATE(B263,""en"",""ml"")"),"അടുത്തിടെ")</f>
        <v>അടുത്തിടെ</v>
      </c>
      <c r="F263" s="2" t="str">
        <f>IFERROR(__xludf.DUMMYFUNCTION("GOOGLETRANSLATE(B263,""en"",""te"")"),"ఇటీవలి")</f>
        <v>ఇటీవలి</v>
      </c>
      <c r="G263" s="2" t="str">
        <f>IFERROR(__xludf.DUMMYFUNCTION("GOOGLETRANSLATE(B263,""en"",""kn"")"),"ಇತ್ತೀಚಿನ")</f>
        <v>ಇತ್ತೀಚಿನ</v>
      </c>
    </row>
    <row r="264">
      <c r="A264" s="1" t="s">
        <v>530</v>
      </c>
      <c r="B264" s="1" t="s">
        <v>531</v>
      </c>
      <c r="C264" s="2" t="str">
        <f>IFERROR(__xludf.DUMMYFUNCTION("GOOGLETRANSLATE(B264,""en"",""ta"")"),"சமீபத்திய தேடல்கள்")</f>
        <v>சமீபத்திய தேடல்கள்</v>
      </c>
      <c r="D264" s="2" t="str">
        <f>IFERROR(__xludf.DUMMYFUNCTION("GOOGLETRANSLATE(B264,""en"",""hi"")"),"हाल की खोजें")</f>
        <v>हाल की खोजें</v>
      </c>
      <c r="E264" s="2" t="str">
        <f>IFERROR(__xludf.DUMMYFUNCTION("GOOGLETRANSLATE(B264,""en"",""ml"")"),"സമീപകാല തിരയലുകൾ")</f>
        <v>സമീപകാല തിരയലുകൾ</v>
      </c>
      <c r="F264" s="2" t="str">
        <f>IFERROR(__xludf.DUMMYFUNCTION("GOOGLETRANSLATE(B264,""en"",""te"")"),"ఇటీవలి శోధనలు")</f>
        <v>ఇటీవలి శోధనలు</v>
      </c>
      <c r="G264" s="2" t="str">
        <f>IFERROR(__xludf.DUMMYFUNCTION("GOOGLETRANSLATE(B264,""en"",""kn"")"),"ಇತ್ತೀಚಿನ ಹುಡುಕಾಟಗಳು")</f>
        <v>ಇತ್ತೀಚಿನ ಹುಡುಕಾಟಗಳು</v>
      </c>
    </row>
    <row r="265">
      <c r="A265" s="1" t="s">
        <v>532</v>
      </c>
      <c r="B265" s="1" t="s">
        <v>533</v>
      </c>
      <c r="C265" s="2" t="str">
        <f>IFERROR(__xludf.DUMMYFUNCTION("GOOGLETRANSLATE(B265,""en"",""ta"")"),"தேடல் மண்டலம்")</f>
        <v>தேடல் மண்டலம்</v>
      </c>
      <c r="D265" s="2" t="str">
        <f>IFERROR(__xludf.DUMMYFUNCTION("GOOGLETRANSLATE(B265,""en"",""hi"")"),"खोज क्षेत्र")</f>
        <v>खोज क्षेत्र</v>
      </c>
      <c r="E265" s="2" t="str">
        <f>IFERROR(__xludf.DUMMYFUNCTION("GOOGLETRANSLATE(B265,""en"",""ml"")"),"തിരയൽ മേഖല")</f>
        <v>തിരയൽ മേഖല</v>
      </c>
      <c r="F265" s="2" t="str">
        <f>IFERROR(__xludf.DUMMYFUNCTION("GOOGLETRANSLATE(B265,""en"",""te"")"),"శోధన ప్రాంతం")</f>
        <v>శోధన ప్రాంతం</v>
      </c>
      <c r="G265" s="2" t="str">
        <f>IFERROR(__xludf.DUMMYFUNCTION("GOOGLETRANSLATE(B265,""en"",""kn"")"),"ಹುಡುಕಾಟ ಪ್ರದೇಶ")</f>
        <v>ಹುಡುಕಾಟ ಪ್ರದೇಶ</v>
      </c>
    </row>
    <row r="266">
      <c r="A266" s="1" t="s">
        <v>534</v>
      </c>
      <c r="B266" s="1" t="s">
        <v>535</v>
      </c>
      <c r="C266" s="2" t="str">
        <f>IFERROR(__xludf.DUMMYFUNCTION("GOOGLETRANSLATE(B266,""en"",""ta"")"),"நகரங்கள், பகுதிகள், தெருக்களைத் தேடுங்கள்")</f>
        <v>நகரங்கள், பகுதிகள், தெருக்களைத் தேடுங்கள்</v>
      </c>
      <c r="D266" s="2" t="str">
        <f>IFERROR(__xludf.DUMMYFUNCTION("GOOGLETRANSLATE(B266,""en"",""hi"")"),"शहर, क्षेत्र, सड़कें खोजें")</f>
        <v>शहर, क्षेत्र, सड़कें खोजें</v>
      </c>
      <c r="E266" s="2" t="str">
        <f>IFERROR(__xludf.DUMMYFUNCTION("GOOGLETRANSLATE(B266,""en"",""ml"")"),"നഗരങ്ങൾ, പ്രദേശങ്ങൾ, തെരുവുകൾ എന്നിവ തിരയുക")</f>
        <v>നഗരങ്ങൾ, പ്രദേശങ്ങൾ, തെരുവുകൾ എന്നിവ തിരയുക</v>
      </c>
      <c r="F266" s="2" t="str">
        <f>IFERROR(__xludf.DUMMYFUNCTION("GOOGLETRANSLATE(B266,""en"",""te"")"),"నగరాలు, ప్రాంతాలు, వీధులను శోధించండి")</f>
        <v>నగరాలు, ప్రాంతాలు, వీధులను శోధించండి</v>
      </c>
      <c r="G266" s="2" t="str">
        <f>IFERROR(__xludf.DUMMYFUNCTION("GOOGLETRANSLATE(B266,""en"",""kn"")"),"ನಗರಗಳು, ಪ್ರದೇಶಗಳು, ಬೀದಿಗಳನ್ನು ಹುಡುಕಿ")</f>
        <v>ನಗರಗಳು, ಪ್ರದೇಶಗಳು, ಬೀದಿಗಳನ್ನು ಹುಡುಕಿ</v>
      </c>
    </row>
    <row r="267">
      <c r="A267" s="1" t="s">
        <v>536</v>
      </c>
      <c r="B267" s="1" t="s">
        <v>537</v>
      </c>
      <c r="C267" s="2" t="str">
        <f>IFERROR(__xludf.DUMMYFUNCTION("GOOGLETRANSLATE(B267,""en"",""ta"")"),"தேடு")</f>
        <v>தேடு</v>
      </c>
      <c r="D267" s="2" t="str">
        <f>IFERROR(__xludf.DUMMYFUNCTION("GOOGLETRANSLATE(B267,""en"",""hi"")"),"खोज")</f>
        <v>खोज</v>
      </c>
      <c r="E267" s="2" t="str">
        <f>IFERROR(__xludf.DUMMYFUNCTION("GOOGLETRANSLATE(B267,""en"",""ml"")"),"തിരയുക")</f>
        <v>തിരയുക</v>
      </c>
      <c r="F267" s="2" t="str">
        <f>IFERROR(__xludf.DUMMYFUNCTION("GOOGLETRANSLATE(B267,""en"",""te"")"),"శోధించండి")</f>
        <v>శోధించండి</v>
      </c>
      <c r="G267" s="2" t="str">
        <f>IFERROR(__xludf.DUMMYFUNCTION("GOOGLETRANSLATE(B267,""en"",""kn"")"),"ಹುಡುಕು")</f>
        <v>ಹುಡುಕು</v>
      </c>
    </row>
    <row r="268">
      <c r="A268" s="1" t="s">
        <v>538</v>
      </c>
      <c r="B268" s="1" t="s">
        <v>539</v>
      </c>
      <c r="C268" s="2" t="str">
        <f>IFERROR(__xludf.DUMMYFUNCTION("GOOGLETRANSLATE(B268,""en"",""ta"")"),"இருப்பிடத்தைத் தேர்ந்தெடுக்கவும்")</f>
        <v>இருப்பிடத்தைத் தேர்ந்தெடுக்கவும்</v>
      </c>
      <c r="D268" s="2" t="str">
        <f>IFERROR(__xludf.DUMMYFUNCTION("GOOGLETRANSLATE(B268,""en"",""hi"")"),"स्थान चुनें")</f>
        <v>स्थान चुनें</v>
      </c>
      <c r="E268" s="2" t="str">
        <f>IFERROR(__xludf.DUMMYFUNCTION("GOOGLETRANSLATE(B268,""en"",""ml"")"),"ലൊക്കേഷൻ തിരഞ്ഞെടുക്കുക")</f>
        <v>ലൊക്കേഷൻ തിരഞ്ഞെടുക്കുക</v>
      </c>
      <c r="F268" s="2" t="str">
        <f>IFERROR(__xludf.DUMMYFUNCTION("GOOGLETRANSLATE(B268,""en"",""te"")"),"స్థానాన్ని ఎంచుకోండి")</f>
        <v>స్థానాన్ని ఎంచుకోండి</v>
      </c>
      <c r="G268" s="2" t="str">
        <f>IFERROR(__xludf.DUMMYFUNCTION("GOOGLETRANSLATE(B268,""en"",""kn"")"),"ಸ್ಥಳವನ್ನು ಆರಿಸಿ")</f>
        <v>ಸ್ಥಳವನ್ನು ಆರಿಸಿ</v>
      </c>
    </row>
    <row r="269">
      <c r="A269" s="1" t="s">
        <v>540</v>
      </c>
      <c r="B269" s="1" t="s">
        <v>541</v>
      </c>
      <c r="C269" s="2" t="str">
        <f>IFERROR(__xludf.DUMMYFUNCTION("GOOGLETRANSLATE(B269,""en"",""ta"")"),"இருப்பிடத்தை உறுதிப்படுத்தவும்")</f>
        <v>இருப்பிடத்தை உறுதிப்படுத்தவும்</v>
      </c>
      <c r="D269" s="2" t="str">
        <f>IFERROR(__xludf.DUMMYFUNCTION("GOOGLETRANSLATE(B269,""en"",""hi"")"),"स्थान की पुष्टि करें")</f>
        <v>स्थान की पुष्टि करें</v>
      </c>
      <c r="E269" s="2" t="str">
        <f>IFERROR(__xludf.DUMMYFUNCTION("GOOGLETRANSLATE(B269,""en"",""ml"")"),"ലൊക്കേഷൻ സ്ഥിരീകരിക്കുക")</f>
        <v>ലൊക്കേഷൻ സ്ഥിരീകരിക്കുക</v>
      </c>
      <c r="F269" s="2" t="str">
        <f>IFERROR(__xludf.DUMMYFUNCTION("GOOGLETRANSLATE(B269,""en"",""te"")"),"స్థానాన్ని నిర్ధారించండి")</f>
        <v>స్థానాన్ని నిర్ధారించండి</v>
      </c>
      <c r="G269" s="2" t="str">
        <f>IFERROR(__xludf.DUMMYFUNCTION("GOOGLETRANSLATE(B269,""en"",""kn"")"),"ಸ್ಥಳವನ್ನು ದೃಢೀಕರಿಸಿ")</f>
        <v>ಸ್ಥಳವನ್ನು ದೃಢೀಕರಿಸಿ</v>
      </c>
    </row>
    <row r="270">
      <c r="A270" s="1" t="s">
        <v>542</v>
      </c>
      <c r="B270" s="1" t="s">
        <v>543</v>
      </c>
      <c r="C270" s="2" t="str">
        <f>IFERROR(__xludf.DUMMYFUNCTION("GOOGLETRANSLATE(B270,""en"",""ta"")"),"சவாரியில்")</f>
        <v>சவாரியில்</v>
      </c>
      <c r="D270" s="2" t="str">
        <f>IFERROR(__xludf.DUMMYFUNCTION("GOOGLETRANSLATE(B270,""en"",""hi"")"),"सवारी पर")</f>
        <v>सवारी पर</v>
      </c>
      <c r="E270" s="2" t="str">
        <f>IFERROR(__xludf.DUMMYFUNCTION("GOOGLETRANSLATE(B270,""en"",""ml"")"),"ഓൺ റൈഡ്")</f>
        <v>ഓൺ റൈഡ്</v>
      </c>
      <c r="F270" s="2" t="str">
        <f>IFERROR(__xludf.DUMMYFUNCTION("GOOGLETRANSLATE(B270,""en"",""te"")"),"రైడ్ లో")</f>
        <v>రైడ్ లో</v>
      </c>
      <c r="G270" s="2" t="str">
        <f>IFERROR(__xludf.DUMMYFUNCTION("GOOGLETRANSLATE(B270,""en"",""kn"")"),"ಸವಾರಿಯಲ್ಲಿ")</f>
        <v>ಸವಾರಿಯಲ್ಲಿ</v>
      </c>
    </row>
    <row r="271">
      <c r="A271" s="1" t="s">
        <v>544</v>
      </c>
      <c r="B271" s="1" t="s">
        <v>545</v>
      </c>
      <c r="C271" s="2" t="str">
        <f>IFERROR(__xludf.DUMMYFUNCTION("GOOGLETRANSLATE(B271,""en"",""ta"")"),"டிரைவர் வருகை")</f>
        <v>டிரைவர் வருகை</v>
      </c>
      <c r="D271" s="2" t="str">
        <f>IFERROR(__xludf.DUMMYFUNCTION("GOOGLETRANSLATE(B271,""en"",""hi"")"),"ड्राइवर का आगमन")</f>
        <v>ड्राइवर का आगमन</v>
      </c>
      <c r="E271" s="2" t="str">
        <f>IFERROR(__xludf.DUMMYFUNCTION("GOOGLETRANSLATE(B271,""en"",""ml"")"),"ഡ്രൈവർ വരവ്")</f>
        <v>ഡ്രൈവർ വരവ്</v>
      </c>
      <c r="F271" s="2" t="str">
        <f>IFERROR(__xludf.DUMMYFUNCTION("GOOGLETRANSLATE(B271,""en"",""te"")"),"డ్రైవర్ రాక")</f>
        <v>డ్రైవర్ రాక</v>
      </c>
      <c r="G271" s="2" t="str">
        <f>IFERROR(__xludf.DUMMYFUNCTION("GOOGLETRANSLATE(B271,""en"",""kn"")"),"ಚಾಲಕ ಆಗಮನ")</f>
        <v>ಚಾಲಕ ಆಗಮನ</v>
      </c>
    </row>
    <row r="272">
      <c r="A272" s="1" t="s">
        <v>546</v>
      </c>
      <c r="B272" s="1" t="s">
        <v>547</v>
      </c>
      <c r="C272" s="2" t="str">
        <f>IFERROR(__xludf.DUMMYFUNCTION("GOOGLETRANSLATE(B272,""en"",""ta"")"),"சவாரி ரத்து செய்யப்பட்டது")</f>
        <v>சவாரி ரத்து செய்யப்பட்டது</v>
      </c>
      <c r="D272" s="2" t="str">
        <f>IFERROR(__xludf.DUMMYFUNCTION("GOOGLETRANSLATE(B272,""en"",""hi"")"),"सवारी रद्द")</f>
        <v>सवारी रद्द</v>
      </c>
      <c r="E272" s="2" t="str">
        <f>IFERROR(__xludf.DUMMYFUNCTION("GOOGLETRANSLATE(B272,""en"",""ml"")"),"റൈഡ് റദ്ദാക്കി")</f>
        <v>റൈഡ് റദ്ദാക്കി</v>
      </c>
      <c r="F272" s="2" t="str">
        <f>IFERROR(__xludf.DUMMYFUNCTION("GOOGLETRANSLATE(B272,""en"",""te"")"),"రైడ్ రద్దు చేయబడింది")</f>
        <v>రైడ్ రద్దు చేయబడింది</v>
      </c>
      <c r="G272" s="2" t="str">
        <f>IFERROR(__xludf.DUMMYFUNCTION("GOOGLETRANSLATE(B272,""en"",""kn"")"),"ಸವಾರಿ ರದ್ದುಗೊಳಿಸಲಾಗಿದೆ")</f>
        <v>ಸವಾರಿ ರದ್ದುಗೊಳಿಸಲಾಗಿದೆ</v>
      </c>
    </row>
    <row r="273">
      <c r="A273" s="1" t="s">
        <v>548</v>
      </c>
      <c r="B273" s="1" t="s">
        <v>549</v>
      </c>
      <c r="C273" s="2" t="str">
        <f>IFERROR(__xludf.DUMMYFUNCTION("GOOGLETRANSLATE(B273,""en"",""ta"")"),"டிரைவரைக் கண்டறிதல்")</f>
        <v>டிரைவரைக் கண்டறிதல்</v>
      </c>
      <c r="D273" s="2" t="str">
        <f>IFERROR(__xludf.DUMMYFUNCTION("GOOGLETRANSLATE(B273,""en"",""hi"")"),"ड्राइवर ढूँढना")</f>
        <v>ड्राइवर ढूँढना</v>
      </c>
      <c r="E273" s="2" t="str">
        <f>IFERROR(__xludf.DUMMYFUNCTION("GOOGLETRANSLATE(B273,""en"",""ml"")"),"ഡ്രൈവറെ കണ്ടെത്തുന്നു")</f>
        <v>ഡ്രൈവറെ കണ്ടെത്തുന്നു</v>
      </c>
      <c r="F273" s="2" t="str">
        <f>IFERROR(__xludf.DUMMYFUNCTION("GOOGLETRANSLATE(B273,""en"",""te"")"),"డ్రైవర్‌ని కనుగొనడం")</f>
        <v>డ్రైవర్‌ని కనుగొనడం</v>
      </c>
      <c r="G273" s="2" t="str">
        <f>IFERROR(__xludf.DUMMYFUNCTION("GOOGLETRANSLATE(B273,""en"",""kn"")"),"ಚಾಲಕನನ್ನು ಹುಡುಕಲಾಗುತ್ತಿದೆ")</f>
        <v>ಚಾಲಕನನ್ನು ಹುಡುಕಲಾಗುತ್ತಿದೆ</v>
      </c>
    </row>
    <row r="274">
      <c r="A274" s="1" t="s">
        <v>550</v>
      </c>
      <c r="B274" s="1" t="s">
        <v>551</v>
      </c>
      <c r="C274" s="2" t="str">
        <f>IFERROR(__xludf.DUMMYFUNCTION("GOOGLETRANSLATE(B274,""en"",""ta"")"),"ரத்துசெய்ய ஸ்லைடு செய்யவும்")</f>
        <v>ரத்துசெய்ய ஸ்லைடு செய்யவும்</v>
      </c>
      <c r="D274" s="2" t="str">
        <f>IFERROR(__xludf.DUMMYFUNCTION("GOOGLETRANSLATE(B274,""en"",""hi"")"),"रद्द करने के लिए स्लाइड करें")</f>
        <v>रद्द करने के लिए स्लाइड करें</v>
      </c>
      <c r="E274" s="2" t="str">
        <f>IFERROR(__xludf.DUMMYFUNCTION("GOOGLETRANSLATE(B274,""en"",""ml"")"),"റദ്ദാക്കാൻ സ്ലൈഡ് ചെയ്യുക")</f>
        <v>റദ്ദാക്കാൻ സ്ലൈഡ് ചെയ്യുക</v>
      </c>
      <c r="F274" s="2" t="str">
        <f>IFERROR(__xludf.DUMMYFUNCTION("GOOGLETRANSLATE(B274,""en"",""te"")"),"రద్దు చేయడానికి స్లయిడ్ చేయండి")</f>
        <v>రద్దు చేయడానికి స్లయిడ్ చేయండి</v>
      </c>
      <c r="G274" s="2" t="str">
        <f>IFERROR(__xludf.DUMMYFUNCTION("GOOGLETRANSLATE(B274,""en"",""kn"")"),"ರದ್ದುಗೊಳಿಸಲು ಸ್ಲೈಡ್ ಮಾಡಿ")</f>
        <v>ರದ್ದುಗೊಳಿಸಲು ಸ್ಲೈಡ್ ಮಾಡಿ</v>
      </c>
    </row>
    <row r="275">
      <c r="A275" s="1" t="s">
        <v>552</v>
      </c>
      <c r="B275" s="1" t="s">
        <v>553</v>
      </c>
      <c r="C275" s="2" t="str">
        <f>IFERROR(__xludf.DUMMYFUNCTION("GOOGLETRANSLATE(B275,""en"",""ta"")"),"சவாரியை ரத்து செய்வதில் உறுதியாக உள்ளீர்களா?")</f>
        <v>சவாரியை ரத்து செய்வதில் உறுதியாக உள்ளீர்களா?</v>
      </c>
      <c r="D275" s="2" t="str">
        <f>IFERROR(__xludf.DUMMYFUNCTION("GOOGLETRANSLATE(B275,""en"",""hi"")"),"क्या आप यात्रा रद्द करना सुनिश्चित कर रहे हैं?")</f>
        <v>क्या आप यात्रा रद्द करना सुनिश्चित कर रहे हैं?</v>
      </c>
      <c r="E275" s="2" t="str">
        <f>IFERROR(__xludf.DUMMYFUNCTION("GOOGLETRANSLATE(B275,""en"",""ml"")"),"യാത്ര റദ്ദാക്കുമെന്ന് ഉറപ്പാണോ?")</f>
        <v>യാത്ര റദ്ദാക്കുമെന്ന് ഉറപ്പാണോ?</v>
      </c>
      <c r="F275" s="2" t="str">
        <f>IFERROR(__xludf.DUMMYFUNCTION("GOOGLETRANSLATE(B275,""en"",""te"")"),"మీరు ఖచ్చితంగా రైడ్‌ని రద్దు చేస్తారా?")</f>
        <v>మీరు ఖచ్చితంగా రైడ్‌ని రద్దు చేస్తారా?</v>
      </c>
      <c r="G275" s="2" t="str">
        <f>IFERROR(__xludf.DUMMYFUNCTION("GOOGLETRANSLATE(B275,""en"",""kn"")"),"ನೀವು ಸವಾರಿಯನ್ನು ರದ್ದುಗೊಳಿಸುವುದು ಖಚಿತವೇ?")</f>
        <v>ನೀವು ಸವಾರಿಯನ್ನು ರದ್ದುಗೊಳಿಸುವುದು ಖಚಿತವೇ?</v>
      </c>
    </row>
    <row r="276">
      <c r="A276" s="1" t="s">
        <v>554</v>
      </c>
      <c r="B276" s="1" t="s">
        <v>555</v>
      </c>
      <c r="C276" s="2" t="str">
        <f>IFERROR(__xludf.DUMMYFUNCTION("GOOGLETRANSLATE(B276,""en"",""ta"")"),"மீண்டும்")</f>
        <v>மீண்டும்</v>
      </c>
      <c r="D276" s="2" t="str">
        <f>IFERROR(__xludf.DUMMYFUNCTION("GOOGLETRANSLATE(B276,""en"",""hi"")"),"पीछे")</f>
        <v>पीछे</v>
      </c>
      <c r="E276" s="2" t="str">
        <f>IFERROR(__xludf.DUMMYFUNCTION("GOOGLETRANSLATE(B276,""en"",""ml"")"),"തിരികെ")</f>
        <v>തിരികെ</v>
      </c>
      <c r="F276" s="2" t="str">
        <f>IFERROR(__xludf.DUMMYFUNCTION("GOOGLETRANSLATE(B276,""en"",""te"")"),"వెనుకకు")</f>
        <v>వెనుకకు</v>
      </c>
      <c r="G276" s="2" t="str">
        <f>IFERROR(__xludf.DUMMYFUNCTION("GOOGLETRANSLATE(B276,""en"",""kn"")"),"ಹಿಂದೆ")</f>
        <v>ಹಿಂದೆ</v>
      </c>
    </row>
    <row r="277">
      <c r="A277" s="1" t="s">
        <v>556</v>
      </c>
      <c r="B277" s="1" t="s">
        <v>557</v>
      </c>
      <c r="C277" s="2" t="str">
        <f>IFERROR(__xludf.DUMMYFUNCTION("GOOGLETRANSLATE(B277,""en"",""ta"")"),"சவாரி ரத்துசெய்")</f>
        <v>சவாரி ரத்துசெய்</v>
      </c>
      <c r="D277" s="2" t="str">
        <f>IFERROR(__xludf.DUMMYFUNCTION("GOOGLETRANSLATE(B277,""en"",""hi"")"),"सवारी रद्द करें")</f>
        <v>सवारी रद्द करें</v>
      </c>
      <c r="E277" s="2" t="str">
        <f>IFERROR(__xludf.DUMMYFUNCTION("GOOGLETRANSLATE(B277,""en"",""ml"")"),"റൈഡ് റദ്ദാക്കുക")</f>
        <v>റൈഡ് റദ്ദാക്കുക</v>
      </c>
      <c r="F277" s="2" t="str">
        <f>IFERROR(__xludf.DUMMYFUNCTION("GOOGLETRANSLATE(B277,""en"",""te"")"),"రైడ్‌ని రద్దు చేయండి")</f>
        <v>రైడ్‌ని రద్దు చేయండి</v>
      </c>
      <c r="G277" s="2" t="str">
        <f>IFERROR(__xludf.DUMMYFUNCTION("GOOGLETRANSLATE(B277,""en"",""kn"")"),"ರೈಡ್ ರದ್ದುಮಾಡಿ")</f>
        <v>ರೈಡ್ ರದ್ದುಮಾಡಿ</v>
      </c>
    </row>
    <row r="278">
      <c r="A278" s="1" t="s">
        <v>558</v>
      </c>
      <c r="B278" s="1" t="s">
        <v>559</v>
      </c>
      <c r="C278" s="2" t="str">
        <f>IFERROR(__xludf.DUMMYFUNCTION("GOOGLETRANSLATE(B278,""en"",""ta"")"),"டிரைவர் கிடைக்கவில்லை")</f>
        <v>டிரைவர் கிடைக்கவில்லை</v>
      </c>
      <c r="D278" s="2" t="str">
        <f>IFERROR(__xludf.DUMMYFUNCTION("GOOGLETRANSLATE(B278,""en"",""hi"")"),"ड्राइवर नहीं मिला")</f>
        <v>ड्राइवर नहीं मिला</v>
      </c>
      <c r="E278" s="2" t="str">
        <f>IFERROR(__xludf.DUMMYFUNCTION("GOOGLETRANSLATE(B278,""en"",""ml"")"),"ഡ്രൈവറെ കണ്ടെത്തിയില്ല")</f>
        <v>ഡ്രൈവറെ കണ്ടെത്തിയില്ല</v>
      </c>
      <c r="F278" s="2" t="str">
        <f>IFERROR(__xludf.DUMMYFUNCTION("GOOGLETRANSLATE(B278,""en"",""te"")"),"డ్రైవర్ దొరకలేదు")</f>
        <v>డ్రైవర్ దొరకలేదు</v>
      </c>
      <c r="G278" s="2" t="str">
        <f>IFERROR(__xludf.DUMMYFUNCTION("GOOGLETRANSLATE(B278,""en"",""kn"")"),"ಚಾಲಕ ಕಂಡುಬಂದಿಲ್ಲ")</f>
        <v>ಚಾಲಕ ಕಂಡುಬಂದಿಲ್ಲ</v>
      </c>
    </row>
    <row r="279">
      <c r="A279" s="1" t="s">
        <v>560</v>
      </c>
      <c r="B279" s="1" t="s">
        <v>561</v>
      </c>
      <c r="C279" s="2" t="str">
        <f>IFERROR(__xludf.DUMMYFUNCTION("GOOGLETRANSLATE(B279,""en"",""ta"")"),"தற்போது டிரைவரைக் கண்டுபிடிக்க முடியவில்லை. மீண்டும் முயற்சிக்கவும்.")</f>
        <v>தற்போது டிரைவரைக் கண்டுபிடிக்க முடியவில்லை. மீண்டும் முயற்சிக்கவும்.</v>
      </c>
      <c r="D279" s="2" t="str">
        <f>IFERROR(__xludf.DUMMYFUNCTION("GOOGLETRANSLATE(B279,""en"",""hi"")"),"फ़िलहाल ड्राइवर नहीं मिल पा रहा है। कृपया पुनः प्रयास करें।")</f>
        <v>फ़िलहाल ड्राइवर नहीं मिल पा रहा है। कृपया पुनः प्रयास करें।</v>
      </c>
      <c r="E279" s="2" t="str">
        <f>IFERROR(__xludf.DUMMYFUNCTION("GOOGLETRANSLATE(B279,""en"",""ml"")"),"ഇപ്പോൾ ഡ്രൈവറെ കണ്ടെത്താനായില്ല. ദയവായി വീണ്ടും ശ്രമിക്കുക.")</f>
        <v>ഇപ്പോൾ ഡ്രൈവറെ കണ്ടെത്താനായില്ല. ദയവായി വീണ്ടും ശ്രമിക്കുക.</v>
      </c>
      <c r="F279" s="2" t="str">
        <f>IFERROR(__xludf.DUMMYFUNCTION("GOOGLETRANSLATE(B279,""en"",""te"")"),"ప్రస్తుతానికి డ్రైవర్‌ను కనుగొనడం సాధ్యపడలేదు. దయచేసి మళ్లీ ప్రయత్నించండి.")</f>
        <v>ప్రస్తుతానికి డ్రైవర్‌ను కనుగొనడం సాధ్యపడలేదు. దయచేసి మళ్లీ ప్రయత్నించండి.</v>
      </c>
      <c r="G279" s="2" t="str">
        <f>IFERROR(__xludf.DUMMYFUNCTION("GOOGLETRANSLATE(B279,""en"",""kn"")"),"ಸದ್ಯಕ್ಕೆ ಚಾಲಕನನ್ನು ಹುಡುಕಲು ಸಾಧ್ಯವಾಗುತ್ತಿಲ್ಲ. ದಯವಿಟ್ಟು ಮತ್ತೆ ಪ್ರಯತ್ನಿಸಿ.")</f>
        <v>ಸದ್ಯಕ್ಕೆ ಚಾಲಕನನ್ನು ಹುಡುಕಲು ಸಾಧ್ಯವಾಗುತ್ತಿಲ್ಲ. ದಯವಿಟ್ಟು ಮತ್ತೆ ಪ್ರಯತ್ನಿಸಿ.</v>
      </c>
    </row>
    <row r="280">
      <c r="A280" s="1" t="s">
        <v>562</v>
      </c>
      <c r="B280" s="1" t="s">
        <v>563</v>
      </c>
      <c r="C280" s="2" t="str">
        <f>IFERROR(__xludf.DUMMYFUNCTION("GOOGLETRANSLATE(B280,""en"",""ta"")"),"டிரைவரை அழைக்கவும்")</f>
        <v>டிரைவரை அழைக்கவும்</v>
      </c>
      <c r="D280" s="2" t="str">
        <f>IFERROR(__xludf.DUMMYFUNCTION("GOOGLETRANSLATE(B280,""en"",""hi"")"),"ड्राइवर को कॉल करें")</f>
        <v>ड्राइवर को कॉल करें</v>
      </c>
      <c r="E280" s="2" t="str">
        <f>IFERROR(__xludf.DUMMYFUNCTION("GOOGLETRANSLATE(B280,""en"",""ml"")"),"ഡ്രൈവറെ വിളിക്കുക")</f>
        <v>ഡ്രൈവറെ വിളിക്കുക</v>
      </c>
      <c r="F280" s="2" t="str">
        <f>IFERROR(__xludf.DUMMYFUNCTION("GOOGLETRANSLATE(B280,""en"",""te"")"),"డ్రైవర్‌కి కాల్ చేయండి")</f>
        <v>డ్రైవర్‌కి కాల్ చేయండి</v>
      </c>
      <c r="G280" s="2" t="str">
        <f>IFERROR(__xludf.DUMMYFUNCTION("GOOGLETRANSLATE(B280,""en"",""kn"")"),"ಚಾಲಕನಿಗೆ ಕರೆ ಮಾಡಿ")</f>
        <v>ಚಾಲಕನಿಗೆ ಕರೆ ಮಾಡಿ</v>
      </c>
    </row>
    <row r="281">
      <c r="A281" s="1" t="s">
        <v>564</v>
      </c>
      <c r="B281" s="1" t="s">
        <v>565</v>
      </c>
      <c r="C281" s="2" t="str">
        <f>IFERROR(__xludf.DUMMYFUNCTION("GOOGLETRANSLATE(B281,""en"",""ta"")"),"Est. விலை")</f>
        <v>Est. விலை</v>
      </c>
      <c r="D281" s="2" t="str">
        <f>IFERROR(__xludf.DUMMYFUNCTION("GOOGLETRANSLATE(B281,""en"",""hi"")"),"अनुमानित मूल्य")</f>
        <v>अनुमानित मूल्य</v>
      </c>
      <c r="E281" s="2" t="str">
        <f>IFERROR(__xludf.DUMMYFUNCTION("GOOGLETRANSLATE(B281,""en"",""ml"")"),"EST. വില")</f>
        <v>EST. വില</v>
      </c>
      <c r="F281" s="2" t="str">
        <f>IFERROR(__xludf.DUMMYFUNCTION("GOOGLETRANSLATE(B281,""en"",""te"")"),"అంచనా. ధర")</f>
        <v>అంచనా. ధర</v>
      </c>
      <c r="G281" s="2" t="str">
        <f>IFERROR(__xludf.DUMMYFUNCTION("GOOGLETRANSLATE(B281,""en"",""kn"")"),"ಅಂದಾಜು. ಬೆಲೆ")</f>
        <v>ಅಂದಾಜು. ಬೆಲೆ</v>
      </c>
    </row>
    <row r="282">
      <c r="A282" s="1" t="s">
        <v>566</v>
      </c>
      <c r="B282" s="1" t="s">
        <v>567</v>
      </c>
      <c r="C282" s="2" t="str">
        <f>IFERROR(__xludf.DUMMYFUNCTION("GOOGLETRANSLATE(B282,""en"",""ta"")"),"மாற்றவும்")</f>
        <v>மாற்றவும்</v>
      </c>
      <c r="D282" s="2" t="str">
        <f>IFERROR(__xludf.DUMMYFUNCTION("GOOGLETRANSLATE(B282,""en"",""hi"")"),"परिवर्तन")</f>
        <v>परिवर्तन</v>
      </c>
      <c r="E282" s="2" t="str">
        <f>IFERROR(__xludf.DUMMYFUNCTION("GOOGLETRANSLATE(B282,""en"",""ml"")"),"മാറ്റുക")</f>
        <v>മാറ്റുക</v>
      </c>
      <c r="F282" s="2" t="str">
        <f>IFERROR(__xludf.DUMMYFUNCTION("GOOGLETRANSLATE(B282,""en"",""te"")"),"మార్చు")</f>
        <v>మార్చు</v>
      </c>
      <c r="G282" s="2" t="str">
        <f>IFERROR(__xludf.DUMMYFUNCTION("GOOGLETRANSLATE(B282,""en"",""kn"")"),"ಬದಲಾವಣೆ")</f>
        <v>ಬದಲಾವಣೆ</v>
      </c>
    </row>
    <row r="283">
      <c r="A283" s="1" t="s">
        <v>568</v>
      </c>
      <c r="B283" s="1" t="s">
        <v>569</v>
      </c>
      <c r="C283" s="2" t="str">
        <f>IFERROR(__xludf.DUMMYFUNCTION("GOOGLETRANSLATE(B283,""en"",""ta"")"),"உங்கள் டிரைவர் உள்ளே வருவார்")</f>
        <v>உங்கள் டிரைவர் உள்ளே வருவார்</v>
      </c>
      <c r="D283" s="2" t="str">
        <f>IFERROR(__xludf.DUMMYFUNCTION("GOOGLETRANSLATE(B283,""en"",""hi"")"),"आपका ड्राइवर आएगा")</f>
        <v>आपका ड्राइवर आएगा</v>
      </c>
      <c r="E283" s="2" t="str">
        <f>IFERROR(__xludf.DUMMYFUNCTION("GOOGLETRANSLATE(B283,""en"",""ml"")"),"നിങ്ങളുടെ ഡ്രൈവർ വരും")</f>
        <v>നിങ്ങളുടെ ഡ്രൈവർ വരും</v>
      </c>
      <c r="F283" s="2" t="str">
        <f>IFERROR(__xludf.DUMMYFUNCTION("GOOGLETRANSLATE(B283,""en"",""te"")"),"మీ డ్రైవర్ వస్తాడు")</f>
        <v>మీ డ్రైవర్ వస్తాడు</v>
      </c>
      <c r="G283" s="2" t="str">
        <f>IFERROR(__xludf.DUMMYFUNCTION("GOOGLETRANSLATE(B283,""en"",""kn"")"),"ನಿಮ್ಮ ಚಾಲಕ ಬರುತ್ತಾನೆ")</f>
        <v>ನಿಮ್ಮ ಚಾಲಕ ಬರುತ್ತಾನೆ</v>
      </c>
    </row>
    <row r="284">
      <c r="A284" s="1" t="s">
        <v>570</v>
      </c>
      <c r="B284" s="1" t="s">
        <v>571</v>
      </c>
      <c r="C284" s="2" t="str">
        <f>IFERROR(__xludf.DUMMYFUNCTION("GOOGLETRANSLATE(B284,""en"",""ta"")"),"உங்கள் காரணத்தை உள்ளிடவும்")</f>
        <v>உங்கள் காரணத்தை உள்ளிடவும்</v>
      </c>
      <c r="D284" s="2" t="str">
        <f>IFERROR(__xludf.DUMMYFUNCTION("GOOGLETRANSLATE(B284,""en"",""hi"")"),"अपना कारण दर्ज करें")</f>
        <v>अपना कारण दर्ज करें</v>
      </c>
      <c r="E284" s="2" t="str">
        <f>IFERROR(__xludf.DUMMYFUNCTION("GOOGLETRANSLATE(B284,""en"",""ml"")"),"നിങ്ങളുടെ കാരണം നൽകുക")</f>
        <v>നിങ്ങളുടെ കാരണം നൽകുക</v>
      </c>
      <c r="F284" s="2" t="str">
        <f>IFERROR(__xludf.DUMMYFUNCTION("GOOGLETRANSLATE(B284,""en"",""te"")"),"మీ కారణాన్ని నమోదు చేయండి")</f>
        <v>మీ కారణాన్ని నమోదు చేయండి</v>
      </c>
      <c r="G284" s="2" t="str">
        <f>IFERROR(__xludf.DUMMYFUNCTION("GOOGLETRANSLATE(B284,""en"",""kn"")"),"ನಿಮ್ಮ ಕಾರಣವನ್ನು ನಮೂದಿಸಿ")</f>
        <v>ನಿಮ್ಮ ಕಾರಣವನ್ನು ನಮೂದಿಸಿ</v>
      </c>
    </row>
    <row r="285">
      <c r="A285" s="1" t="s">
        <v>572</v>
      </c>
      <c r="B285" s="1" t="s">
        <v>573</v>
      </c>
      <c r="C285" s="2" t="str">
        <f>IFERROR(__xludf.DUMMYFUNCTION("GOOGLETRANSLATE(B285,""en"",""ta"")"),"ரத்து கட்டணம் வசூலிக்கப்படாது")</f>
        <v>ரத்து கட்டணம் வசூலிக்கப்படாது</v>
      </c>
      <c r="D285" s="2" t="str">
        <f>IFERROR(__xludf.DUMMYFUNCTION("GOOGLETRANSLATE(B285,""en"",""hi"")"),"कोई रद्दीकरण शुल्क नहीं लिया जाएगा")</f>
        <v>कोई रद्दीकरण शुल्क नहीं लिया जाएगा</v>
      </c>
      <c r="E285" s="2" t="str">
        <f>IFERROR(__xludf.DUMMYFUNCTION("GOOGLETRANSLATE(B285,""en"",""ml"")"),"റദ്ദാക്കൽ ഫീസ് ഈടാക്കില്ല")</f>
        <v>റദ്ദാക്കൽ ഫീസ് ഈടാക്കില്ല</v>
      </c>
      <c r="F285" s="2" t="str">
        <f>IFERROR(__xludf.DUMMYFUNCTION("GOOGLETRANSLATE(B285,""en"",""te"")"),"రద్దు రుసుములు వసూలు చేయబడవు")</f>
        <v>రద్దు రుసుములు వసూలు చేయబడవు</v>
      </c>
      <c r="G285" s="2" t="str">
        <f>IFERROR(__xludf.DUMMYFUNCTION("GOOGLETRANSLATE(B285,""en"",""kn"")"),"ಯಾವುದೇ ರದ್ದತಿ ಶುಲ್ಕವನ್ನು ವಿಧಿಸಲಾಗುವುದಿಲ್ಲ")</f>
        <v>ಯಾವುದೇ ರದ್ದತಿ ಶುಲ್ಕವನ್ನು ವಿಧಿಸಲಾಗುವುದಿಲ್ಲ</v>
      </c>
    </row>
    <row r="286">
      <c r="A286" s="1" t="s">
        <v>574</v>
      </c>
      <c r="B286" s="1" t="s">
        <v>575</v>
      </c>
      <c r="C286" s="2" t="str">
        <f>IFERROR(__xludf.DUMMYFUNCTION("GOOGLETRANSLATE(B286,""en"",""ta"")"),"ரத்து செய்வதை உறுதிப்படுத்தவும்")</f>
        <v>ரத்து செய்வதை உறுதிப்படுத்தவும்</v>
      </c>
      <c r="D286" s="2" t="str">
        <f>IFERROR(__xludf.DUMMYFUNCTION("GOOGLETRANSLATE(B286,""en"",""hi"")"),"रद्दीकरण की पुष्टि करें")</f>
        <v>रद्दीकरण की पुष्टि करें</v>
      </c>
      <c r="E286" s="2" t="str">
        <f>IFERROR(__xludf.DUMMYFUNCTION("GOOGLETRANSLATE(B286,""en"",""ml"")"),"റദ്ദാക്കൽ സ്ഥിരീകരിക്കുക")</f>
        <v>റദ്ദാക്കൽ സ്ഥിരീകരിക്കുക</v>
      </c>
      <c r="F286" s="2" t="str">
        <f>IFERROR(__xludf.DUMMYFUNCTION("GOOGLETRANSLATE(B286,""en"",""te"")"),"రద్దును నిర్ధారించండి")</f>
        <v>రద్దును నిర్ధారించండి</v>
      </c>
      <c r="G286" s="2" t="str">
        <f>IFERROR(__xludf.DUMMYFUNCTION("GOOGLETRANSLATE(B286,""en"",""kn"")"),"ರದ್ದತಿಯನ್ನು ದೃಢೀಕರಿಸಿ")</f>
        <v>ರದ್ದತಿಯನ್ನು ದೃಢೀಕರಿಸಿ</v>
      </c>
    </row>
    <row r="287">
      <c r="A287" s="1" t="s">
        <v>576</v>
      </c>
      <c r="B287" s="1" t="s">
        <v>577</v>
      </c>
      <c r="C287" s="2" t="str">
        <f>IFERROR(__xludf.DUMMYFUNCTION("GOOGLETRANSLATE(B287,""en"",""ta"")"),"ஏன் பயணத்தை ரத்து செய்கிறீர்கள்?")</f>
        <v>ஏன் பயணத்தை ரத்து செய்கிறீர்கள்?</v>
      </c>
      <c r="D287" s="2" t="str">
        <f>IFERROR(__xludf.DUMMYFUNCTION("GOOGLETRANSLATE(B287,""en"",""hi"")"),"आप यात्रा क्यों रद्द कर रहे हैं?")</f>
        <v>आप यात्रा क्यों रद्द कर रहे हैं?</v>
      </c>
      <c r="E287" s="2" t="str">
        <f>IFERROR(__xludf.DUMMYFUNCTION("GOOGLETRANSLATE(B287,""en"",""ml"")"),"എന്തുകൊണ്ടാണ് നിങ്ങൾ യാത്ര റദ്ദാക്കുന്നത്?")</f>
        <v>എന്തുകൊണ്ടാണ് നിങ്ങൾ യാത്ര റദ്ദാക്കുന്നത്?</v>
      </c>
      <c r="F287" s="2" t="str">
        <f>IFERROR(__xludf.DUMMYFUNCTION("GOOGLETRANSLATE(B287,""en"",""te"")"),"మీరు యాత్రను ఎందుకు రద్దు చేస్తున్నారు?")</f>
        <v>మీరు యాత్రను ఎందుకు రద్దు చేస్తున్నారు?</v>
      </c>
      <c r="G287" s="2" t="str">
        <f>IFERROR(__xludf.DUMMYFUNCTION("GOOGLETRANSLATE(B287,""en"",""kn"")"),"ಪ್ರವಾಸವನ್ನು ಏಕೆ ರದ್ದು ಮಾಡುತ್ತಿದ್ದೀರಿ?")</f>
        <v>ಪ್ರವಾಸವನ್ನು ಏಕೆ ರದ್ದು ಮಾಡುತ್ತಿದ್ದೀರಿ?</v>
      </c>
    </row>
    <row r="288">
      <c r="A288" s="1" t="s">
        <v>578</v>
      </c>
      <c r="B288" s="1" t="s">
        <v>579</v>
      </c>
      <c r="C288" s="2" t="str">
        <f>IFERROR(__xludf.DUMMYFUNCTION("GOOGLETRANSLATE(B288,""en"",""ta"")"),"டிரைவர் அதிக நேரம் எடுத்துக் கொள்கிறார்")</f>
        <v>டிரைவர் அதிக நேரம் எடுத்துக் கொள்கிறார்</v>
      </c>
      <c r="D288" s="2" t="str">
        <f>IFERROR(__xludf.DUMMYFUNCTION("GOOGLETRANSLATE(B288,""en"",""hi"")"),"ड्राइवर बहुत ज़्यादा समय ले रहा है")</f>
        <v>ड्राइवर बहुत ज़्यादा समय ले रहा है</v>
      </c>
      <c r="E288" s="2" t="str">
        <f>IFERROR(__xludf.DUMMYFUNCTION("GOOGLETRANSLATE(B288,""en"",""ml"")"),"ഡ്രൈവർ വളരെയധികം സമയമെടുക്കുന്നു")</f>
        <v>ഡ്രൈവർ വളരെയധികം സമയമെടുക്കുന്നു</v>
      </c>
      <c r="F288" s="2" t="str">
        <f>IFERROR(__xludf.DUMMYFUNCTION("GOOGLETRANSLATE(B288,""en"",""te"")"),"డ్రైవర్ చాలా సమయం తీసుకుంటున్నాడు")</f>
        <v>డ్రైవర్ చాలా సమయం తీసుకుంటున్నాడు</v>
      </c>
      <c r="G288" s="2" t="str">
        <f>IFERROR(__xludf.DUMMYFUNCTION("GOOGLETRANSLATE(B288,""en"",""kn"")"),"ಚಾಲಕ ತುಂಬಾ ಸಮಯ ತೆಗೆದುಕೊಳ್ಳುತ್ತಿದ್ದಾನೆ")</f>
        <v>ಚಾಲಕ ತುಂಬಾ ಸಮಯ ತೆಗೆದುಕೊಳ್ಳುತ್ತಿದ್ದಾನೆ</v>
      </c>
    </row>
    <row r="289">
      <c r="A289" s="1" t="s">
        <v>580</v>
      </c>
      <c r="B289" s="1" t="s">
        <v>581</v>
      </c>
      <c r="C289" s="2" t="str">
        <f>IFERROR(__xludf.DUMMYFUNCTION("GOOGLETRANSLATE(B289,""en"",""ta"")"),"ஓட்டுனர் ரத்து செய்யச் சொன்னார்")</f>
        <v>ஓட்டுனர் ரத்து செய்யச் சொன்னார்</v>
      </c>
      <c r="D289" s="2" t="str">
        <f>IFERROR(__xludf.DUMMYFUNCTION("GOOGLETRANSLATE(B289,""en"",""hi"")"),"ड्राइवर को रद्द करने के लिए कहा गया")</f>
        <v>ड्राइवर को रद्द करने के लिए कहा गया</v>
      </c>
      <c r="E289" s="2" t="str">
        <f>IFERROR(__xludf.DUMMYFUNCTION("GOOGLETRANSLATE(B289,""en"",""ml"")"),"റദ്ദാക്കാൻ ഡ്രൈവർ ആവശ്യപ്പെട്ടു")</f>
        <v>റദ്ദാക്കാൻ ഡ്രൈവർ ആവശ്യപ്പെട്ടു</v>
      </c>
      <c r="F289" s="2" t="str">
        <f>IFERROR(__xludf.DUMMYFUNCTION("GOOGLETRANSLATE(B289,""en"",""te"")"),"రద్దు చేయాలని డ్రైవర్ కోరారు")</f>
        <v>రద్దు చేయాలని డ్రైవర్ కోరారు</v>
      </c>
      <c r="G289" s="2" t="str">
        <f>IFERROR(__xludf.DUMMYFUNCTION("GOOGLETRANSLATE(B289,""en"",""kn"")"),"ಚಾಲಕ ರದ್ದುಗೊಳಿಸುವಂತೆ ಕೇಳಿಕೊಂಡಿದ್ದಾನೆ")</f>
        <v>ಚಾಲಕ ರದ್ದುಗೊಳಿಸುವಂತೆ ಕೇಳಿಕೊಂಡಿದ್ದಾನೆ</v>
      </c>
    </row>
    <row r="290">
      <c r="A290" s="1" t="s">
        <v>582</v>
      </c>
      <c r="B290" s="1" t="s">
        <v>583</v>
      </c>
      <c r="C290" s="2" t="str">
        <f>IFERROR(__xludf.DUMMYFUNCTION("GOOGLETRANSLATE(B290,""en"",""ta"")"),"டிரைவர் பதிலளிக்கவில்லை")</f>
        <v>டிரைவர் பதிலளிக்கவில்லை</v>
      </c>
      <c r="D290" s="2" t="str">
        <f>IFERROR(__xludf.DUMMYFUNCTION("GOOGLETRANSLATE(B290,""en"",""hi"")"),"ड्राइवर जवाब नहीं दे रहा है")</f>
        <v>ड्राइवर जवाब नहीं दे रहा है</v>
      </c>
      <c r="E290" s="2" t="str">
        <f>IFERROR(__xludf.DUMMYFUNCTION("GOOGLETRANSLATE(B290,""en"",""ml"")"),"ഡ്രൈവർ പ്രതികരിക്കുന്നില്ല")</f>
        <v>ഡ്രൈവർ പ്രതികരിക്കുന്നില്ല</v>
      </c>
      <c r="F290" s="2" t="str">
        <f>IFERROR(__xludf.DUMMYFUNCTION("GOOGLETRANSLATE(B290,""en"",""te"")"),"డ్రైవర్ స్పందించలేదు")</f>
        <v>డ్రైవర్ స్పందించలేదు</v>
      </c>
      <c r="G290" s="2" t="str">
        <f>IFERROR(__xludf.DUMMYFUNCTION("GOOGLETRANSLATE(B290,""en"",""kn"")"),"ಚಾಲಕ ಸ್ಪಂದಿಸುತ್ತಿಲ್ಲ")</f>
        <v>ಚಾಲಕ ಸ್ಪಂದಿಸುತ್ತಿಲ್ಲ</v>
      </c>
    </row>
    <row r="291">
      <c r="A291" s="1" t="s">
        <v>584</v>
      </c>
      <c r="B291" s="1" t="s">
        <v>585</v>
      </c>
      <c r="C291" s="2" t="str">
        <f>IFERROR(__xludf.DUMMYFUNCTION("GOOGLETRANSLATE(B291,""en"",""ta"")"),"தவறுதலாக பதிவு செய்யப்பட்டது")</f>
        <v>தவறுதலாக பதிவு செய்யப்பட்டது</v>
      </c>
      <c r="D291" s="2" t="str">
        <f>IFERROR(__xludf.DUMMYFUNCTION("GOOGLETRANSLATE(B291,""en"",""hi"")"),"गलती से बुक किया गया")</f>
        <v>गलती से बुक किया गया</v>
      </c>
      <c r="E291" s="2" t="str">
        <f>IFERROR(__xludf.DUMMYFUNCTION("GOOGLETRANSLATE(B291,""en"",""ml"")"),"അബദ്ധത്തിൽ ബുക്ക് ചെയ്തു")</f>
        <v>അബദ്ധത്തിൽ ബുക്ക് ചെയ്തു</v>
      </c>
      <c r="F291" s="2" t="str">
        <f>IFERROR(__xludf.DUMMYFUNCTION("GOOGLETRANSLATE(B291,""en"",""te"")"),"పొరపాటున బుక్ చేశారు")</f>
        <v>పొరపాటున బుక్ చేశారు</v>
      </c>
      <c r="G291" s="2" t="str">
        <f>IFERROR(__xludf.DUMMYFUNCTION("GOOGLETRANSLATE(B291,""en"",""kn"")"),"ತಪ್ಪಾಗಿ ಬುಕ್ ಮಾಡಲಾಗಿದೆ")</f>
        <v>ತಪ್ಪಾಗಿ ಬುಕ್ ಮಾಡಲಾಗಿದೆ</v>
      </c>
    </row>
    <row r="292">
      <c r="A292" s="1" t="s">
        <v>586</v>
      </c>
      <c r="B292" s="1" t="s">
        <v>587</v>
      </c>
      <c r="C292" s="2" t="str">
        <f>IFERROR(__xludf.DUMMYFUNCTION("GOOGLETRANSLATE(B292,""en"",""ta"")"),"கட்டணம் மிக அதிகம் (உயர்வு)")</f>
        <v>கட்டணம் மிக அதிகம் (உயர்வு)</v>
      </c>
      <c r="D292" s="2" t="str">
        <f>IFERROR(__xludf.DUMMYFUNCTION("GOOGLETRANSLATE(B292,""en"",""hi"")"),"किराया बहुत अधिक है (वृद्धि)")</f>
        <v>किराया बहुत अधिक है (वृद्धि)</v>
      </c>
      <c r="E292" s="2" t="str">
        <f>IFERROR(__xludf.DUMMYFUNCTION("GOOGLETRANSLATE(B292,""en"",""ml"")"),"നിരക്ക് വളരെ കൂടുതലാണ് (ഉയർച്ച)")</f>
        <v>നിരക്ക് വളരെ കൂടുതലാണ് (ഉയർച്ച)</v>
      </c>
      <c r="F292" s="2" t="str">
        <f>IFERROR(__xludf.DUMMYFUNCTION("GOOGLETRANSLATE(B292,""en"",""te"")"),"ఛార్జీ చాలా ఎక్కువగా ఉంది (ఉప్పెన)")</f>
        <v>ఛార్జీ చాలా ఎక్కువగా ఉంది (ఉప్పెన)</v>
      </c>
      <c r="G292" s="2" t="str">
        <f>IFERROR(__xludf.DUMMYFUNCTION("GOOGLETRANSLATE(B292,""en"",""kn"")"),"ದರವು ತುಂಬಾ ಹೆಚ್ಚಾಗಿದೆ (ಉಲ್ಬಣ)")</f>
        <v>ದರವು ತುಂಬಾ ಹೆಚ್ಚಾಗಿದೆ (ಉಲ್ಬಣ)</v>
      </c>
    </row>
    <row r="293">
      <c r="A293" s="1" t="s">
        <v>588</v>
      </c>
      <c r="B293" s="1" t="s">
        <v>589</v>
      </c>
      <c r="C293" s="2" t="str">
        <f>IFERROR(__xludf.DUMMYFUNCTION("GOOGLETRANSLATE(B293,""en"",""ta"")"),"உங்கள் இலக்கை அடையுங்கள்")</f>
        <v>உங்கள் இலக்கை அடையுங்கள்</v>
      </c>
      <c r="D293" s="2" t="str">
        <f>IFERROR(__xludf.DUMMYFUNCTION("GOOGLETRANSLATE(B293,""en"",""hi"")"),"अपने गंतव्य तक पहुँचें")</f>
        <v>अपने गंतव्य तक पहुँचें</v>
      </c>
      <c r="E293" s="2" t="str">
        <f>IFERROR(__xludf.DUMMYFUNCTION("GOOGLETRANSLATE(B293,""en"",""ml"")"),"നിങ്ങളുടെ ലക്ഷ്യസ്ഥാനത്ത് എത്തിച്ചേരുക")</f>
        <v>നിങ്ങളുടെ ലക്ഷ്യസ്ഥാനത്ത് എത്തിച്ചേരുക</v>
      </c>
      <c r="F293" s="2" t="str">
        <f>IFERROR(__xludf.DUMMYFUNCTION("GOOGLETRANSLATE(B293,""en"",""te"")"),"మీ గమ్యాన్ని చేరుకోండి")</f>
        <v>మీ గమ్యాన్ని చేరుకోండి</v>
      </c>
      <c r="G293" s="2" t="str">
        <f>IFERROR(__xludf.DUMMYFUNCTION("GOOGLETRANSLATE(B293,""en"",""kn"")"),"ನಿಮ್ಮ ಗಮ್ಯಸ್ಥಾನವನ್ನು ತಲುಪಿ")</f>
        <v>ನಿಮ್ಮ ಗಮ್ಯಸ್ಥಾನವನ್ನು ತಲುಪಿ</v>
      </c>
    </row>
    <row r="294">
      <c r="A294" s="1" t="s">
        <v>590</v>
      </c>
      <c r="B294" s="1" t="s">
        <v>591</v>
      </c>
      <c r="C294" s="2" t="str">
        <f>IFERROR(__xludf.DUMMYFUNCTION("GOOGLETRANSLATE(B294,""en"",""ta"")"),"செலுத்த வேண்டிய மதிப்பிடப்பட்ட தொகை")</f>
        <v>செலுத்த வேண்டிய மதிப்பிடப்பட்ட தொகை</v>
      </c>
      <c r="D294" s="2" t="str">
        <f>IFERROR(__xludf.DUMMYFUNCTION("GOOGLETRANSLATE(B294,""en"",""hi"")"),"भुगतान की जाने वाली अनुमानित राशि")</f>
        <v>भुगतान की जाने वाली अनुमानित राशि</v>
      </c>
      <c r="E294" s="2" t="str">
        <f>IFERROR(__xludf.DUMMYFUNCTION("GOOGLETRANSLATE(B294,""en"",""ml"")"),"അടയ്‌ക്കേണ്ട എസ്റ്റിമേറ്റ് തുക")</f>
        <v>അടയ്‌ക്കേണ്ട എസ്റ്റിമേറ്റ് തുക</v>
      </c>
      <c r="F294" s="2" t="str">
        <f>IFERROR(__xludf.DUMMYFUNCTION("GOOGLETRANSLATE(B294,""en"",""te"")"),"చెల్లించాల్సిన అంచనా మొత్తం")</f>
        <v>చెల్లించాల్సిన అంచనా మొత్తం</v>
      </c>
      <c r="G294" s="2" t="str">
        <f>IFERROR(__xludf.DUMMYFUNCTION("GOOGLETRANSLATE(B294,""en"",""kn"")"),"ಪಾವತಿಸಬೇಕಾದ ಅಂದಾಜು ಮೊತ್ತ")</f>
        <v>ಪಾವತಿಸಬೇಕಾದ ಅಂದಾಜು ಮೊತ್ತ</v>
      </c>
    </row>
    <row r="295">
      <c r="A295" s="1" t="s">
        <v>592</v>
      </c>
      <c r="B295" s="1" t="s">
        <v>593</v>
      </c>
      <c r="C295" s="2" t="str">
        <f>IFERROR(__xludf.DUMMYFUNCTION("GOOGLETRANSLATE(B295,""en"",""ta"")"),"வருகை")</f>
        <v>வருகை</v>
      </c>
      <c r="D295" s="2" t="str">
        <f>IFERROR(__xludf.DUMMYFUNCTION("GOOGLETRANSLATE(B295,""en"",""hi"")"),"आगमन")</f>
        <v>आगमन</v>
      </c>
      <c r="E295" s="2" t="str">
        <f>IFERROR(__xludf.DUMMYFUNCTION("GOOGLETRANSLATE(B295,""en"",""ml"")"),"വരവ്")</f>
        <v>വരവ്</v>
      </c>
      <c r="F295" s="2" t="str">
        <f>IFERROR(__xludf.DUMMYFUNCTION("GOOGLETRANSLATE(B295,""en"",""te"")"),"రాక")</f>
        <v>రాక</v>
      </c>
      <c r="G295" s="2" t="str">
        <f>IFERROR(__xludf.DUMMYFUNCTION("GOOGLETRANSLATE(B295,""en"",""kn"")"),"ಆಗಮನ")</f>
        <v>ಆಗಮನ</v>
      </c>
    </row>
    <row r="296">
      <c r="A296" s="1" t="s">
        <v>594</v>
      </c>
      <c r="B296" s="1" t="s">
        <v>595</v>
      </c>
      <c r="C296" s="2" t="str">
        <f>IFERROR(__xludf.DUMMYFUNCTION("GOOGLETRANSLATE(B296,""en"",""ta"")"),"கட்டண முறையை மாற்றவும்")</f>
        <v>கட்டண முறையை மாற்றவும்</v>
      </c>
      <c r="D296" s="2" t="str">
        <f>IFERROR(__xludf.DUMMYFUNCTION("GOOGLETRANSLATE(B296,""en"",""hi"")"),"भुगतान विधि बदलें")</f>
        <v>भुगतान विधि बदलें</v>
      </c>
      <c r="E296" s="2" t="str">
        <f>IFERROR(__xludf.DUMMYFUNCTION("GOOGLETRANSLATE(B296,""en"",""ml"")"),"പേയ്‌മെൻ്റ് രീതി മാറ്റുക")</f>
        <v>പേയ്‌മെൻ്റ് രീതി മാറ്റുക</v>
      </c>
      <c r="F296" s="2" t="str">
        <f>IFERROR(__xludf.DUMMYFUNCTION("GOOGLETRANSLATE(B296,""en"",""te"")"),"చెల్లింపు పద్ధతిని మార్చండి")</f>
        <v>చెల్లింపు పద్ధతిని మార్చండి</v>
      </c>
      <c r="G296" s="2" t="str">
        <f>IFERROR(__xludf.DUMMYFUNCTION("GOOGLETRANSLATE(B296,""en"",""kn"")"),"ಪಾವತಿ ವಿಧಾನವನ್ನು ಬದಲಾಯಿಸಿ")</f>
        <v>ಪಾವತಿ ವಿಧಾನವನ್ನು ಬದಲಾಯಿಸಿ</v>
      </c>
    </row>
    <row r="297">
      <c r="A297" s="1" t="s">
        <v>596</v>
      </c>
      <c r="B297" s="1" t="s">
        <v>597</v>
      </c>
      <c r="C297" s="2" t="str">
        <f>IFERROR(__xludf.DUMMYFUNCTION("GOOGLETRANSLATE(B297,""en"",""ta"")"),"உங்கள் சவாரி முடிந்தது.")</f>
        <v>உங்கள் சவாரி முடிந்தது.</v>
      </c>
      <c r="D297" s="2" t="str">
        <f>IFERROR(__xludf.DUMMYFUNCTION("GOOGLETRANSLATE(B297,""en"",""hi"")"),"आपकी यात्रा पूरी हो गई है।")</f>
        <v>आपकी यात्रा पूरी हो गई है।</v>
      </c>
      <c r="E297" s="2" t="str">
        <f>IFERROR(__xludf.DUMMYFUNCTION("GOOGLETRANSLATE(B297,""en"",""ml"")"),"നിങ്ങളുടെ യാത്ര പൂർത്തിയായി.")</f>
        <v>നിങ്ങളുടെ യാത്ര പൂർത്തിയായി.</v>
      </c>
      <c r="F297" s="2" t="str">
        <f>IFERROR(__xludf.DUMMYFUNCTION("GOOGLETRANSLATE(B297,""en"",""te"")"),"మీ రైడ్ పూర్తయింది.")</f>
        <v>మీ రైడ్ పూర్తయింది.</v>
      </c>
      <c r="G297" s="2" t="str">
        <f>IFERROR(__xludf.DUMMYFUNCTION("GOOGLETRANSLATE(B297,""en"",""kn"")"),"ನಿಮ್ಮ ಸವಾರಿ ಪೂರ್ಣಗೊಂಡಿದೆ.")</f>
        <v>ನಿಮ್ಮ ಸವಾರಿ ಪೂರ್ಣಗೊಂಡಿದೆ.</v>
      </c>
    </row>
    <row r="298">
      <c r="A298" s="1" t="s">
        <v>598</v>
      </c>
      <c r="B298" s="1" t="s">
        <v>599</v>
      </c>
      <c r="C298" s="2" t="str">
        <f>IFERROR(__xludf.DUMMYFUNCTION("GOOGLETRANSLATE(B298,""en"",""ta"")"),"சவாரிக்கு இடையில் உங்கள் சவாரி ரத்து செய்யப்பட்டது")</f>
        <v>சவாரிக்கு இடையில் உங்கள் சவாரி ரத்து செய்யப்பட்டது</v>
      </c>
      <c r="D298" s="2" t="str">
        <f>IFERROR(__xludf.DUMMYFUNCTION("GOOGLETRANSLATE(B298,""en"",""hi"")"),"आपकी सवारी बीच में ही रद्द कर दी गई है")</f>
        <v>आपकी सवारी बीच में ही रद्द कर दी गई है</v>
      </c>
      <c r="E298" s="2" t="str">
        <f>IFERROR(__xludf.DUMMYFUNCTION("GOOGLETRANSLATE(B298,""en"",""ml"")"),"യാത്രയ്ക്കിടയിൽ നിങ്ങളുടെ റൈഡ് റദ്ദാക്കിയിരിക്കുന്നു")</f>
        <v>യാത്രയ്ക്കിടയിൽ നിങ്ങളുടെ റൈഡ് റദ്ദാക്കിയിരിക്കുന്നു</v>
      </c>
      <c r="F298" s="2" t="str">
        <f>IFERROR(__xludf.DUMMYFUNCTION("GOOGLETRANSLATE(B298,""en"",""te"")"),"మీ రైడ్ రైడ్ మధ్య రద్దు చేయబడింది")</f>
        <v>మీ రైడ్ రైడ్ మధ్య రద్దు చేయబడింది</v>
      </c>
      <c r="G298" s="2" t="str">
        <f>IFERROR(__xludf.DUMMYFUNCTION("GOOGLETRANSLATE(B298,""en"",""kn"")"),"ಸವಾರಿಯ ನಡುವೆ ನಿಮ್ಮ ಸವಾರಿಯನ್ನು ರದ್ದುಗೊಳಿಸಲಾಗಿದೆ")</f>
        <v>ಸವಾರಿಯ ನಡುವೆ ನಿಮ್ಮ ಸವಾರಿಯನ್ನು ರದ್ದುಗೊಳಿಸಲಾಗಿದೆ</v>
      </c>
    </row>
    <row r="299">
      <c r="A299" s="1" t="s">
        <v>600</v>
      </c>
      <c r="B299" s="1" t="s">
        <v>601</v>
      </c>
      <c r="C299" s="2" t="str">
        <f>IFERROR(__xludf.DUMMYFUNCTION("GOOGLETRANSLATE(B299,""en"",""ta"")"),"கட்டணத்தைத் தொடரவும்")</f>
        <v>கட்டணத்தைத் தொடரவும்</v>
      </c>
      <c r="D299" s="2" t="str">
        <f>IFERROR(__xludf.DUMMYFUNCTION("GOOGLETRANSLATE(B299,""en"",""hi"")"),"कृपया भुगतान के साथ आगे बढ़ें")</f>
        <v>कृपया भुगतान के साथ आगे बढ़ें</v>
      </c>
      <c r="E299" s="2" t="str">
        <f>IFERROR(__xludf.DUMMYFUNCTION("GOOGLETRANSLATE(B299,""en"",""ml"")"),"പേയ്‌മെൻ്റുമായി മുന്നോട്ട് പോകുക")</f>
        <v>പേയ്‌മെൻ്റുമായി മുന്നോട്ട് പോകുക</v>
      </c>
      <c r="F299" s="2" t="str">
        <f>IFERROR(__xludf.DUMMYFUNCTION("GOOGLETRANSLATE(B299,""en"",""te"")"),"దయచేసి చెల్లింపుతో కొనసాగండి")</f>
        <v>దయచేసి చెల్లింపుతో కొనసాగండి</v>
      </c>
      <c r="G299" s="2" t="str">
        <f>IFERROR(__xludf.DUMMYFUNCTION("GOOGLETRANSLATE(B299,""en"",""kn"")"),"ದಯವಿಟ್ಟು ಪಾವತಿಯೊಂದಿಗೆ ಮುಂದುವರಿಯಿರಿ")</f>
        <v>ದಯವಿಟ್ಟು ಪಾವತಿಯೊಂದಿಗೆ ಮುಂದುವರಿಯಿರಿ</v>
      </c>
    </row>
    <row r="300">
      <c r="A300" s="1" t="s">
        <v>602</v>
      </c>
      <c r="B300" s="1" t="s">
        <v>603</v>
      </c>
      <c r="C300" s="2" t="str">
        <f>IFERROR(__xludf.DUMMYFUNCTION("GOOGLETRANSLATE(B300,""en"",""ta"")"),"பயணித்த தூரத்திற்கான கட்டணத்தை தயவுசெய்து செலுத்தவும்")</f>
        <v>பயணித்த தூரத்திற்கான கட்டணத்தை தயவுசெய்து செலுத்தவும்</v>
      </c>
      <c r="D300" s="2" t="str">
        <f>IFERROR(__xludf.DUMMYFUNCTION("GOOGLETRANSLATE(B300,""en"",""hi"")"),"कृपया यात्रा की गई दूरी का किराया चुकाएं")</f>
        <v>कृपया यात्रा की गई दूरी का किराया चुकाएं</v>
      </c>
      <c r="E300" s="2" t="str">
        <f>IFERROR(__xludf.DUMMYFUNCTION("GOOGLETRANSLATE(B300,""en"",""ml"")"),"ദയവു ചെയ്ത് യാത്ര ചെയ്ത ദൂരത്തിൻ്റെ നിരക്ക് നൽകുക")</f>
        <v>ദയവു ചെയ്ത് യാത്ര ചെയ്ത ദൂരത്തിൻ്റെ നിരക്ക് നൽകുക</v>
      </c>
      <c r="F300" s="2" t="str">
        <f>IFERROR(__xludf.DUMMYFUNCTION("GOOGLETRANSLATE(B300,""en"",""te"")"),"దయచేసి ప్రయాణించిన దూరానికి ఛార్జీలు చెల్లించండి")</f>
        <v>దయచేసి ప్రయాణించిన దూరానికి ఛార్జీలు చెల్లించండి</v>
      </c>
      <c r="G300" s="2" t="str">
        <f>IFERROR(__xludf.DUMMYFUNCTION("GOOGLETRANSLATE(B300,""en"",""kn"")"),"ಪ್ರಯಾಣಿಸಿದ ದೂರದ ಶುಲ್ಕವನ್ನು ದಯವಿಟ್ಟು ಪಾವತಿಸಿ")</f>
        <v>ಪ್ರಯಾಣಿಸಿದ ದೂರದ ಶುಲ್ಕವನ್ನು ದಯವಿಟ್ಟು ಪಾವತಿಸಿ</v>
      </c>
    </row>
    <row r="301">
      <c r="A301" s="1" t="s">
        <v>604</v>
      </c>
      <c r="B301" s="1" t="s">
        <v>605</v>
      </c>
      <c r="C301" s="2" t="str">
        <f>IFERROR(__xludf.DUMMYFUNCTION("GOOGLETRANSLATE(B301,""en"",""ta"")"),"சவாரி நிறுத்தப்பட்டது")</f>
        <v>சவாரி நிறுத்தப்பட்டது</v>
      </c>
      <c r="D301" s="2" t="str">
        <f>IFERROR(__xludf.DUMMYFUNCTION("GOOGLETRANSLATE(B301,""en"",""hi"")"),"सवारी रुकी हुई है")</f>
        <v>सवारी रुकी हुई है</v>
      </c>
      <c r="E301" s="2" t="str">
        <f>IFERROR(__xludf.DUMMYFUNCTION("GOOGLETRANSLATE(B301,""en"",""ml"")"),"സവാരി നിർത്തി")</f>
        <v>സവാരി നിർത്തി</v>
      </c>
      <c r="F301" s="2" t="str">
        <f>IFERROR(__xludf.DUMMYFUNCTION("GOOGLETRANSLATE(B301,""en"",""te"")"),"రైడ్ ఆగిపోయింది")</f>
        <v>రైడ్ ఆగిపోయింది</v>
      </c>
      <c r="G301" s="2" t="str">
        <f>IFERROR(__xludf.DUMMYFUNCTION("GOOGLETRANSLATE(B301,""en"",""kn"")"),"ಸವಾರಿ ನಿಲ್ಲಿಸಲಾಗಿದೆ")</f>
        <v>ಸವಾರಿ ನಿಲ್ಲಿಸಲಾಗಿದೆ</v>
      </c>
    </row>
    <row r="302">
      <c r="A302" s="1" t="s">
        <v>606</v>
      </c>
      <c r="B302" s="1" t="s">
        <v>607</v>
      </c>
      <c r="C302" s="2" t="str">
        <f>IFERROR(__xludf.DUMMYFUNCTION("GOOGLETRANSLATE(B302,""en"",""ta"")"),"பயணக் கட்டணத்தைச் செலுத்தவும்")</f>
        <v>பயணக் கட்டணத்தைச் செலுத்தவும்</v>
      </c>
      <c r="D302" s="2" t="str">
        <f>IFERROR(__xludf.DUMMYFUNCTION("GOOGLETRANSLATE(B302,""en"",""hi"")"),"कृपया यात्रा का किराया अदा करें")</f>
        <v>कृपया यात्रा का किराया अदा करें</v>
      </c>
      <c r="E302" s="2" t="str">
        <f>IFERROR(__xludf.DUMMYFUNCTION("GOOGLETRANSLATE(B302,""en"",""ml"")"),"യാത്രക്കൂലി നൽകൂ")</f>
        <v>യാത്രക്കൂലി നൽകൂ</v>
      </c>
      <c r="F302" s="2" t="str">
        <f>IFERROR(__xludf.DUMMYFUNCTION("GOOGLETRANSLATE(B302,""en"",""te"")"),"దయచేసి ట్రిప్ ఛార్జీని చెల్లించండి")</f>
        <v>దయచేసి ట్రిప్ ఛార్జీని చెల్లించండి</v>
      </c>
      <c r="G302" s="2" t="str">
        <f>IFERROR(__xludf.DUMMYFUNCTION("GOOGLETRANSLATE(B302,""en"",""kn"")"),"ದಯವಿಟ್ಟು ಪ್ರಯಾಣ ದರವನ್ನು ಪಾವತಿಸಿ")</f>
        <v>ದಯವಿಟ್ಟು ಪ್ರಯಾಣ ದರವನ್ನು ಪಾವತಿಸಿ</v>
      </c>
    </row>
    <row r="303">
      <c r="A303" s="1" t="s">
        <v>608</v>
      </c>
      <c r="B303" s="1" t="s">
        <v>609</v>
      </c>
      <c r="C303" s="2" t="str">
        <f>IFERROR(__xludf.DUMMYFUNCTION("GOOGLETRANSLATE(B303,""en"",""ta"")"),"டிரைவருக்கு")</f>
        <v>டிரைவருக்கு</v>
      </c>
      <c r="D303" s="2" t="str">
        <f>IFERROR(__xludf.DUMMYFUNCTION("GOOGLETRANSLATE(B303,""en"",""hi"")"),"ड्राइवर को")</f>
        <v>ड्राइवर को</v>
      </c>
      <c r="E303" s="2" t="str">
        <f>IFERROR(__xludf.DUMMYFUNCTION("GOOGLETRANSLATE(B303,""en"",""ml"")"),"ഡ്രൈവർക്ക്")</f>
        <v>ഡ്രൈവർക്ക്</v>
      </c>
      <c r="F303" s="2" t="str">
        <f>IFERROR(__xludf.DUMMYFUNCTION("GOOGLETRANSLATE(B303,""en"",""te"")"),"డ్రైవర్‌కి")</f>
        <v>డ్రైవర్‌కి</v>
      </c>
      <c r="G303" s="2" t="str">
        <f>IFERROR(__xludf.DUMMYFUNCTION("GOOGLETRANSLATE(B303,""en"",""kn"")"),"ಚಾಲಕನಿಗೆ")</f>
        <v>ಚಾಲಕನಿಗೆ</v>
      </c>
    </row>
    <row r="304">
      <c r="A304" s="1" t="s">
        <v>610</v>
      </c>
      <c r="B304" s="1" t="s">
        <v>611</v>
      </c>
      <c r="C304" s="2" t="str">
        <f>IFERROR(__xludf.DUMMYFUNCTION("GOOGLETRANSLATE(B304,""en"",""ta"")"),"UPI மூலம் பணம் செலுத்துங்கள்")</f>
        <v>UPI மூலம் பணம் செலுத்துங்கள்</v>
      </c>
      <c r="D304" s="2" t="str">
        <f>IFERROR(__xludf.DUMMYFUNCTION("GOOGLETRANSLATE(B304,""en"",""hi"")"),"UPI के माध्यम से भुगतान करें")</f>
        <v>UPI के माध्यम से भुगतान करें</v>
      </c>
      <c r="E304" s="2" t="str">
        <f>IFERROR(__xludf.DUMMYFUNCTION("GOOGLETRANSLATE(B304,""en"",""ml"")"),"UPI വഴി പണമടയ്ക്കുക")</f>
        <v>UPI വഴി പണമടയ്ക്കുക</v>
      </c>
      <c r="F304" s="2" t="str">
        <f>IFERROR(__xludf.DUMMYFUNCTION("GOOGLETRANSLATE(B304,""en"",""te"")"),"UPI ద్వారా చెల్లించండి")</f>
        <v>UPI ద్వారా చెల్లించండి</v>
      </c>
      <c r="G304" s="2" t="str">
        <f>IFERROR(__xludf.DUMMYFUNCTION("GOOGLETRANSLATE(B304,""en"",""kn"")"),"UPI ಮೂಲಕ ಪಾವತಿಸಿ")</f>
        <v>UPI ಮೂಲಕ ಪಾವತಿಸಿ</v>
      </c>
    </row>
    <row r="305">
      <c r="A305" s="1" t="s">
        <v>612</v>
      </c>
      <c r="B305" s="1" t="s">
        <v>613</v>
      </c>
      <c r="C305" s="2" t="str">
        <f>IFERROR(__xludf.DUMMYFUNCTION("GOOGLETRANSLATE(B305,""en"",""ta"")"),"மேலும் விவரங்கள்")</f>
        <v>மேலும் விவரங்கள்</v>
      </c>
      <c r="D305" s="2" t="str">
        <f>IFERROR(__xludf.DUMMYFUNCTION("GOOGLETRANSLATE(B305,""en"",""hi"")"),"अधिक जानकारी")</f>
        <v>अधिक जानकारी</v>
      </c>
      <c r="E305" s="2" t="str">
        <f>IFERROR(__xludf.DUMMYFUNCTION("GOOGLETRANSLATE(B305,""en"",""ml"")"),"കൂടുതൽ വിശദാംശങ്ങൾ")</f>
        <v>കൂടുതൽ വിശദാംശങ്ങൾ</v>
      </c>
      <c r="F305" s="2" t="str">
        <f>IFERROR(__xludf.DUMMYFUNCTION("GOOGLETRANSLATE(B305,""en"",""te"")"),"మరిన్ని వివరాలు")</f>
        <v>మరిన్ని వివరాలు</v>
      </c>
      <c r="G305" s="2" t="str">
        <f>IFERROR(__xludf.DUMMYFUNCTION("GOOGLETRANSLATE(B305,""en"",""kn"")"),"ಹೆಚ್ಚಿನ ವಿವರಗಳು")</f>
        <v>ಹೆಚ್ಚಿನ ವಿವರಗಳು</v>
      </c>
    </row>
    <row r="306">
      <c r="A306" s="1" t="s">
        <v>614</v>
      </c>
      <c r="B306" s="1" t="s">
        <v>615</v>
      </c>
      <c r="C306" s="2" t="str">
        <f>IFERROR(__xludf.DUMMYFUNCTION("GOOGLETRANSLATE(B306,""en"",""ta"")"),"செலுத்து")</f>
        <v>செலுத்து</v>
      </c>
      <c r="D306" s="2" t="str">
        <f>IFERROR(__xludf.DUMMYFUNCTION("GOOGLETRANSLATE(B306,""en"",""hi"")"),"वेतन")</f>
        <v>वेतन</v>
      </c>
      <c r="E306" s="2" t="str">
        <f>IFERROR(__xludf.DUMMYFUNCTION("GOOGLETRANSLATE(B306,""en"",""ml"")"),"പണം നൽകുക")</f>
        <v>പണം നൽകുക</v>
      </c>
      <c r="F306" s="2" t="str">
        <f>IFERROR(__xludf.DUMMYFUNCTION("GOOGLETRANSLATE(B306,""en"",""te"")"),"చెల్లించండి")</f>
        <v>చెల్లించండి</v>
      </c>
      <c r="G306" s="2" t="str">
        <f>IFERROR(__xludf.DUMMYFUNCTION("GOOGLETRANSLATE(B306,""en"",""kn"")"),"ಪಾವತಿಸಿ")</f>
        <v>ಪಾವತಿಸಿ</v>
      </c>
    </row>
    <row r="307">
      <c r="A307" s="1" t="s">
        <v>616</v>
      </c>
      <c r="B307" s="1" t="s">
        <v>617</v>
      </c>
      <c r="C307" s="2" t="str">
        <f>IFERROR(__xludf.DUMMYFUNCTION("GOOGLETRANSLATE(B307,""en"",""ta"")"),"பின்னர்")</f>
        <v>பின்னர்</v>
      </c>
      <c r="D307" s="2" t="str">
        <f>IFERROR(__xludf.DUMMYFUNCTION("GOOGLETRANSLATE(B307,""en"",""hi"")"),"बाद में")</f>
        <v>बाद में</v>
      </c>
      <c r="E307" s="2" t="str">
        <f>IFERROR(__xludf.DUMMYFUNCTION("GOOGLETRANSLATE(B307,""en"",""ml"")"),"പിന്നീട്")</f>
        <v>പിന്നീട്</v>
      </c>
      <c r="F307" s="2" t="str">
        <f>IFERROR(__xludf.DUMMYFUNCTION("GOOGLETRANSLATE(B307,""en"",""te"")"),"తరువాత")</f>
        <v>తరువాత</v>
      </c>
      <c r="G307" s="2" t="str">
        <f>IFERROR(__xludf.DUMMYFUNCTION("GOOGLETRANSLATE(B307,""en"",""kn"")"),"ನಂತರ")</f>
        <v>ನಂತರ</v>
      </c>
    </row>
    <row r="308">
      <c r="A308" s="1" t="s">
        <v>618</v>
      </c>
      <c r="B308" s="1" t="s">
        <v>619</v>
      </c>
      <c r="C308" s="2" t="str">
        <f>IFERROR(__xludf.DUMMYFUNCTION("GOOGLETRANSLATE(B308,""en"",""ta"")"),"கருத்து வெற்றிகரமாக சமர்ப்பிக்கப்பட்டது")</f>
        <v>கருத்து வெற்றிகரமாக சமர்ப்பிக்கப்பட்டது</v>
      </c>
      <c r="D308" s="2" t="str">
        <f>IFERROR(__xludf.DUMMYFUNCTION("GOOGLETRANSLATE(B308,""en"",""hi"")"),"फ़ीडबैक सफलतापूर्वक सबमिट किया गया")</f>
        <v>फ़ीडबैक सफलतापूर्वक सबमिट किया गया</v>
      </c>
      <c r="E308" s="2" t="str">
        <f>IFERROR(__xludf.DUMMYFUNCTION("GOOGLETRANSLATE(B308,""en"",""ml"")"),"ഫീഡ്‌ബാക്ക് വിജയകരമായി സമർപ്പിച്ചു")</f>
        <v>ഫീഡ്‌ബാക്ക് വിജയകരമായി സമർപ്പിച്ചു</v>
      </c>
      <c r="F308" s="2" t="str">
        <f>IFERROR(__xludf.DUMMYFUNCTION("GOOGLETRANSLATE(B308,""en"",""te"")"),"అభిప్రాయం విజయవంతంగా సమర్పించబడింది")</f>
        <v>అభిప్రాయం విజయవంతంగా సమర్పించబడింది</v>
      </c>
      <c r="G308" s="2" t="str">
        <f>IFERROR(__xludf.DUMMYFUNCTION("GOOGLETRANSLATE(B308,""en"",""kn"")"),"ಪ್ರತಿಕ್ರಿಯೆಯನ್ನು ಯಶಸ್ವಿಯಾಗಿ ಸಲ್ಲಿಸಲಾಗಿದೆ")</f>
        <v>ಪ್ರತಿಕ್ರಿಯೆಯನ್ನು ಯಶಸ್ವಿಯಾಗಿ ಸಲ್ಲಿಸಲಾಗಿದೆ</v>
      </c>
    </row>
    <row r="309">
      <c r="A309" s="1" t="s">
        <v>620</v>
      </c>
      <c r="B309" s="1" t="s">
        <v>621</v>
      </c>
      <c r="C309" s="2" t="str">
        <f>IFERROR(__xludf.DUMMYFUNCTION("GOOGLETRANSLATE(B309,""en"",""ta"")"),"ஏதோ தவறாகிவிட்டது")</f>
        <v>ஏதோ தவறாகிவிட்டது</v>
      </c>
      <c r="D309" s="2" t="str">
        <f>IFERROR(__xludf.DUMMYFUNCTION("GOOGLETRANSLATE(B309,""en"",""hi"")"),"कुछ गलत हो गया")</f>
        <v>कुछ गलत हो गया</v>
      </c>
      <c r="E309" s="2" t="str">
        <f>IFERROR(__xludf.DUMMYFUNCTION("GOOGLETRANSLATE(B309,""en"",""ml"")"),"എന്തോ കുഴപ്പം സംഭവിച്ചു")</f>
        <v>എന്തോ കുഴപ്പം സംഭവിച്ചു</v>
      </c>
      <c r="F309" s="2" t="str">
        <f>IFERROR(__xludf.DUMMYFUNCTION("GOOGLETRANSLATE(B309,""en"",""te"")"),"ఏదో తప్పు జరిగింది")</f>
        <v>ఏదో తప్పు జరిగింది</v>
      </c>
      <c r="G309" s="2" t="str">
        <f>IFERROR(__xludf.DUMMYFUNCTION("GOOGLETRANSLATE(B309,""en"",""kn"")"),"ಏನೋ ತಪ್ಪಾಗಿದೆ")</f>
        <v>ಏನೋ ತಪ್ಪಾಗಿದೆ</v>
      </c>
    </row>
    <row r="310">
      <c r="A310" s="1" t="s">
        <v>622</v>
      </c>
      <c r="B310" s="1" t="s">
        <v>623</v>
      </c>
      <c r="C310" s="2" t="str">
        <f>IFERROR(__xludf.DUMMYFUNCTION("GOOGLETRANSLATE(B310,""en"",""ta"")"),"கருத்துகள் (விரும்பினால்)")</f>
        <v>கருத்துகள் (விரும்பினால்)</v>
      </c>
      <c r="D310" s="2" t="str">
        <f>IFERROR(__xludf.DUMMYFUNCTION("GOOGLETRANSLATE(B310,""en"",""hi"")"),"टिप्पणियां (वैकल्पिक)")</f>
        <v>टिप्पणियां (वैकल्पिक)</v>
      </c>
      <c r="E310" s="2" t="str">
        <f>IFERROR(__xludf.DUMMYFUNCTION("GOOGLETRANSLATE(B310,""en"",""ml"")"),"അഭിപ്രായങ്ങൾ (ഓപ്ഷണൽ)")</f>
        <v>അഭിപ്രായങ്ങൾ (ഓപ്ഷണൽ)</v>
      </c>
      <c r="F310" s="2" t="str">
        <f>IFERROR(__xludf.DUMMYFUNCTION("GOOGLETRANSLATE(B310,""en"",""te"")"),"వ్యాఖ్యలు (ఐచ్ఛికం)")</f>
        <v>వ్యాఖ్యలు (ఐచ్ఛికం)</v>
      </c>
      <c r="G310" s="2" t="str">
        <f>IFERROR(__xludf.DUMMYFUNCTION("GOOGLETRANSLATE(B310,""en"",""kn"")"),"ಕಾಮೆಂಟ್‌ಗಳು (ಐಚ್ಛಿಕ)")</f>
        <v>ಕಾಮೆಂಟ್‌ಗಳು (ಐಚ್ಛಿಕ)</v>
      </c>
    </row>
    <row r="311">
      <c r="A311" s="1" t="s">
        <v>624</v>
      </c>
      <c r="B311" s="1" t="s">
        <v>625</v>
      </c>
      <c r="C311" s="2" t="str">
        <f>IFERROR(__xludf.DUMMYFUNCTION("GOOGLETRANSLATE(B311,""en"",""ta"")"),"சமர்ப்பிக்கவும்")</f>
        <v>சமர்ப்பிக்கவும்</v>
      </c>
      <c r="D311" s="2" t="str">
        <f>IFERROR(__xludf.DUMMYFUNCTION("GOOGLETRANSLATE(B311,""en"",""hi"")"),"जमा करना")</f>
        <v>जमा करना</v>
      </c>
      <c r="E311" s="2" t="str">
        <f>IFERROR(__xludf.DUMMYFUNCTION("GOOGLETRANSLATE(B311,""en"",""ml"")"),"സമർപ്പിക്കുക")</f>
        <v>സമർപ്പിക്കുക</v>
      </c>
      <c r="F311" s="2" t="str">
        <f>IFERROR(__xludf.DUMMYFUNCTION("GOOGLETRANSLATE(B311,""en"",""te"")"),"సమర్పించండి")</f>
        <v>సమర్పించండి</v>
      </c>
      <c r="G311" s="2" t="str">
        <f>IFERROR(__xludf.DUMMYFUNCTION("GOOGLETRANSLATE(B311,""en"",""kn"")"),"ಸಲ್ಲಿಸಿ")</f>
        <v>ಸಲ್ಲಿಸಿ</v>
      </c>
    </row>
    <row r="312">
      <c r="A312" s="1" t="s">
        <v>626</v>
      </c>
      <c r="B312" s="1" t="s">
        <v>627</v>
      </c>
      <c r="C312" s="2" t="str">
        <f>IFERROR(__xludf.DUMMYFUNCTION("GOOGLETRANSLATE(B312,""en"",""ta"")"),"உங்கள் பயணங்கள் எப்படி இருக்கின்றன?")</f>
        <v>உங்கள் பயணங்கள் எப்படி இருக்கின்றன?</v>
      </c>
      <c r="D312" s="2" t="str">
        <f>IFERROR(__xludf.DUMMYFUNCTION("GOOGLETRANSLATE(B312,""en"",""hi"")"),"आपकी यात्राएं कैसी हैं?")</f>
        <v>आपकी यात्राएं कैसी हैं?</v>
      </c>
      <c r="E312" s="2" t="str">
        <f>IFERROR(__xludf.DUMMYFUNCTION("GOOGLETRANSLATE(B312,""en"",""ml"")"),"നിങ്ങളുടെ യാത്രകൾ എങ്ങനെയുണ്ട്?")</f>
        <v>നിങ്ങളുടെ യാത്രകൾ എങ്ങനെയുണ്ട്?</v>
      </c>
      <c r="F312" s="2" t="str">
        <f>IFERROR(__xludf.DUMMYFUNCTION("GOOGLETRANSLATE(B312,""en"",""te"")"),"మీ పర్యటనలు ఎలా ఉన్నాయి?")</f>
        <v>మీ పర్యటనలు ఎలా ఉన్నాయి?</v>
      </c>
      <c r="G312" s="2" t="str">
        <f>IFERROR(__xludf.DUMMYFUNCTION("GOOGLETRANSLATE(B312,""en"",""kn"")"),"ನಿಮ್ಮ ಪ್ರವಾಸಗಳು ಹೇಗಿವೆ?")</f>
        <v>ನಿಮ್ಮ ಪ್ರವಾಸಗಳು ಹೇಗಿವೆ?</v>
      </c>
    </row>
    <row r="313">
      <c r="A313" s="1" t="s">
        <v>628</v>
      </c>
      <c r="B313" s="1" t="s">
        <v>629</v>
      </c>
      <c r="C313" s="2" t="str">
        <f>IFERROR(__xludf.DUMMYFUNCTION("GOOGLETRANSLATE(B313,""en"",""ta"")"),"ஓட்டுநர் அனுபவத்தை மேம்படுத்த உங்கள் கருத்து எங்களுக்கு உதவும்")</f>
        <v>ஓட்டுநர் அனுபவத்தை மேம்படுத்த உங்கள் கருத்து எங்களுக்கு உதவும்</v>
      </c>
      <c r="D313" s="2" t="str">
        <f>IFERROR(__xludf.DUMMYFUNCTION("GOOGLETRANSLATE(B313,""en"",""hi"")"),"आपकी प्रतिक्रिया हमें ड्राइविंग अनुभव को बेहतर बनाने में मदद करेगी")</f>
        <v>आपकी प्रतिक्रिया हमें ड्राइविंग अनुभव को बेहतर बनाने में मदद करेगी</v>
      </c>
      <c r="E313" s="2" t="str">
        <f>IFERROR(__xludf.DUMMYFUNCTION("GOOGLETRANSLATE(B313,""en"",""ml"")"),"ഡ്രൈവിംഗ് അനുഭവം മെച്ചപ്പെടുത്താൻ നിങ്ങളുടെ ഫീഡ്‌ബാക്ക് ഞങ്ങളെ സഹായിക്കും")</f>
        <v>ഡ്രൈവിംഗ് അനുഭവം മെച്ചപ്പെടുത്താൻ നിങ്ങളുടെ ഫീഡ്‌ബാക്ക് ഞങ്ങളെ സഹായിക്കും</v>
      </c>
      <c r="F313" s="2" t="str">
        <f>IFERROR(__xludf.DUMMYFUNCTION("GOOGLETRANSLATE(B313,""en"",""te"")"),"డ్రైవింగ్ అనుభవాన్ని మెరుగుపరచడంలో మీ అభిప్రాయం మాకు సహాయం చేస్తుంది")</f>
        <v>డ్రైవింగ్ అనుభవాన్ని మెరుగుపరచడంలో మీ అభిప్రాయం మాకు సహాయం చేస్తుంది</v>
      </c>
      <c r="G313" s="2" t="str">
        <f>IFERROR(__xludf.DUMMYFUNCTION("GOOGLETRANSLATE(B313,""en"",""kn"")"),"ನಿಮ್ಮ ಪ್ರತಿಕ್ರಿಯೆಯು ಉತ್ತಮ ಚಾಲನಾ ಅನುಭವವನ್ನು ಸುಧಾರಿಸಲು ನಮಗೆ ಸಹಾಯ ಮಾಡುತ್ತದೆ")</f>
        <v>ನಿಮ್ಮ ಪ್ರತಿಕ್ರಿಯೆಯು ಉತ್ತಮ ಚಾಲನಾ ಅನುಭವವನ್ನು ಸುಧಾರಿಸಲು ನಮಗೆ ಸಹಾಯ ಮಾಡುತ್ತದೆ</v>
      </c>
    </row>
  </sheetData>
  <drawing r:id="rId1"/>
</worksheet>
</file>