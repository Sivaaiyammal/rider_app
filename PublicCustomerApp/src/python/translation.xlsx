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<sst xmlns="http://schemas.openxmlformats.org/spreadsheetml/2006/main" count="2930" uniqueCount="2807">
  <si>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</si>
  <si>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</si>
  <si>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</si>
  <si>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</si>
  <si>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</si>
  <si>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</si>
  <si>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</si>
  <si>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</si>
  <si>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</si>
  <si>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</si>
  <si>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</si>
  <si>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</si>
  <si>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</si>
  <si>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</si>
  <si>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</si>
  <si>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</si>
  <si>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</si>
  <si>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</si>
  <si>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</si>
  <si>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</si>
  <si>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</si>
  <si>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</si>
  <si>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</si>
  <si>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</si>
  <si>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</si>
  <si>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</si>
  <si>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</si>
  <si>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</si>
  <si>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</si>
  <si>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</si>
  <si>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</si>
  <si>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</si>
  <si>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</si>
  <si>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</si>
  <si>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</si>
  <si>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</si>
  <si>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</si>
  <si>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</si>
  <si>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</si>
  <si>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</si>
  <si>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</si>
  <si>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</si>
  <si>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</si>
  <si>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</si>
  <si>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</si>
  <si>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</si>
  <si>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</si>
  <si>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</si>
  <si>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</si>
  <si>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</si>
  <si>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</si>
  <si>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</si>
  <si>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</si>
  <si>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</si>
  <si>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</si>
  <si>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</si>
  <si>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</si>
  <si>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</si>
  <si>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</si>
  <si>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</si>
  <si>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</si>
  <si>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</si>
  <si>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</si>
  <si>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</si>
  <si>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</si>
  <si>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</si>
  <si>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</si>
  <si>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</si>
  <si>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</si>
  <si>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</si>
  <si>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</si>
  <si>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</si>
  <si>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</si>
  <si>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</si>
  <si>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</si>
  <si>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</si>
  <si>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</si>
  <si>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</si>
  <si>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</si>
  <si>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</si>
  <si>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</si>
  <si>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</si>
  <si>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</si>
  <si>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</si>
  <si>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</si>
  <si>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</si>
  <si>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</si>
  <si>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</si>
  <si>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</si>
  <si>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</si>
  <si>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</si>
  <si>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</si>
  <si>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</si>
  <si>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</si>
  <si>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</si>
  <si>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</si>
  <si>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</si>
  <si>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</si>
  <si>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</si>
  <si>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</si>
  <si>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</si>
  <si>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</si>
  <si>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</si>
  <si>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</si>
  <si>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</si>
  <si>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</si>
  <si>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</si>
  <si>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</si>
  <si>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</si>
  <si>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</si>
  <si>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</si>
  <si>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</si>
  <si>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</si>
  <si>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</si>
  <si>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</si>
  <si>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</si>
  <si>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</si>
  <si>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</si>
  <si>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</si>
  <si>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</si>
  <si>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</si>
  <si>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</si>
  <si>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</si>
  <si>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</si>
  <si>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</si>
  <si>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</si>
  <si>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</si>
  <si>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</si>
  <si>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</si>
  <si>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</si>
  <si>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</si>
  <si>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</si>
  <si>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</si>
  <si>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</si>
  <si>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</si>
  <si>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</si>
  <si>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</si>
  <si>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</si>
  <si>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</si>
  <si>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</si>
  <si>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</si>
  <si>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</si>
  <si>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</si>
  <si>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</si>
  <si>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</si>
  <si>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</si>
  <si>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</si>
  <si>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</si>
  <si>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</si>
  <si>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</si>
  <si>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</si>
  <si>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</si>
  <si>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</si>
  <si>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</si>
  <si>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</si>
  <si>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</si>
  <si>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</si>
  <si>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</si>
  <si>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</si>
  <si>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</si>
  <si>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</si>
  <si>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</si>
  <si>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</si>
  <si>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</si>
  <si>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</si>
  <si>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</si>
  <si>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</si>
  <si>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</si>
  <si>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</si>
  <si>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</si>
  <si>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</si>
  <si>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</si>
  <si>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</si>
  <si>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</si>
  <si>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</si>
  <si>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</si>
  <si>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</si>
  <si>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</si>
  <si>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</si>
  <si>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</si>
  <si>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</si>
  <si>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</si>
  <si>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</si>
  <si>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</si>
  <si>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</si>
  <si>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</si>
  <si>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</si>
  <si>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</si>
  <si>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</si>
  <si>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</si>
  <si>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</si>
  <si>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</si>
  <si>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</si>
  <si>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</si>
  <si>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</si>
  <si>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</si>
  <si>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</si>
  <si>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</si>
  <si>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</si>
  <si>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</si>
  <si>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</si>
  <si>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</si>
  <si>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</si>
  <si>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</si>
  <si>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</si>
  <si>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</si>
  <si>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</si>
  <si>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</si>
  <si>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</si>
  <si>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</si>
  <si>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</si>
  <si>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</si>
  <si>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</si>
  <si>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</si>
  <si>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</si>
  <si>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</si>
  <si>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</si>
  <si>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</si>
  <si>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</si>
  <si>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</si>
  <si>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</si>
  <si>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</si>
  <si>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</si>
  <si>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</si>
  <si>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</si>
  <si>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</si>
  <si>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</si>
  <si>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</si>
  <si>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</si>
  <si>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</si>
  <si>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</si>
  <si>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</si>
  <si>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</si>
  <si>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</si>
  <si>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</si>
  <si>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</si>
  <si>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</si>
  <si>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</si>
  <si>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</si>
  <si>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</si>
  <si>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</si>
  <si>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</si>
  <si>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</si>
  <si>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</si>
  <si>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</si>
  <si>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</si>
  <si>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</si>
  <si>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</si>
  <si>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</si>
  <si>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</si>
  <si>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</si>
  <si>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</si>
  <si>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</si>
  <si>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</si>
  <si>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</si>
  <si>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</si>
  <si>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</si>
  <si>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</si>
  <si>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</si>
  <si>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</si>
  <si>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</si>
  <si>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</si>
  <si>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</si>
  <si>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</si>
  <si>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</si>
  <si>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</si>
  <si>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</si>
  <si>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</si>
  <si>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</si>
  <si>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</si>
  <si>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</si>
  <si>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</si>
  <si>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</si>
  <si>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</si>
  <si>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</si>
  <si>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</si>
  <si>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</si>
  <si>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</si>
  <si>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</si>
  <si>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</si>
  <si>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</si>
  <si>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</si>
  <si>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</si>
  <si>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</si>
  <si>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</si>
  <si>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</si>
  <si>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</si>
  <si>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</si>
  <si>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</si>
  <si>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</si>
  <si>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</si>
  <si>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</si>
  <si>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</si>
  <si>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</si>
  <si>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</si>
  <si>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</si>
  <si>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</si>
  <si>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</si>
  <si>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</si>
  <si>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</si>
  <si>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</si>
  <si>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</si>
  <si>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</si>
  <si>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</si>
  <si>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</si>
  <si>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</si>
  <si>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</si>
  <si>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</si>
  <si>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</si>
  <si>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</si>
  <si>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</si>
  <si>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</si>
  <si>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</si>
  <si>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</si>
  <si>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</si>
  <si>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</si>
  <si>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</si>
  <si>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</si>
  <si>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</si>
  <si>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</si>
  <si>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</si>
  <si>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</si>
  <si>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</si>
  <si>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</si>
  <si>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</si>
  <si>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</si>
  <si>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</si>
  <si>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</si>
  <si>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</si>
  <si>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</si>
  <si>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</si>
  <si>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</si>
  <si>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</si>
  <si>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</si>
  <si>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</si>
  <si>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</si>
  <si>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</si>
  <si>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</si>
  <si>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</si>
  <si>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</si>
  <si>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</si>
  <si>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</si>
  <si>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</si>
  <si>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</si>
  <si>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</si>
  <si>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</si>
  <si>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</si>
  <si>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</si>
  <si>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</si>
  <si>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</si>
  <si>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</si>
  <si>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</si>
  <si>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</si>
  <si>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</si>
  <si>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</si>
  <si>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</si>
  <si>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</si>
  <si>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</si>
  <si>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</si>
  <si>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</si>
  <si>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</si>
  <si>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</si>
  <si>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</si>
  <si>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</si>
  <si>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</si>
  <si>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</si>
  <si>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</si>
  <si>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</si>
  <si>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</si>
  <si>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</si>
  <si>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</si>
  <si>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</si>
  <si>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</si>
  <si>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</si>
  <si>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</si>
  <si>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</si>
  <si>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</si>
  <si>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</si>
  <si>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</si>
  <si>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</si>
  <si>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</si>
  <si>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</si>
  <si>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</si>
  <si>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</si>
  <si>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</si>
  <si>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</si>
  <si>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</si>
  <si>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</si>
  <si>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</si>
  <si>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</si>
  <si>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</si>
  <si>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</si>
  <si>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</si>
  <si>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</si>
  <si>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</si>
  <si>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</si>
  <si>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</si>
  <si>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</si>
  <si>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</si>
  <si>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</si>
  <si>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</si>
  <si>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</si>
  <si>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</si>
  <si>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</si>
  <si>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</si>
  <si>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</si>
  <si>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</si>
  <si>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</si>
  <si>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</si>
  <si>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</si>
  <si>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</si>
  <si>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</si>
  <si>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</si>
  <si>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</si>
  <si>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</si>
  <si>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</si>
  <si>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</si>
  <si>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</si>
  <si>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</si>
  <si>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</si>
  <si>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</si>
  <si>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</si>
  <si>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</si>
  <si>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</si>
  <si>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</si>
  <si>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</si>
  <si>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</si>
  <si>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</si>
  <si>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</si>
  <si>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</si>
  <si>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</si>
  <si>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</si>
  <si>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</si>
  <si>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</si>
  <si>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</si>
  <si>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</si>
  <si>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</si>
  <si>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</si>
  <si>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</si>
  <si>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</si>
  <si>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</si>
  <si>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</si>
  <si>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</si>
  <si>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</si>
  <si>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</si>
  <si>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</si>
  <si>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</si>
  <si>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</si>
  <si>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</si>
  <si>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</si>
  <si>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</si>
  <si>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</si>
  <si>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</si>
  <si>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</si>
  <si>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</si>
  <si>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</si>
  <si>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</si>
  <si>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</si>
  <si>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</si>
  <si>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</si>
  <si>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</si>
  <si>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</si>
  <si>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</si>
  <si>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</si>
  <si>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</si>
  <si>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</si>
  <si>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</si>
  <si>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</si>
  <si>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</si>
  <si>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</si>
  <si>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</si>
  <si>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</si>
  <si>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</si>
  <si>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</si>
  <si>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</si>
  <si>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</si>
  <si>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</si>
  <si>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</si>
  <si>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</si>
  <si>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</si>
  <si>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</si>
  <si>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</si>
  <si>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</si>
  <si>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</si>
  <si>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</si>
  <si>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</si>
  <si>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</si>
  <si>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</si>
  <si>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</si>
  <si>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</si>
  <si>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</si>
  <si>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</si>
  <si>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</si>
  <si>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</si>
  <si>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</si>
  <si>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</si>
  <si>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</si>
  <si>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</si>
  <si>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</si>
  <si>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</si>
  <si>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</si>
  <si>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</si>
  <si>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</si>
  <si>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</si>
  <si>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</si>
  <si>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</si>
  <si>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</si>
  <si>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</si>
  <si>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</si>
  <si>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</si>
  <si>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</si>
  <si>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</si>
  <si>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</si>
  <si>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</si>
  <si>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</si>
  <si>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</si>
  <si>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</si>
  <si>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</si>
  <si>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</si>
  <si>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</si>
  <si>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</si>
  <si>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</si>
  <si>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</si>
  <si>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</si>
  <si>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</si>
  <si>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</si>
  <si>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</si>
  <si>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</si>
  <si>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</si>
  <si>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</si>
  <si>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</si>
  <si>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</si>
  <si>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</si>
  <si>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</si>
  <si>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</si>
  <si>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</si>
  <si>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</si>
  <si>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</si>
  <si>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</si>
  <si>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</si>
  <si>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</si>
  <si>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</si>
  <si>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</si>
  <si>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</si>
  <si>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</si>
  <si>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</si>
  <si>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</si>
  <si>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</si>
  <si>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</si>
  <si>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</si>
  <si>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</si>
  <si>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</si>
  <si>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</si>
  <si>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</si>
  <si>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</si>
  <si>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</si>
  <si>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</si>
  <si>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</si>
  <si>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</si>
  <si>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</si>
  <si>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</si>
  <si>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</si>
  <si>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</si>
  <si>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</si>
  <si>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</si>
  <si>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</si>
  <si>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</si>
  <si>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</si>
  <si>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</si>
  <si>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</si>
  <si>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</si>
  <si>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</si>
  <si>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</si>
  <si>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</si>
  <si>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</si>
  <si>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</si>
  <si>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</si>
  <si>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</si>
  <si>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</si>
  <si>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</si>
  <si>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</si>
  <si>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</si>
  <si>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</si>
  <si>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</si>
  <si>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</si>
  <si>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</si>
  <si>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</si>
  <si>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</si>
  <si>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</si>
  <si>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</si>
  <si>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</si>
  <si>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</si>
  <si>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</si>
  <si>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</si>
  <si>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</si>
  <si>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</si>
  <si>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</si>
  <si>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</si>
  <si>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</si>
  <si>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</si>
  <si>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</si>
  <si>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</si>
  <si>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</si>
  <si>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</si>
  <si>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</si>
  <si>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</si>
  <si>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</si>
  <si>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</si>
  <si>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</si>
  <si>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</si>
  <si>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</si>
  <si>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</si>
  <si>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</si>
  <si>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</si>
  <si>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</si>
  <si>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</si>
  <si>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</si>
  <si>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</si>
  <si>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</si>
  <si>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</si>
  <si>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</si>
  <si>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</si>
  <si>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</si>
  <si>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</si>
  <si>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</si>
  <si>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</si>
  <si>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</si>
  <si>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</si>
  <si>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</si>
  <si>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</si>
  <si>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</si>
  <si>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</si>
  <si>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</si>
  <si>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</si>
  <si>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</si>
  <si>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</si>
  <si>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</si>
  <si>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</si>
  <si>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</si>
  <si>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</si>
  <si>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</si>
  <si>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</si>
  <si>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</si>
  <si>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</si>
  <si>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</si>
  <si>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</si>
  <si>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</si>
  <si>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</si>
  <si>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</si>
  <si>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</si>
  <si>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</si>
  <si>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</si>
  <si>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</si>
  <si>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</si>
  <si>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</si>
  <si>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</si>
  <si>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</si>
  <si>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</si>
  <si>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</si>
  <si>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</si>
  <si>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</si>
  <si>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</si>
  <si>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</si>
  <si>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</si>
  <si>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</si>
  <si>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</si>
  <si>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</si>
  <si>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</si>
  <si>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</si>
  <si>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</si>
  <si>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</si>
  <si>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</si>
  <si>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</si>
  <si>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</si>
  <si>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</si>
  <si>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</si>
  <si>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</si>
  <si>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</si>
  <si>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</si>
  <si>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</si>
  <si>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</si>
  <si>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</si>
  <si>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</si>
  <si>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</si>
  <si>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</si>
  <si>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</si>
  <si>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</si>
  <si>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</si>
  <si>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</si>
  <si>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</si>
  <si>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</si>
  <si>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</si>
  <si>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</si>
  <si>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</si>
  <si>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</si>
  <si>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</si>
  <si>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</si>
  <si>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</si>
  <si>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</si>
  <si>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</si>
  <si>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</si>
  <si>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</si>
  <si>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</si>
  <si>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</si>
  <si>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</si>
  <si>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</si>
  <si>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</si>
  <si>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</si>
  <si>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</si>
  <si>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</si>
  <si>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</si>
  <si>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</si>
  <si>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</si>
  <si>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</si>
  <si>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</si>
  <si>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</si>
  <si>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</si>
  <si>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</si>
  <si>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</si>
  <si>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</si>
  <si>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</si>
  <si>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</si>
  <si>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</si>
  <si>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</si>
  <si>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</si>
  <si>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</si>
  <si>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</si>
  <si>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</si>
  <si>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</si>
  <si>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</si>
  <si>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</si>
  <si>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</si>
  <si>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</si>
  <si>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</si>
  <si>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</si>
  <si>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</si>
  <si>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</si>
  <si>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</si>
  <si>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</si>
  <si>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</si>
  <si>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</si>
  <si>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</si>
  <si>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</si>
  <si>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</si>
  <si>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</si>
  <si>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</si>
  <si>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</si>
  <si>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</si>
  <si>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</si>
  <si>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</si>
  <si>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</si>
  <si>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</si>
  <si>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</si>
  <si>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</si>
  <si>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</si>
  <si>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</si>
  <si>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</si>
  <si>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</si>
  <si>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</si>
  <si>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</si>
  <si>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</si>
  <si>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</si>
  <si>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</si>
  <si>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</si>
  <si>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</si>
  <si>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</si>
  <si>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</si>
  <si>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</si>
  <si>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</si>
  <si>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</si>
  <si>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</si>
  <si>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</si>
  <si>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</si>
  <si>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</si>
  <si>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</si>
  <si>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</si>
  <si>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</si>
  <si>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</si>
  <si>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</si>
  <si>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</si>
  <si>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</si>
  <si>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</si>
  <si>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</si>
  <si>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</si>
  <si>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</si>
  <si>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</si>
  <si>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</si>
  <si>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</si>
  <si>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</si>
  <si>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</si>
  <si>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</si>
  <si>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</si>
  <si>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</si>
  <si>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</si>
  <si>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</si>
  <si>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</si>
  <si>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</si>
  <si>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</si>
  <si>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</si>
  <si>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</si>
  <si>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</si>
  <si>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</si>
  <si>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</si>
  <si>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</si>
  <si>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</si>
  <si>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</si>
  <si>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</si>
  <si>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</si>
  <si>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</si>
  <si>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</si>
  <si>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</si>
  <si>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</si>
  <si>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</si>
  <si>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</si>
  <si>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</si>
  <si>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</si>
  <si>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</si>
  <si>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</si>
  <si>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</si>
  <si>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</si>
  <si>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</si>
  <si>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</si>
  <si>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</si>
  <si>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</si>
  <si>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</si>
  <si>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</si>
  <si>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</si>
  <si>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</si>
  <si>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</si>
  <si>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</si>
  <si>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</si>
  <si>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</si>
  <si>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</si>
  <si>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</si>
  <si>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</si>
  <si>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</si>
  <si>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</si>
  <si>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</si>
  <si>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</si>
  <si>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</si>
  <si>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</si>
  <si>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</si>
  <si>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</si>
  <si>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</si>
  <si>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</si>
  <si>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</si>
  <si>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</si>
  <si>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</si>
  <si>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</si>
  <si>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</si>
  <si>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</si>
  <si>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</si>
  <si>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</si>
  <si>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</si>
  <si>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</si>
  <si>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</si>
  <si>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</si>
  <si>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</si>
  <si>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</si>
  <si>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</si>
  <si>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</si>
  <si>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</si>
  <si>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</si>
  <si>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</si>
  <si>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</si>
  <si>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</si>
  <si>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</si>
  <si>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</si>
  <si>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</si>
  <si>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</si>
  <si>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</si>
  <si>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</si>
  <si>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</si>
  <si>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</si>
  <si>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</si>
  <si>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</si>
  <si>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</si>
  <si>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</si>
  <si>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</si>
  <si>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</si>
  <si>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</si>
  <si>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</si>
  <si>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</si>
  <si>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</si>
  <si>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</si>
  <si>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</si>
  <si>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</si>
  <si>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</si>
  <si>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</si>
  <si>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</si>
  <si>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</si>
  <si>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</si>
  <si>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</si>
  <si>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</si>
  <si>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</si>
  <si>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</si>
  <si>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</si>
  <si>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</si>
  <si>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</si>
  <si>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</si>
  <si>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</si>
  <si>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</si>
  <si>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</si>
  <si>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</si>
  <si>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</si>
  <si>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</si>
  <si>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</si>
  <si>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</si>
  <si>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</si>
  <si>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</si>
  <si>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</si>
  <si>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</si>
  <si>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</si>
  <si>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</si>
  <si>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</si>
  <si>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</si>
  <si>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</si>
  <si>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</si>
  <si>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</si>
  <si>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</si>
  <si>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</si>
  <si>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</si>
  <si>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</si>
  <si>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</si>
  <si>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</si>
  <si>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</si>
  <si>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</si>
  <si>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</si>
  <si>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</si>
  <si>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</si>
  <si>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</si>
  <si>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</si>
  <si>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</si>
  <si>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</si>
  <si>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</si>
  <si>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</si>
  <si>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</si>
  <si>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</si>
  <si>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</si>
  <si>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</si>
  <si>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</si>
  <si>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</si>
  <si>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</si>
  <si>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</si>
  <si>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</si>
  <si>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</si>
  <si>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</si>
  <si>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</si>
  <si>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</si>
  <si>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</si>
  <si>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</si>
  <si>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</si>
  <si>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</si>
  <si>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</si>
  <si>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</si>
  <si>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</si>
  <si>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</si>
  <si>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</si>
  <si>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</si>
  <si>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</si>
  <si>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</si>
  <si>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</si>
  <si>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</si>
  <si>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</si>
  <si>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</si>
  <si>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</si>
  <si>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</si>
  <si>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</si>
  <si>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</si>
  <si>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</si>
  <si>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</si>
  <si>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</si>
  <si>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</si>
  <si>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</si>
  <si>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</si>
  <si>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</si>
  <si>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</si>
  <si>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</si>
  <si>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</si>
  <si>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</si>
  <si>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</si>
  <si>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</si>
  <si>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</si>
  <si>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</si>
  <si>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</si>
  <si>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</si>
  <si>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</si>
  <si>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</si>
  <si>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</si>
  <si>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</si>
  <si>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</si>
  <si>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</si>
  <si>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</si>
  <si>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</si>
  <si>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</si>
  <si>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</si>
  <si>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</si>
  <si>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</si>
  <si>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</si>
  <si>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</si>
  <si>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</si>
  <si>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</si>
  <si>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</si>
  <si>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</si>
  <si>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</si>
  <si>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</si>
  <si>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</si>
  <si>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</si>
  <si>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</si>
  <si>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</si>
  <si>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</si>
  <si>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</si>
  <si>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</si>
  <si>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</si>
  <si>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</si>
  <si>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</si>
  <si>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</si>
  <si>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</si>
  <si>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</si>
  <si>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</si>
  <si>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</si>
  <si>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</si>
  <si>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</si>
  <si>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</si>
  <si>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</si>
  <si>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</si>
  <si>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</si>
  <si>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</si>
  <si>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</si>
  <si>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</si>
  <si>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</si>
  <si>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</si>
  <si>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</si>
  <si>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</si>
  <si>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</si>
  <si>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</si>
  <si>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</si>
  <si>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</si>
  <si>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</si>
  <si>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</si>
  <si>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</si>
  <si>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</si>
  <si>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</si>
  <si>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</si>
  <si>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</si>
  <si>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</si>
  <si>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</si>
  <si>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</si>
  <si>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</si>
  <si>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</si>
  <si>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</si>
  <si>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</si>
  <si>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</si>
  <si>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</si>
  <si>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</si>
  <si>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</si>
  <si>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</si>
  <si>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</si>
  <si>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</si>
  <si>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</si>
  <si>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</si>
  <si>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</si>
  <si>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</si>
  <si>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</si>
  <si>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</si>
  <si>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</si>
  <si>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</si>
  <si>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</si>
  <si>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</si>
  <si>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</si>
  <si>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</si>
  <si>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</si>
  <si>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</si>
  <si>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</si>
  <si>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</si>
  <si>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</si>
  <si>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</si>
  <si>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</si>
  <si>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</si>
  <si>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</si>
  <si>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</si>
  <si>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</si>
  <si>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</si>
  <si>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</si>
  <si>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</si>
  <si>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</si>
  <si>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</si>
  <si>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</si>
  <si>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</si>
  <si>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</si>
  <si>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</si>
  <si>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</si>
  <si>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</si>
  <si>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</si>
  <si>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</si>
  <si>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</si>
  <si>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</si>
  <si>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</si>
  <si>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</si>
  <si>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</si>
  <si>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</si>
  <si>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</si>
  <si>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</si>
  <si>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</si>
  <si>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</si>
  <si>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</si>
  <si>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</si>
  <si>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</si>
  <si>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</si>
  <si>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</si>
  <si>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</si>
  <si>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</si>
  <si>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</si>
  <si>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</si>
  <si>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</si>
  <si>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</si>
  <si>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</si>
  <si>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</si>
  <si>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</si>
  <si>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</si>
  <si>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</si>
  <si>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</si>
  <si>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</si>
  <si>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</si>
  <si>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</si>
  <si>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</si>
  <si>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</si>
  <si>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</si>
  <si>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</si>
  <si>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</si>
  <si>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</si>
  <si>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</si>
  <si>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</si>
  <si>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</si>
  <si>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</si>
  <si>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</si>
  <si>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</si>
  <si>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</si>
  <si>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</si>
  <si>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</si>
  <si>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</si>
  <si>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</si>
  <si>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</si>
  <si>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</si>
  <si>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</si>
  <si>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</si>
  <si>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</si>
  <si>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</si>
  <si>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</si>
  <si>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</si>
  <si>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</si>
  <si>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</si>
  <si>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</si>
  <si>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</si>
  <si>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</si>
  <si>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</si>
  <si>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</si>
  <si>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</si>
  <si>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</si>
  <si>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</si>
  <si>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</si>
  <si>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</si>
  <si>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</si>
  <si>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</si>
  <si>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</si>
  <si>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</si>
  <si>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</si>
  <si>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</si>
  <si>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</si>
  <si>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</si>
  <si>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</si>
  <si>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</si>
  <si>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</si>
  <si>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</si>
  <si>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</si>
  <si>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</si>
  <si>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</si>
  <si>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</si>
  <si>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</si>
  <si>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</si>
  <si>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</si>
  <si>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</si>
  <si>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</si>
  <si>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</si>
  <si>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</si>
  <si>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</si>
  <si>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</si>
  <si>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</si>
  <si>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</si>
  <si>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</si>
  <si>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Namma Ooru Taxi</t>
  </si>
  <si>
    <t>VMtracker உடன் ஓட்டுங்கள்</t>
  </si>
  <si>
    <t>driver_access_download_driver_app</t>
  </si>
  <si>
    <t>SignUp Namma Ooru Taxi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</si>
  <si>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</si>
  <si>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</si>
  <si>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</si>
  <si>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</si>
  <si>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</si>
  <si>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</si>
  <si>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</si>
  <si>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</si>
  <si>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</si>
  <si>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</si>
  <si>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</si>
  <si>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</si>
  <si>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</si>
  <si>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</si>
  <si>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</si>
  <si>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</si>
  <si>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</si>
  <si>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</si>
  <si>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</si>
  <si>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</si>
  <si>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</si>
  <si>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</si>
  <si>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</si>
  <si>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Signup as a Driver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</si>
  <si>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</si>
  <si>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</si>
  <si>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</si>
  <si>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</si>
  <si>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</si>
  <si>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</si>
  <si>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</si>
  <si>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</si>
  <si>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</si>
  <si>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</si>
  <si>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</si>
  <si>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</si>
  <si>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</si>
  <si>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</si>
  <si>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</si>
  <si>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</si>
  <si>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</si>
  <si>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</si>
  <si>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</si>
  <si>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</si>
  <si>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</si>
  <si>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</si>
  <si>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</si>
  <si>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</si>
  <si>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</si>
  <si>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</si>
  <si>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</si>
  <si>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</si>
  <si>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</si>
  <si>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</si>
  <si>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</si>
  <si>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</si>
  <si>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</si>
  <si>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</si>
  <si>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</si>
  <si>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</si>
  <si>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</si>
  <si>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</si>
  <si>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</si>
  <si>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</si>
  <si>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</si>
  <si>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</si>
  <si>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</si>
  <si>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</si>
  <si>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</si>
  <si>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</si>
  <si>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</si>
  <si>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</si>
  <si>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</si>
  <si>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</si>
  <si>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</si>
  <si>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</si>
  <si>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</si>
  <si>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</si>
  <si>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</si>
  <si>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</si>
  <si>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</si>
  <si>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</si>
  <si>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</si>
  <si>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</si>
  <si>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</si>
  <si>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</si>
  <si>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</si>
  <si>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</si>
  <si>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</si>
  <si>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</si>
  <si>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</si>
  <si>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</si>
  <si>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</si>
  <si>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</si>
  <si>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</si>
  <si>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</si>
  <si>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</si>
  <si>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</si>
  <si>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</si>
  <si>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</si>
  <si>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</si>
  <si>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</si>
  <si>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</si>
  <si>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</si>
  <si>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</si>
  <si>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</si>
  <si>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</si>
  <si>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</si>
  <si>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</si>
  <si>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</si>
  <si>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</si>
  <si>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</si>
  <si>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</si>
  <si>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</si>
  <si>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</si>
  <si>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</si>
  <si>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</si>
  <si>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</si>
  <si>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</si>
  <si>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</si>
  <si>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</si>
  <si>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</si>
  <si>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</si>
  <si>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</si>
  <si>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</si>
  <si>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</si>
  <si>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</si>
  <si>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</si>
  <si>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</si>
  <si>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</si>
  <si>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</si>
  <si>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</si>
  <si>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</si>
  <si>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</si>
  <si>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</si>
  <si>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</si>
  <si>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</si>
  <si>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</si>
  <si>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</si>
  <si>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</si>
  <si>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</si>
  <si>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</si>
  <si>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</si>
  <si>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</si>
  <si>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</si>
  <si>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</si>
  <si>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</si>
  <si>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</si>
  <si>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</si>
  <si>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</si>
  <si>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</si>
  <si>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</si>
  <si>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</si>
  <si>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</si>
  <si>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</si>
  <si>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</si>
  <si>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</si>
  <si>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</si>
  <si>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</si>
  <si>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</si>
  <si>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</si>
  <si>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</si>
  <si>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</si>
  <si>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</si>
  <si>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</si>
  <si>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</si>
  <si>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</si>
  <si>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</si>
  <si>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</si>
  <si>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</si>
  <si>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</si>
  <si>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</si>
  <si>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</si>
  <si>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</si>
  <si>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</si>
  <si>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</si>
  <si>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</si>
  <si>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</si>
  <si>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</si>
  <si>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</si>
  <si>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</si>
  <si>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</si>
  <si>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</si>
  <si>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</si>
  <si>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</si>
  <si>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</si>
  <si>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</si>
  <si>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</si>
  <si>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</si>
  <si>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</si>
  <si>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</si>
  <si>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</si>
  <si>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</si>
  <si>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</si>
  <si>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</si>
  <si>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</si>
  <si>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</si>
  <si>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</si>
  <si>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</si>
  <si>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</si>
  <si>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</si>
  <si>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</si>
  <si>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</si>
  <si>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</si>
  <si>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</si>
  <si>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</si>
  <si>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</si>
  <si>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</si>
  <si>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</si>
  <si>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</si>
  <si>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</si>
  <si>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</si>
  <si>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</si>
  <si>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</si>
  <si>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</si>
  <si>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</si>
  <si>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</si>
  <si>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</si>
  <si>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</si>
  <si>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</si>
  <si>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</si>
  <si>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</si>
  <si>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</si>
  <si>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</si>
  <si>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</si>
  <si>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</si>
  <si>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</si>
  <si>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</si>
  <si>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</si>
  <si>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</si>
  <si>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</si>
  <si>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</si>
  <si>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</si>
  <si>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</si>
  <si>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</si>
  <si>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</si>
  <si>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</si>
  <si>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</si>
  <si>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</si>
  <si>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</si>
  <si>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</si>
  <si>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</si>
  <si>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</si>
  <si>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</si>
  <si>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</si>
  <si>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</si>
  <si>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</si>
  <si>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</si>
  <si>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</si>
  <si>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</si>
  <si>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</si>
  <si>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</si>
  <si>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</si>
  <si>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</si>
  <si>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</si>
  <si>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</si>
  <si>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</si>
  <si>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</si>
  <si>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</si>
  <si>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</si>
  <si>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</si>
  <si>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</si>
  <si>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</si>
  <si>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</si>
  <si>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</si>
  <si>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</si>
  <si>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</si>
  <si>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</si>
  <si>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</si>
  <si>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</si>
  <si>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</si>
  <si>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</si>
  <si>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</si>
  <si>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</si>
  <si>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</si>
  <si>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</si>
  <si>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</si>
  <si>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</si>
  <si>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</si>
  <si>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</si>
  <si>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</si>
  <si>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</si>
  <si>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</si>
  <si>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</si>
  <si>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</si>
  <si>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</si>
  <si>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</si>
  <si>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</si>
  <si>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</si>
  <si>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</si>
  <si>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</si>
  <si>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</si>
  <si>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</si>
  <si>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</si>
  <si>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</si>
  <si>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</si>
  <si>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</si>
  <si>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</si>
  <si>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</si>
  <si>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</si>
  <si>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</si>
  <si>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</si>
  <si>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</si>
  <si>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</si>
  <si>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</si>
  <si>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</si>
  <si>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</si>
  <si>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</si>
  <si>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</si>
  <si>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</si>
  <si>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</si>
  <si>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</si>
  <si>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</si>
  <si>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</si>
  <si>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</si>
  <si>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</si>
  <si>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</si>
  <si>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</si>
  <si>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</si>
  <si>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</si>
  <si>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</si>
  <si>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</si>
  <si>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</si>
  <si>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</si>
  <si>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</si>
  <si>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</si>
  <si>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</si>
  <si>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</si>
  <si>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</si>
  <si>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</si>
  <si>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</si>
  <si>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</si>
  <si>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</si>
  <si>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</si>
  <si>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</si>
  <si>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</si>
  <si>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</si>
  <si>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</si>
  <si>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</si>
  <si>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</si>
  <si>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</si>
  <si>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</si>
  <si>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</si>
  <si>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</si>
  <si>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</si>
  <si>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</si>
  <si>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</si>
  <si>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</si>
  <si>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</si>
  <si>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</si>
  <si>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</si>
  <si>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</si>
  <si>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</si>
  <si>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</si>
  <si>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</si>
  <si>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</si>
  <si>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</si>
  <si>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</si>
  <si>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</si>
  <si>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</si>
  <si>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</si>
  <si>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</si>
  <si>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</si>
  <si>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</si>
  <si>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</si>
  <si>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</si>
  <si>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</si>
  <si>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</si>
  <si>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</si>
  <si>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</si>
  <si>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</si>
  <si>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</si>
  <si>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</si>
  <si>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</si>
  <si>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</si>
  <si>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</si>
  <si>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</si>
  <si>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</si>
  <si>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</si>
  <si>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</si>
  <si>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</si>
  <si>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</si>
  <si>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</si>
  <si>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</si>
  <si>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</si>
  <si>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</si>
  <si>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</si>
  <si>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</si>
  <si>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</si>
  <si>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</si>
  <si>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</si>
  <si>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</si>
  <si>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</si>
  <si>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</si>
  <si>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</si>
  <si>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</si>
  <si>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</si>
  <si>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</si>
  <si>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</si>
  <si>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</si>
  <si>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</si>
  <si>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</si>
  <si>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</si>
  <si>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</si>
  <si>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</si>
  <si>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</si>
  <si>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</si>
  <si>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</si>
  <si>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</si>
  <si>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</si>
  <si>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</si>
  <si>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</si>
  <si>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</si>
  <si>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</si>
  <si>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</si>
  <si>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</si>
  <si>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</si>
  <si>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</si>
  <si>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</si>
  <si>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</si>
  <si>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</si>
  <si>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</si>
  <si>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</si>
  <si>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</si>
  <si>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</si>
  <si>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</si>
  <si>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</si>
  <si>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</si>
  <si>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</si>
  <si>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</si>
  <si>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</si>
  <si>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</si>
  <si>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</si>
  <si>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</si>
  <si>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</si>
  <si>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</si>
  <si>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</si>
  <si>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</si>
  <si>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</si>
  <si>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</si>
  <si>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</si>
  <si>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</si>
  <si>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</si>
  <si>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</si>
  <si>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</si>
  <si>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</si>
  <si>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</si>
  <si>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</si>
  <si>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</si>
  <si>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</si>
  <si>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</si>
  <si>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</si>
  <si>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</si>
  <si>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</si>
  <si>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</si>
  <si>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</si>
  <si>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</si>
  <si>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</si>
  <si>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</si>
  <si>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</si>
  <si>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</si>
  <si>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</si>
  <si>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</si>
  <si>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</si>
  <si>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</si>
  <si>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</si>
  <si>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</si>
  <si>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</si>
  <si>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</si>
  <si>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</si>
  <si>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</si>
  <si>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</si>
  <si>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</si>
  <si>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</si>
  <si>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</si>
  <si>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</si>
  <si>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</si>
  <si>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</si>
  <si>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</si>
  <si>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</si>
  <si>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</si>
  <si>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</si>
  <si>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</si>
  <si>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</si>
  <si>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</si>
  <si>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</si>
  <si>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</si>
  <si>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</si>
  <si>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</si>
  <si>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</si>
  <si>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</si>
  <si>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</si>
  <si>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</si>
  <si>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</si>
  <si>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</si>
  <si>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</si>
  <si>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</si>
  <si>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</si>
  <si>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</si>
  <si>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</si>
  <si>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</si>
  <si>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</si>
  <si>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</si>
  <si>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</si>
  <si>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</si>
  <si>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</si>
  <si>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</si>
  <si>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</si>
  <si>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</si>
  <si>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</si>
  <si>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</si>
  <si>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</si>
  <si>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</si>
  <si>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</si>
  <si>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</si>
  <si>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</si>
  <si>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</si>
  <si>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</si>
  <si>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</si>
  <si>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</si>
  <si>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</si>
  <si>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</si>
  <si>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</si>
  <si>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</si>
  <si>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</si>
  <si>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</si>
  <si>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</si>
  <si>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</si>
  <si>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</si>
  <si>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</si>
  <si>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</si>
  <si>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</si>
  <si>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</si>
  <si>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</si>
  <si>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</si>
  <si>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</si>
  <si>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</si>
  <si>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</si>
  <si>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</si>
  <si>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</si>
  <si>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</si>
  <si>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</si>
  <si>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</si>
  <si>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</si>
  <si>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</si>
  <si>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</si>
  <si>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</si>
  <si>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</si>
  <si>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</si>
  <si>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</si>
  <si>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</si>
  <si>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</si>
  <si>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</si>
  <si>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</si>
  <si>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</si>
  <si>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</si>
  <si>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</si>
  <si>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</si>
  <si>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</si>
  <si>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</si>
  <si>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</si>
  <si>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</si>
  <si>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</si>
  <si>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</si>
  <si>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</si>
  <si>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</si>
  <si>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</si>
  <si>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</si>
  <si>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</si>
  <si>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</si>
  <si>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</si>
  <si>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</si>
  <si>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</si>
  <si>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</si>
  <si>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</si>
  <si>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</si>
  <si>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</si>
  <si>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</si>
  <si>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</si>
  <si>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</si>
  <si>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</si>
  <si>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</si>
  <si>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</si>
  <si>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</si>
  <si>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</si>
  <si>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</si>
  <si>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</si>
  <si>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</si>
  <si>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</si>
  <si>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</si>
  <si>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</si>
  <si>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</si>
  <si>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</si>
  <si>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</si>
  <si>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</si>
  <si>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</si>
  <si>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</si>
  <si>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</si>
  <si>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</si>
  <si>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</si>
  <si>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</si>
  <si>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</si>
  <si>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</si>
  <si>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</si>
  <si>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</si>
  <si>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</si>
  <si>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</si>
  <si>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</si>
  <si>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</si>
  <si>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</si>
  <si>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</si>
  <si>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</si>
  <si>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</si>
  <si>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</si>
  <si>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</si>
  <si>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</si>
  <si>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</si>
  <si>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</si>
  <si>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</si>
  <si>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</si>
  <si>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</si>
  <si>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</si>
  <si>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</si>
  <si>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</si>
  <si>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</si>
  <si>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</si>
  <si>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</si>
  <si>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</si>
  <si>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</si>
  <si>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</si>
  <si>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</si>
  <si>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</si>
  <si>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</si>
  <si>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</si>
  <si>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</si>
  <si>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</si>
  <si>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</si>
  <si>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</si>
  <si>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</si>
  <si>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</si>
  <si>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</si>
  <si>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</si>
  <si>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</si>
  <si>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</si>
  <si>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</si>
  <si>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</si>
  <si>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</si>
  <si>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</si>
  <si>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</si>
  <si>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</si>
  <si>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</si>
  <si>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</si>
  <si>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</si>
  <si>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</si>
  <si>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</si>
  <si>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</si>
  <si>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</si>
  <si>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</si>
  <si>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</si>
  <si>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</si>
  <si>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</si>
  <si>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</si>
  <si>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</si>
  <si>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</si>
  <si>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</si>
  <si>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</si>
  <si>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</si>
  <si>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</si>
  <si>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</si>
  <si>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</si>
  <si>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</si>
  <si>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</si>
  <si>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</si>
  <si>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</si>
  <si>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</si>
  <si>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</si>
  <si>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</si>
  <si>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</si>
  <si>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</si>
  <si>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</si>
  <si>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</si>
  <si>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</si>
  <si>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</si>
  <si>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</si>
  <si>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</si>
  <si>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</si>
  <si>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</si>
  <si>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</si>
  <si>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</si>
  <si>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</si>
  <si>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</si>
  <si>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</si>
  <si>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</si>
  <si>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</si>
  <si>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</si>
  <si>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</si>
  <si>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</si>
  <si>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</si>
  <si>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</si>
  <si>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</si>
  <si>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</si>
  <si>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</si>
  <si>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</si>
  <si>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</si>
  <si>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</si>
  <si>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</si>
  <si>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</si>
  <si>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</si>
  <si>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</si>
  <si>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</si>
  <si>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</si>
  <si>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</si>
  <si>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</si>
  <si>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</si>
  <si>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</si>
  <si>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</si>
  <si>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</si>
  <si>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</si>
  <si>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</si>
  <si>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</si>
  <si>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</si>
  <si>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</si>
  <si>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</si>
  <si>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</si>
  <si>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</si>
  <si>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</si>
  <si>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</si>
  <si>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</si>
  <si>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</si>
  <si>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</si>
  <si>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</si>
  <si>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</si>
  <si>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</si>
  <si>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</si>
  <si>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</si>
  <si>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</si>
  <si>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</si>
  <si>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</si>
  <si>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</si>
  <si>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</si>
  <si>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</si>
  <si>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</si>
  <si>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</si>
  <si>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</si>
  <si>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</si>
  <si>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</si>
  <si>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</si>
  <si>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</si>
  <si>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</si>
  <si>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</si>
  <si>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</si>
  <si>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</si>
  <si>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</si>
  <si>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</si>
  <si>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</si>
  <si>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</si>
  <si>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</si>
  <si>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</si>
  <si>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</si>
  <si>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</si>
  <si>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</si>
  <si>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</si>
  <si>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</si>
  <si>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</si>
  <si>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</si>
  <si>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</si>
  <si>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</si>
  <si>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</si>
  <si>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</si>
  <si>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</si>
  <si>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</si>
  <si>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</si>
  <si>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</si>
  <si>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</si>
  <si>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</si>
  <si>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</si>
  <si>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</si>
  <si>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</si>
  <si>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</si>
  <si>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</si>
  <si>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</si>
  <si>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</si>
  <si>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</si>
  <si>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</si>
  <si>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</si>
  <si>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</si>
  <si>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</si>
  <si>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</si>
  <si>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</si>
  <si>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</si>
  <si>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</si>
  <si>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</si>
  <si>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</si>
  <si>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</si>
  <si>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</si>
  <si>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</si>
  <si>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</si>
  <si>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</si>
  <si>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</si>
  <si>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</si>
  <si>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</si>
  <si>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</si>
  <si>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</si>
  <si>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</si>
  <si>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</si>
  <si>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</si>
  <si>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</si>
  <si>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</si>
  <si>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</si>
  <si>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</si>
  <si>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</si>
  <si>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</si>
  <si>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</si>
  <si>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</si>
  <si>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</si>
  <si>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</si>
  <si>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</si>
  <si>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</si>
  <si>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</si>
  <si>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</si>
  <si>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</si>
  <si>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</si>
  <si>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</si>
  <si>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</si>
  <si>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</si>
  <si>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</si>
  <si>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</si>
  <si>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</si>
  <si>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</si>
  <si>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</si>
  <si>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</si>
  <si>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</si>
  <si>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</si>
  <si>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</si>
  <si>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</si>
  <si>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</si>
  <si>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</si>
  <si>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</si>
  <si>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</si>
  <si>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</si>
  <si>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</si>
  <si>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</si>
  <si>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</si>
  <si>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</si>
  <si>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</si>
  <si>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</si>
  <si>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</si>
  <si>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</si>
  <si>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</si>
  <si>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</si>
  <si>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</si>
  <si>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</si>
  <si>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</si>
  <si>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</si>
  <si>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</si>
  <si>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</si>
  <si>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</si>
  <si>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</si>
  <si>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</si>
  <si>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</si>
  <si>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</si>
  <si>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</si>
  <si>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</si>
  <si>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</si>
  <si>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</si>
  <si>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</si>
  <si>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</si>
  <si>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</si>
  <si>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</si>
  <si>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</si>
  <si>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</si>
  <si>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</si>
  <si>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</si>
  <si>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</si>
  <si>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</si>
  <si>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</si>
  <si>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</si>
  <si>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</si>
  <si>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</si>
  <si>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</si>
  <si>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</si>
  <si>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</si>
  <si>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</si>
  <si>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</si>
  <si>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</si>
  <si>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</si>
  <si>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</si>
  <si>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</si>
  <si>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</si>
  <si>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</si>
  <si>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</si>
  <si>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</si>
  <si>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</si>
  <si>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</si>
  <si>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</si>
  <si>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</si>
  <si>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</si>
  <si>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</si>
  <si>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</si>
  <si>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</si>
  <si>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</si>
  <si>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</si>
  <si>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</si>
  <si>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</si>
  <si>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</si>
  <si>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</si>
  <si>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</si>
  <si>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</si>
  <si>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</si>
  <si>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</si>
  <si>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</si>
  <si>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</si>
  <si>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</si>
  <si>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</si>
  <si>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</si>
  <si>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</si>
  <si>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</si>
  <si>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</si>
  <si>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</si>
  <si>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</si>
  <si>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</si>
  <si>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</si>
  <si>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</si>
  <si>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</si>
  <si>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</si>
  <si>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</si>
  <si>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</si>
  <si>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</si>
  <si>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</si>
  <si>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</si>
  <si>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</si>
  <si>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</si>
  <si>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</si>
  <si>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</si>
  <si>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</si>
  <si>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</si>
  <si>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</si>
  <si>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</si>
  <si>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</si>
  <si>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</si>
  <si>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</si>
  <si>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</si>
  <si>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</si>
  <si>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</si>
  <si>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</si>
  <si>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</si>
  <si>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</si>
  <si>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</si>
  <si>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</si>
  <si>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</si>
  <si>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</si>
  <si>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</si>
  <si>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</si>
  <si>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</si>
  <si>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</si>
  <si>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</si>
  <si>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</si>
  <si>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</si>
  <si>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</si>
  <si>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</si>
  <si>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</si>
  <si>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</si>
  <si>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</si>
  <si>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</si>
  <si>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</si>
  <si>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</si>
  <si>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</si>
  <si>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</si>
  <si>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</si>
  <si>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</si>
  <si>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</si>
  <si>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</si>
  <si>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</si>
  <si>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</si>
  <si>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</si>
  <si>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</si>
  <si>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</si>
  <si>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</si>
  <si>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</si>
  <si>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</si>
  <si>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</si>
  <si>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</si>
  <si>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</si>
  <si>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</si>
  <si>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</si>
  <si>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</si>
  <si>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</si>
  <si>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</si>
  <si>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</si>
  <si>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</si>
  <si>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</si>
  <si>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</si>
  <si>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</si>
  <si>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</si>
  <si>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</si>
  <si>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</si>
  <si>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</si>
  <si>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</si>
  <si>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</si>
  <si>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</si>
  <si>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</si>
  <si>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</si>
  <si>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</si>
  <si>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</si>
  <si>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</si>
  <si>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</si>
  <si>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</si>
  <si>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</si>
  <si>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</si>
  <si>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</si>
  <si>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</si>
  <si>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</si>
  <si>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</si>
  <si>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</si>
  <si>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</si>
  <si>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</si>
  <si>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</si>
  <si>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</si>
  <si>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</si>
  <si>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</si>
  <si>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</si>
  <si>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</si>
  <si>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</si>
  <si>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</si>
  <si>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</si>
  <si>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</si>
  <si>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</si>
  <si>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</si>
  <si>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</si>
  <si>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</si>
  <si>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</si>
  <si>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</si>
  <si>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</si>
  <si>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</si>
  <si>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</si>
  <si>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</si>
  <si>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</si>
  <si>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</si>
  <si>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</si>
  <si>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</si>
  <si>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</si>
  <si>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</si>
  <si>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</si>
  <si>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</si>
  <si>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</si>
  <si>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</si>
  <si>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</si>
  <si>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</si>
  <si>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</si>
  <si>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</si>
  <si>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</si>
  <si>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</si>
  <si>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</si>
  <si>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</si>
  <si>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</si>
  <si>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</si>
  <si>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</si>
  <si>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</si>
  <si>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</si>
  <si>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</si>
  <si>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</si>
  <si>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</si>
  <si>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</si>
  <si>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</si>
  <si>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</si>
  <si>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</si>
  <si>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</si>
  <si>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</si>
  <si>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</si>
  <si>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</si>
  <si>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</si>
  <si>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</si>
  <si>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</si>
  <si>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</si>
  <si>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</si>
  <si>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</si>
  <si>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</si>
  <si>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</si>
  <si>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</si>
  <si>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</si>
  <si>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</si>
  <si>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</si>
  <si>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</si>
  <si>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</si>
  <si>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</si>
  <si>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</si>
  <si>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</si>
  <si>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</si>
  <si>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</si>
  <si>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</si>
  <si>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</si>
  <si>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</si>
  <si>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</si>
  <si>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</si>
  <si>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</si>
  <si>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</si>
  <si>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</si>
  <si>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</si>
  <si>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</si>
  <si>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</si>
  <si>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</si>
  <si>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</si>
  <si>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</si>
  <si>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</si>
  <si>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</si>
  <si>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</si>
  <si>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</si>
  <si>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</si>
  <si>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</si>
  <si>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</si>
  <si>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</si>
  <si>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</si>
  <si>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</si>
  <si>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</si>
  <si>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</si>
  <si>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</si>
  <si>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</si>
  <si>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</si>
  <si>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</si>
  <si>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</si>
  <si>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</si>
  <si>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</si>
  <si>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</si>
  <si>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</si>
  <si>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</si>
  <si>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</si>
  <si>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</si>
  <si>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</si>
  <si>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</si>
  <si>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</si>
  <si>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</si>
  <si>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</si>
  <si>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</si>
  <si>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</si>
  <si>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</si>
  <si>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</si>
  <si>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</si>
  <si>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</si>
  <si>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</si>
  <si>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</si>
  <si>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</si>
  <si>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</si>
  <si>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</si>
  <si>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</si>
  <si>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</si>
  <si>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</si>
  <si>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</si>
  <si>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</si>
  <si>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</si>
  <si>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</si>
  <si>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</si>
  <si>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</si>
  <si>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</si>
  <si>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</si>
  <si>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</si>
  <si>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</si>
  <si>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</si>
  <si>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</si>
  <si>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</si>
  <si>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</si>
  <si>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</si>
  <si>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</si>
  <si>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</si>
  <si>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</si>
  <si>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</si>
  <si>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</si>
  <si>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</si>
  <si>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</si>
  <si>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</si>
  <si>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</si>
  <si>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</si>
  <si>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</si>
  <si>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</si>
  <si>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</si>
  <si>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</si>
  <si>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</si>
  <si>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</si>
  <si>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</si>
  <si>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</si>
  <si>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</si>
  <si>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</si>
  <si>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</si>
  <si>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</si>
  <si>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</si>
  <si>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</si>
  <si>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</si>
  <si>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</si>
  <si>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</si>
  <si>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</si>
  <si>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</si>
  <si>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</si>
  <si>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</si>
  <si>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</si>
  <si>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</si>
  <si>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</si>
  <si>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</si>
  <si>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</si>
  <si>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</si>
  <si>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</si>
  <si>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</si>
  <si>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</si>
  <si>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</si>
  <si>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</si>
  <si>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</si>
  <si>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</si>
  <si>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</si>
  <si>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</si>
  <si>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</si>
  <si>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</si>
  <si>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</si>
  <si>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</si>
  <si>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</si>
  <si>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</si>
  <si>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</si>
  <si>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</si>
  <si>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</si>
  <si>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</si>
  <si>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</si>
  <si>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</si>
  <si>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</si>
  <si>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</si>
  <si>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</si>
  <si>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</si>
  <si>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</si>
  <si>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</si>
  <si>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</si>
  <si>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</si>
  <si>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</si>
  <si>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</si>
  <si>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</si>
  <si>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</si>
  <si>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</si>
  <si>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</si>
  <si>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</si>
  <si>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</si>
  <si>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</si>
  <si>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</si>
  <si>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</si>
  <si>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</si>
  <si>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</si>
  <si>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</si>
  <si>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</si>
  <si>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</si>
  <si>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</si>
  <si>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</si>
  <si>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</si>
  <si>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</si>
  <si>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</si>
  <si>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</si>
  <si>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</si>
  <si>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</si>
  <si>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</si>
  <si>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</si>
  <si>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</si>
  <si>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</si>
  <si>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</si>
  <si>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</si>
  <si>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</si>
  <si>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</si>
  <si>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</si>
  <si>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</si>
  <si>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</si>
  <si>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</si>
  <si>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</si>
  <si>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</si>
  <si>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</si>
  <si>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</si>
  <si>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</si>
  <si>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</si>
  <si>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</si>
  <si>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</si>
  <si>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</si>
  <si>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</si>
  <si>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</si>
  <si>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</si>
  <si>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</si>
  <si>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</si>
  <si>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</si>
  <si>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</si>
  <si>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</si>
  <si>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</si>
  <si>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</si>
  <si>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</si>
  <si>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</si>
  <si>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</si>
  <si>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</si>
  <si>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</si>
  <si>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</si>
  <si>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</si>
  <si>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</si>
  <si>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</si>
  <si>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</si>
  <si>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</si>
  <si>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</si>
  <si>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</si>
  <si>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</si>
  <si>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</si>
  <si>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</si>
  <si>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</si>
  <si>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</si>
  <si>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</si>
  <si>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</si>
  <si>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</si>
  <si>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</si>
  <si>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</si>
  <si>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</si>
  <si>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</si>
  <si>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</si>
  <si>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</si>
  <si>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</si>
  <si>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</si>
  <si>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</si>
  <si>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</si>
  <si>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</si>
  <si>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</si>
  <si>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</si>
  <si>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</si>
  <si>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</si>
  <si>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</si>
  <si>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</si>
  <si>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</si>
  <si>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</si>
  <si>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</si>
  <si>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</si>
  <si>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</si>
  <si>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</si>
  <si>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</si>
  <si>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</si>
  <si>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</si>
  <si>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</si>
  <si>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</si>
  <si>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</si>
  <si>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</si>
  <si>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</si>
  <si>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</si>
  <si>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</si>
  <si>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</si>
  <si>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</si>
  <si>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</si>
  <si>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</si>
  <si>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</si>
  <si>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</si>
  <si>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</si>
  <si>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</si>
  <si>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</si>
  <si>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</si>
  <si>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</si>
  <si>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</si>
  <si>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</si>
  <si>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</si>
  <si>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</si>
  <si>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</si>
  <si>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</si>
  <si>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</si>
  <si>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</si>
  <si>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</si>
  <si>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</si>
  <si>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</si>
  <si>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</si>
  <si>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</si>
  <si>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</si>
  <si>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</si>
  <si>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</si>
  <si>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</si>
  <si>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</si>
  <si>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</si>
  <si>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</si>
  <si>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</si>
  <si>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</si>
  <si>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</si>
  <si>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</si>
  <si>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</si>
  <si>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</si>
  <si>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</si>
  <si>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</si>
  <si>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</si>
  <si>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</si>
  <si>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</si>
  <si>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</si>
  <si>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</si>
  <si>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</si>
  <si>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</si>
  <si>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</si>
  <si>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</si>
  <si>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</si>
  <si>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</si>
  <si>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</si>
  <si>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</si>
  <si>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</si>
  <si>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</si>
  <si>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</si>
  <si>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</si>
  <si>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</si>
  <si>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</si>
  <si>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</si>
  <si>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</si>
  <si>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</si>
  <si>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</si>
  <si>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</si>
  <si>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</si>
  <si>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</si>
  <si>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</si>
  <si>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</si>
  <si>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</si>
  <si>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</si>
  <si>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</si>
  <si>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</si>
  <si>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</si>
  <si>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</si>
  <si>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</si>
  <si>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</si>
  <si>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</si>
  <si>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</si>
  <si>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</si>
  <si>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</si>
  <si>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</si>
  <si>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</si>
  <si>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</si>
  <si>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</si>
  <si>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</si>
  <si>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</si>
  <si>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</si>
  <si>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</si>
  <si>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</si>
  <si>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</si>
  <si>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</si>
  <si>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</si>
  <si>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</si>
  <si>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</si>
  <si>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</si>
  <si>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</si>
  <si>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</si>
  <si>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</si>
  <si>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</si>
  <si>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</si>
  <si>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</si>
  <si>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</si>
  <si>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</si>
  <si>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</si>
  <si>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</si>
  <si>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</si>
  <si>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</si>
  <si>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</si>
  <si>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</si>
  <si>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</si>
  <si>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</si>
  <si>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</si>
  <si>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</si>
  <si>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</si>
  <si>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</si>
  <si>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</si>
  <si>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</si>
  <si>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</si>
  <si>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</si>
  <si>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</si>
  <si>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</si>
  <si>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</si>
  <si>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</si>
  <si>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</si>
  <si>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</si>
  <si>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</si>
  <si>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</si>
  <si>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</si>
  <si>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</si>
  <si>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</si>
  <si>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</si>
  <si>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</si>
  <si>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</si>
  <si>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</si>
  <si>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</si>
  <si>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</si>
  <si>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</si>
  <si>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</si>
  <si>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</si>
  <si>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</si>
  <si>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</si>
  <si>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</si>
  <si>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</si>
  <si>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</si>
  <si>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</si>
  <si>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</si>
  <si>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</si>
  <si>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</si>
  <si>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</si>
  <si>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</si>
  <si>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</si>
  <si>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</si>
  <si>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</si>
  <si>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</si>
  <si>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</si>
  <si>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</si>
  <si>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</si>
  <si>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</si>
  <si>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</si>
  <si>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</si>
  <si>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</si>
  <si>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</si>
  <si>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</si>
  <si>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</si>
  <si>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</si>
  <si>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</si>
  <si>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</si>
  <si>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</si>
  <si>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</si>
  <si>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</si>
  <si>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</si>
  <si>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</si>
  <si>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</si>
  <si>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</si>
  <si>
    <t>maximum_wait_time</t>
  </si>
  <si>
    <t>Maximum wait time is {maxwaitingTime} minutes</t>
  </si>
  <si>
    <t>cancel_trip_warning_title</t>
  </si>
  <si>
    <t>cancel_trip_warning_message</t>
  </si>
  <si>
    <t>Are you sure you want to cancel this trip? A cancellation penalty may apply.</t>
  </si>
  <si>
    <t>cancel_anyway</t>
  </si>
  <si>
    <t>Cancel anyway</t>
  </si>
  <si>
    <t>driver_access_ios_alert_title</t>
  </si>
  <si>
    <t>Driver App on iOS</t>
  </si>
  <si>
    <t>driver_access_ios_alert_message</t>
  </si>
  <si>
    <t>The Namma Ooru Taxi Driver App is not available on iOS at the moment. Please use an Android device to access the Driver App</t>
  </si>
  <si>
    <t>Sign_Up_to_Become_a_Driver</t>
  </si>
  <si>
    <t>Sign Up to Become a Driver</t>
  </si>
  <si>
    <t>refer_your_friends</t>
  </si>
  <si>
    <t>Refer Your Friends</t>
  </si>
  <si>
    <t>verify_customer_to_start_trip</t>
  </si>
  <si>
    <t>Verify customer to start trip</t>
  </si>
  <si>
    <t>vehicle_approval</t>
  </si>
  <si>
    <t>Vehicle Approval</t>
  </si>
  <si>
    <t>vehicle_approval_desc</t>
  </si>
  <si>
    <t>vehicle_approval_desc_info</t>
  </si>
  <si>
    <t>vehicle_blocked</t>
  </si>
  <si>
    <t>Your vehicle has been blocked due to some reasons.</t>
  </si>
  <si>
    <t>vehicle_deleted</t>
  </si>
  <si>
    <t>Your vehicle has been deleted.</t>
  </si>
  <si>
    <t>vehicle_approval_info</t>
  </si>
  <si>
    <t>Your vehicle is still under approval.</t>
  </si>
  <si>
    <t>ride_cancelled_by_driver</t>
  </si>
  <si>
    <t>Ride Cancelled By Driver</t>
  </si>
  <si>
    <t>ride_cancelled_by_passenger</t>
  </si>
  <si>
    <t>Ride Cancelled By Passenger</t>
  </si>
  <si>
    <t>refresh_to_get_driver_details</t>
  </si>
  <si>
    <t>Refresh to get driver details</t>
  </si>
  <si>
    <t>driver_access_logout_confirm_title</t>
  </si>
  <si>
    <t>Confirm Driver Login</t>
  </si>
  <si>
    <t>driver_access_logout_confirm_message</t>
  </si>
  <si>
    <t>We'll log you out of the customer app so you can sign in as a driver. Continue?</t>
  </si>
  <si>
    <t>driver_access_logout_confirm_cancel_button</t>
  </si>
  <si>
    <t>Stay in Customer App</t>
  </si>
  <si>
    <t>driver_access_logout_confirm_confirm_button</t>
  </si>
  <si>
    <t>Yes, Log Out</t>
  </si>
  <si>
    <t>session_expired</t>
  </si>
  <si>
    <t>Session Expired</t>
  </si>
  <si>
    <t>session_expired_message</t>
  </si>
  <si>
    <t>Your session has expired. Please log in again.</t>
  </si>
  <si>
    <t>are_you_sure</t>
  </si>
  <si>
    <t>Are You Sure To Logout ?</t>
  </si>
  <si>
    <t>are_you_sure_logout</t>
  </si>
  <si>
    <t>Are you sure you want to logout from this vehicle? You must login to another available vehicle to take trips.</t>
  </si>
  <si>
    <t>payments</t>
  </si>
  <si>
    <t>Payments</t>
  </si>
  <si>
    <t>collected_by_driver</t>
  </si>
  <si>
    <t>Collected By Driver</t>
  </si>
  <si>
    <t>sent_to_vendor</t>
  </si>
  <si>
    <t>Sent To Vendor</t>
  </si>
  <si>
    <t>no_work_history_found</t>
  </si>
  <si>
    <t>No Work History Found</t>
  </si>
  <si>
    <t>active_days</t>
  </si>
  <si>
    <t>Active Days</t>
  </si>
  <si>
    <t>select_date</t>
  </si>
  <si>
    <t>Select Date</t>
  </si>
  <si>
    <t>become_an</t>
  </si>
  <si>
    <t>Become an</t>
  </si>
  <si>
    <t>acting_driver</t>
  </si>
  <si>
    <t>Acting Driver</t>
  </si>
  <si>
    <t>ஆக்டிங் டிரைவர்</t>
  </si>
  <si>
    <t>and_drive_any_vehicle</t>
  </si>
  <si>
    <t>and drive any vehicle</t>
  </si>
  <si>
    <t>acting_driver_login</t>
  </si>
  <si>
    <t>Acting Driver Login</t>
  </si>
  <si>
    <t>driving_experience</t>
  </si>
  <si>
    <t>Driving Experience</t>
  </si>
  <si>
    <t>total_driving_experience</t>
  </si>
  <si>
    <t>Total Driving Experience</t>
  </si>
  <si>
    <t>commercial_driving_experience</t>
  </si>
  <si>
    <t>Commercial Driving Experience</t>
  </si>
  <si>
    <t>ride_hailing_experience</t>
  </si>
  <si>
    <t>Ride-hailing Platform Experience</t>
  </si>
  <si>
    <t>platforms_worked_with</t>
  </si>
  <si>
    <t>Platforms Worked With</t>
  </si>
  <si>
    <t>approx_completed_trips</t>
  </si>
  <si>
    <t>Approx Completed Trips</t>
  </si>
  <si>
    <t>driver_rating_range</t>
  </si>
  <si>
    <t>Driver Rating</t>
  </si>
  <si>
    <t>select_transmission</t>
  </si>
  <si>
    <t>Please select transmission type</t>
  </si>
  <si>
    <t>select_vehicle_type</t>
  </si>
  <si>
    <t>Please select at least one vehicle type</t>
  </si>
  <si>
    <t>vehicle_handling</t>
  </si>
  <si>
    <t>Vehicle Handling</t>
  </si>
  <si>
    <t>vehicle_types_driven</t>
  </si>
  <si>
    <t>Vehicle Types Driven</t>
  </si>
  <si>
    <t>select_all_that_apply</t>
  </si>
  <si>
    <t>Select all that apply</t>
  </si>
  <si>
    <t>transmission_type</t>
  </si>
  <si>
    <t>Transmission Type</t>
  </si>
  <si>
    <t>fuel_types_handled</t>
  </si>
  <si>
    <t>Fuel Types Handled</t>
  </si>
  <si>
    <t>night_driving_experience</t>
  </si>
  <si>
    <t>Night Driving Experience</t>
  </si>
  <si>
    <t>long_distance_experience</t>
  </si>
  <si>
    <t>Long-distance Trip Experience</t>
  </si>
  <si>
    <t>select_total_experience</t>
  </si>
  <si>
    <t>Please select your total driving experience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</si>
</sst>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
      <sz val="9.0"/>
      <color rgb="FF000000"/>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xf borderId="0" fillId="3" fontId="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செல்ல விரும்பும் இடத்தையும், அந்தப் பயணத்திற்கான நியாயமான விலையையும் கேளுங்கள்.")</f>
        <v>உங்கள் வாடிக்கையாளர்களிடம் பணிவாகப் பேசுங்கள். அவர்கள் செல்ல விரும்பும் இடத்தையும், அந்தப் பயணத்திற்கான நியாயமான விலையையும்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వినియోగదారులతో మర్యాదగా మాట్లాడండి. వారు వెళ్లాలనుకుంటున్న ప్రదేశం మరియు ఆ ప్రయాణానికి అయ్యే సరసమైన ధరను అడగండి.")</f>
        <v>మీ వినియోగదారులతో మర్యాదగా మాట్లాడండి. వారు వెళ్లాలనుకుంటున్న ప్రదేశం మరియు ఆ ప్రయాణానికి అయ్యే సరసమైన ధరను అడగండి.</v>
      </c>
    </row>
    <row r="3">
      <c r="A3" s="4" t="s">
        <v>9</v>
      </c>
      <c r="B3" s="5" t="s">
        <v>10</v>
      </c>
      <c r="C3" s="6" t="str">
        <f>IFERROR(__xludf.DUMMYFUNCTION("GOOGLETRANSLATE(B3, ""en"", ""ta"")"),"எங்கள் நம்ம ஊரு டாக்ஸி ® செயலி மூலமாகத்தான் அந்த நபர் அழைக்கிறாரா என்று நீங்கள் வாடிக்கையாளரிடம் கேட்கலாம்.")</f>
        <v>எங்கள் நம்ம ஊரு டாக்ஸி ® செயலி மூலமாகத்தான் அந்த நபர் அழைக்கிறாரா என்று நீங்கள்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""te"")"),"ఆ వ్యక్తి మా నమ్మ ఊరు టాక్సీ ® యాప్ ద్వారా కాల్ చేస్తున్నారా అని మీరు కస్టమర్‌ను అడగవచ్చు.")</f>
        <v>ఆ వ్యక్తి మా నమ్మ ఊరు టాక్సీ ® యాప్ ద్వారా కాల్ చేస్తున్నారా అని మీరు కస్టమర్‌ను అడగవచ్చు.</v>
      </c>
    </row>
    <row r="4">
      <c r="A4" s="4" t="s">
        <v>11</v>
      </c>
      <c r="B4" s="5" t="s">
        <v>12</v>
      </c>
      <c r="C4" s="6" t="str">
        <f>IFERROR(__xludf.DUMMYFUNCTION("GOOGLETRANSLATE(B4, ""en"", ""ta"")"),"பிக்கப் இருப்பிடத்தைப் பெற்றுத் தொடங்கவும்")</f>
        <v>பிக்கப் இருப்பிடத்தைப் பெற்றுத் தொடங்கவும்</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స్థానాన్ని పొందండి మరియు ప్రారంభించండి")</f>
        <v>పికప్ స్థానాన్ని పొందండి మరియు ప్రారంభించండి</v>
      </c>
    </row>
    <row r="5">
      <c r="A5" s="4" t="s">
        <v>13</v>
      </c>
      <c r="B5" s="5" t="s">
        <v>14</v>
      </c>
      <c r="C5" s="6" t="str">
        <f>IFERROR(__xludf.DUMMYFUNCTION("GOOGLETRANSLATE(B5, ""en"", ""ta"")"),"உங்கள் கட்டணத்தைப் பேசி முடிவு செய்து, பிக்-அப் இருப்பிடத்தை நம்ம ஊரு டாக்ஸி ® செயலியில் பகிருமாறு அவர்களிடம் கேளுங்கள். பிக்-அப் இருப்பிடத்தை அறிவிப்பின் மூலம் பெற்று, பயணத்தைத் தொடங்க அதை ஏற்றுக்கொள்ளுங்கள்.")</f>
        <v>உங்கள் கட்டணத்தைப் பேசி முடிவு செய்து, பிக்-அப் இருப்பிடத்தை நம்ம ஊரு டாக்ஸி ® செயலியில் பகிருமாறு அவர்களிடம் கேளுங்கள். பிக்-அப் இருப்பிடத்தை அறிவிப்பின் மூலம் பெற்று, பயணத்தைத் தொடங்க அதை ஏற்றுக்கொள்ளுங்கள்.</v>
      </c>
      <c r="D5" s="6" t="str">
        <f>IFERROR(__xludf.DUMMYFUNCTION("GOOGLETRANSLATE(B5, ""en"", ""hi"")"),"किराया तय कर लें और उनसे Namma Ooru Taxi ® ऐप के ज़रिए पिकअप लोकेशन शेयर करने के लिए कहें। नोटिफिकेशन के ज़रिए पिकअप लोकेशन मिलने पर उसे स्वीकार करके यात्रा शुरू करें।")</f>
        <v>किराया तय कर लें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 గురించి చర్చించి, నమ్మ ఊరు టాక్సీ ® యాప్‌లో పికప్ లొకేషన్‌ను పంచుకోమని వారిని అడగండి. నోటిఫికేషన్ ద్వారా పికప్ లొకేషన్‌ను స్వీకరించి, ప్రయాణాన్ని ప్రారంభించడానికి దానిని అంగీకరించండి.")</f>
        <v>మీ రేటు గురించి చర్చించి, నమ్మ ఊరు టాక్సీ ® యాప్‌లో పికప్ లొకేషన్‌ను పంచుకోమని వారిని అడగండి. నోటిఫికేషన్ ద్వారా పికప్ లొకేషన్‌ను స్వీకరించి, ప్రయాణాన్ని ప్రారంభించడానికి దానిని అంగీకరించండి.</v>
      </c>
    </row>
    <row r="6">
      <c r="A6" s="4" t="s">
        <v>15</v>
      </c>
      <c r="B6" s="5" t="s">
        <v>16</v>
      </c>
      <c r="C6" s="6" t="str">
        <f>IFERROR(__xludf.DUMMYFUNCTION("GOOGLETRANSLATE(B6, ""en"", ""ta"")"),"பயணத்தைத் தொடங்குவதற்கும் உறுதிப்படுத்துவதற்கும் வாடிக்கையாளரைத் தொடர்பு கொண்டீர்கள் என்பதை உறுதிப்படுத்திக் கொள்ளுங்கள்.")</f>
        <v>பயணத்தைத் தொடங்குவதற்கும் உறுதிப்படுத்துவதற்கும் வாடிக்கையாளரைத் தொடர்பு கொண்டீர்கள் என்பதை உறுதிப்படுத்திக் கொள்ளுங்கள்.</v>
      </c>
      <c r="D6" s="6" t="str">
        <f>IFERROR(__xludf.DUMMYFUNCTION("GOOGLETRANSLATE(B6, ""en"", ""hi"")"),"ग्राहक से संपर्क करके यात्रा की पुष्टि कर लें और यात्रा शुरू करें।")</f>
        <v>ग्राहक से संपर्क करके यात्रा की पुष्टि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""te"")"),"ధృవీకరణ కోసం మీరు కస్టమర్‌ను సంప్రదించి, ప్రయాణాన్ని ప్రారంభించారని నిర్ధారించుకోండి.")</f>
        <v>ధృవీకరణ కోసం మీరు కస్టమర్‌ను సంప్రదించి, ప్రయాణాన్ని ప్రారంభించారని నిర్ధారించుకోండి.</v>
      </c>
    </row>
    <row r="7">
      <c r="A7" s="4" t="s">
        <v>17</v>
      </c>
      <c r="B7" s="5" t="s">
        <v>18</v>
      </c>
      <c r="C7" s="6" t="str">
        <f>IFERROR(__xludf.DUMMYFUNCTION("GOOGLETRANSLATE(B7, ""en"", ""ta"")"),"வாடிக்கையாளரை அழைத்துச் செல்லவும்")</f>
        <v>வாடிக்கையாளரை அழைத்துச் செல்லவும்</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చేసుకోండి")</f>
        <v>కస్టమర్‌ను పికప్ చేసుకోండి</v>
      </c>
    </row>
    <row r="8">
      <c r="A8" s="4" t="s">
        <v>19</v>
      </c>
      <c r="B8" s="5" t="s">
        <v>20</v>
      </c>
      <c r="C8" s="6" t="str">
        <f>IFERROR(__xludf.DUMMYFUNCTION("GOOGLETRANSLATE(B8, ""en"", ""ta"")"),"வாடிக்கையாளரை சரியான நேரத்தில் அழைத்துச் செல்லவும். செயலியில் சேருமிடத்தை அமைத்து, செயலி வழிசெலுத்தலைத் தொடங்கவும்.")</f>
        <v>வாடிக்கையாளரை சரியான நேரத்தில் அழைத்துச் செல்லவும். செயலியில் சேருமிடத்தை அமைத்து, செயலி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గమ్యస్థానాన్ని సెట్ చేసి, యాప్ నావిగేషన్‌ను ప్రారంభించండి.")</f>
        <v>కస్టమర్‌ను సమయానికి పికప్ చేసుకోండి. యాప్‌లో గమ్యస్థానాన్ని సెట్ చేసి, యాప్ నావిగేషన్‌ను ప్రారంభించండి.</v>
      </c>
    </row>
    <row r="9">
      <c r="A9" s="4" t="s">
        <v>21</v>
      </c>
      <c r="B9" s="5" t="s">
        <v>22</v>
      </c>
      <c r="C9" s="6" t="str">
        <f>IFERROR(__xludf.DUMMYFUNCTION("GOOGLETRANSLATE(B9, ""en"", ""ta"")"),"மதிப்புரைகள் முக்கியமானவை")</f>
        <v>மதிப்புரைகள் முக்கியமானவை</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""ta"")"),"உங்கள் நிறுவனத்தின் மீதான ஈர்ப்பையும் ஈடுபாட்டையும் அதிகரிக்கக்கூடிய நல்ல வாடிக்கையாளர் விமர்சனங்களைப் பெற முயற்சி செய்யுங்கள். வாடிக்கையாளர் உங்கள் நடத்தை, கட்டண முறை மற்றும் வாகனத்தின் தூய்மை ஆகியவற்றை மதிப்பீடு செய்வார்.")</f>
        <v>உங்கள் நிறுவனத்தின் மீதான ஈர்ப்பையும் ஈடுபாட்டையும் அதிகரிக்கக்கூடிய நல்ல வாடிக்கையாளர் விமர்சனங்களைப் பெற முயற்சி செய்யுங்கள். வாடிக்கையாளர் உங்கள் நடத்தை, கட்டண முறை மற்றும் வாகனத்தின் தூய்மை ஆகியவற்றை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""te"")"),"కస్టమర్ల నుండి మంచి సమీక్షలు పొందేందుకు ప్రయత్నించండి, ఇది మీ పట్ల గుర్తింపును, నిబద్ధతను పెంచుతుంది. కస్టమర్ మీ ప్రవర్తనను, ఛార్జీని మరియు వాహనం యొక్క శుభ్రతను అంచనా వేస్తారు.")</f>
        <v>కస్టమర్ల నుండి మంచి సమీక్షలు పొందేందుకు ప్రయత్నించండి, ఇది మీ పట్ల గుర్తింపును, నిబద్ధతను పెంచుతుంది. కస్టమర్ మీ ప్రవర్తనను, ఛార్జీని మరియు వాహనం యొక్క శుభ్రతను అంచనా వేస్తారు.</v>
      </c>
    </row>
    <row r="11">
      <c r="A11" s="4" t="s">
        <v>25</v>
      </c>
      <c r="B11" s="5" t="s">
        <v>26</v>
      </c>
      <c r="C11" s="6" t="str">
        <f>IFERROR(__xludf.DUMMYFUNCTION("GOOGLETRANSLATE(B11, ""en"", ""ta"")"),"நம் வாடிக்கையாளர்கள் அழைக்கும்போது அவர்களை அடையாளம் கண்டு, அவர்களிடம் மரியாதையாகப் பேசுங்கள்.")</f>
        <v>நம் வாடிக்கையாளர்கள் அழைக்கும்போது அவர்களை அடையாளம் கண்டு, அவர்களிடம் மரியாதையாகப்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 వారితో మర్యాదగా మాట్లాడండి.")</f>
        <v>మా కస్టమర్‌లు కాల్ చేసినప్పుడు వారిని గుర్తించి, వారితో మర్యాదగా మాట్లాడండి.</v>
      </c>
    </row>
    <row r="12">
      <c r="A12" s="4" t="s">
        <v>27</v>
      </c>
      <c r="B12" s="5" t="s">
        <v>28</v>
      </c>
      <c r="C12" s="6" t="str">
        <f>IFERROR(__xludf.DUMMYFUNCTION("GOOGLETRANSLATE(B12, ""en"", ""ta"")"),"பயணத்தைத் தொடங்குவதற்கு அல்லது ரத்து செய்வதற்கு முன் வாடிக்கையாளரைத் தொடர்பு கொள்ளவும்.")</f>
        <v>பயணத்தைத் தொடங்குவதற்கு அல்லது ரத்து செய்வதற்கு முன் வாடிக்கையாளரைத் தொடர்பு கொள்ளவும்.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""te"")"),"ప్రయాణాన్ని ప్రారంభించే ముందు లేదా రద్దు చేసే ముందు కస్టమర్‌కు కాల్ చేయండి")</f>
        <v>ప్రయాణాన్ని ప్రారంభించే ముందు లేదా రద్దు చేసే ముందు కస్టమర్‌కు కాల్ చేయండి</v>
      </c>
    </row>
    <row r="13">
      <c r="A13" s="4" t="s">
        <v>29</v>
      </c>
      <c r="B13" s="5" t="s">
        <v>30</v>
      </c>
      <c r="C13" s="6" t="str">
        <f>IFERROR(__xludf.DUMMYFUNCTION("GOOGLETRANSLATE(B13, ""en"", ""ta"")"),"பயணத்திற்கான நியாயமான விலையைக் கேட்டு, உங்கள் வாடிக்கையாளர்களின் விருப்பமான ஓட்டுநராக ஆகுங்கள். விருப்பமான ஓட்டுநர்களுக்கு மற்றவர்களை விட அதிக முன்னுரிமை உண்டு.")</f>
        <v>பயணத்திற்கான நியாயமான விலையைக் கேட்டு, உங்கள் வாடிக்கையாளர்களின் விருப்பமான ஓட்டுநராக ஆகுங்கள். விருப்பமான ஓட்டுநர்களுக்கு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""te"")"),"ప్రయాణానికి సరసమైన ధరను అడిగి, మీ కస్టమర్లకు ఇష్టమైన డ్రైవర్‌గా అవ్వండి. ఇతరుల కంటే ఇష్టమైన డ్రైవర్లకు ఎక్కువ ప్రాధాన్యత ఉంటుంది.")</f>
        <v>ప్రయాణానికి సరసమైన ధరను అడిగి, మీ కస్టమర్లకు ఇష్టమైన డ్రైవర్‌గా అవ్వండి. ఇతరుల కంటే ఇష్టమైన డ్రైవర్లకు ఎక్కువ ప్రాధాన్యత ఉంటుంది.</v>
      </c>
    </row>
    <row r="14">
      <c r="A14" s="4" t="s">
        <v>31</v>
      </c>
      <c r="B14" s="5" t="s">
        <v>32</v>
      </c>
      <c r="C14" s="6" t="str">
        <f>IFERROR(__xludf.DUMMYFUNCTION("GOOGLETRANSLATE(B14, ""en"", ""ta"")"),"அதிக ஈடுபாட்டிற்கு மதிப்பீடுகளே திறவுகோல். நீங்கள் ஒரு நல்ல மதிப்பீட்டைப் பெறுவதை உறுதிப்படுத்திக் கொள்ளுங்கள்.")</f>
        <v>அதிக ஈடுபாட்டிற்கு மதிப்பீடுகளே திறவுகோல். நீங்கள் ஒரு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 కీలకం. మీరు మంచి రేటింగ్ పొందేలా చూసుకోండి.")</f>
        <v>మరింత నిబద్ధతకు రేటింగే కీలకం. మీరు మంచి రేటింగ్ పొందేలా చూసుకోండి.</v>
      </c>
    </row>
    <row r="15">
      <c r="A15" s="4" t="s">
        <v>33</v>
      </c>
      <c r="B15" s="5" t="s">
        <v>34</v>
      </c>
      <c r="C15" s="6" t="str">
        <f>IFERROR(__xludf.DUMMYFUNCTION("GOOGLETRANSLATE(B15, ""en"", ""ta"")"),"தெரிந்து கொள்ள வேண்டியவை")</f>
        <v>தெரிந்து கொள்ள வேண்டியவை</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உள்ள 'தொடங்கு' என்பதைத் தட்டுவதன் மூலம், நீங்கள் நம்ம ஊரு டாக்ஸிக்கு ஒப்புக்கொள்கிறீர்கள்.")</f>
        <v>கீழே உள்ள 'தொடங்கு' என்பதைத் தட்டுவதன் மூலம், நீங்கள் நம்ம ஊரு டாக்ஸிக்கு ஒப்புக்கொள்கிறீர்கள்.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""te"")"),"క్రింద ఉన్న 'ప్రారంభించండి' బటన్‌ను నొక్కడం ద్వారా, మీరు నమ్మ ఊరు టాక్సీకి అంగీకరిస్తున్నట్లు అవుతుంది.")</f>
        <v>క్రింద ఉన్న 'ప్రారంభించండి' బటన్‌ను నొక్కడం ద్వారా, మీరు నమ్మ ఊరు టాక్సీకి అంగీకరిస్తున్నట్లు అవుతుంది.</v>
      </c>
    </row>
    <row r="17">
      <c r="A17" s="4" t="s">
        <v>37</v>
      </c>
      <c r="B17" s="5" t="s">
        <v>38</v>
      </c>
      <c r="C17" s="6" t="str">
        <f>IFERROR(__xludf.DUMMYFUNCTION("GOOGLETRANSLATE(B17, ""en"", ""ta"")"),"தனியுரிமைக் கொள்கை மற்றும் மறுப்புரை")</f>
        <v>தனியுரிமைக் கொள்கை மற்றும் மறுப்புரை</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""ta"")"),"விதிமுறைகளையும் நிபந்தனைகளையும் ஏற்றுக்கொள்ளவும்")</f>
        <v>விதிமுறைகளையும் நிபந்தனைகளையும் ஏற்றுக்கொள்ளவும்</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""ta"")"),"தயவுசெய்து தொலைபேசி எண்ணை உள்ளிடவும்")</f>
        <v>தயவுசெய்து 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கொண்டிருக்க வேண்டும்.")</f>
        <v>தொலைபேசி எண் 10 இலக்கங்களைக் கொண்டிருக்க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10 అంకెలు ఉండాలి")</f>
        <v>ఫోన్ నంబర్ 10 అంకెలు ఉండాలి</v>
      </c>
    </row>
    <row r="22">
      <c r="A22" s="4" t="s">
        <v>47</v>
      </c>
      <c r="B22" s="5" t="s">
        <v>48</v>
      </c>
      <c r="C22" s="6" t="str">
        <f>IFERROR(__xludf.DUMMYFUNCTION("GOOGLETRANSLATE(B22, ""en"", ""ta"")"),"ஆதார் எண்ணை உள்ளிடவும்")</f>
        <v>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నంబర్‌ను నమోదు చేయండి")</f>
        <v>దయచేసి ఆధార్ నంబర్‌ను నమోదు చేయండి</v>
      </c>
    </row>
    <row r="23">
      <c r="A23" s="4" t="s">
        <v>49</v>
      </c>
      <c r="B23" s="5" t="s">
        <v>50</v>
      </c>
      <c r="C23" s="6" t="str">
        <f>IFERROR(__xludf.DUMMYFUNCTION("GOOGLETRANSLATE(B23, ""en"", ""ta"")"),"சரியான ஆதார் எண்ணை உள்ளிடவும்.")</f>
        <v>சரியான ஆதார் எண்ணை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పాన్ నంబర్‌ను నమోదు చేయండి")</f>
        <v>దయచేసి చెల్లుబాటు అయ్యే పాన్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""ta"")"),"சரியான உரிம எண்ணை (TN01 20110012345) உள்ளிடவும்.")</f>
        <v>சரியான உரிம எண்ணை (TN01 20110012345) உள்ளிடவும்.</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నంబర్‌ను (TN01 20110012345) నమోదు చేయండి.")</f>
        <v>దయచేసి చెల్లుబాటు అయ్యే లైసెన్స్ నంబర్‌ను (TN01 20110012345) నమోదు చేయండి.</v>
      </c>
    </row>
    <row r="28">
      <c r="A28" s="4" t="s">
        <v>61</v>
      </c>
      <c r="B28" s="5" t="s">
        <v>62</v>
      </c>
      <c r="C28" s="6" t="str">
        <f>IFERROR(__xludf.DUMMYFUNCTION("GOOGLETRANSLATE(B28, ""en"", ""ta"")"),"தயவுசெய்து ஓட்டுநர் இருப்பிடத்தை உள்ளிடவும்")</f>
        <v>தயவுசெய்து ஓட்டுநர்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அனுமதிகளை வழங்கவும்")</f>
        <v>இருப்பிட அனுமதிகளை வழங்கவும்</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చేయండి")</f>
        <v>రద్దు చేయండి</v>
      </c>
    </row>
    <row r="33">
      <c r="A33" s="4" t="s">
        <v>71</v>
      </c>
      <c r="B33" s="5" t="s">
        <v>72</v>
      </c>
      <c r="C33" s="6" t="str">
        <f>IFERROR(__xludf.DUMMYFUNCTION("GOOGLETRANSLATE(B33, ""en"", ""ta"")"),"தொடர, இருப்பிட அணுகலை அனுமதிக்கவும்.
தொடர்வதற்கு உங்கள் இருப்பிடம் தேவை.")</f>
        <v>தொடர, இருப்பிட அணுகலை அனுமதிக்கவும்.
தொடர்வதற்கு உங்கள் இருப்பிடம்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""te"")"),"కొనసాగించడానికి దయచేసి లొకేషన్ యాక్సెస్‌ను అనుమతించండి.
కొనసాగించడానికి మాకు మీ లొకేషన్ అవసరం.")</f>
        <v>కొనసాగించడానికి దయచేసి లొకేషన్ యాక్సెస్‌ను అనుమతించండి.
కొనసాగించడానికి మాకు మీ లొకేషన్ అవసరం.</v>
      </c>
    </row>
    <row r="34">
      <c r="A34" s="4" t="s">
        <v>73</v>
      </c>
      <c r="B34" s="5" t="s">
        <v>74</v>
      </c>
      <c r="C34" s="6" t="str">
        <f>IFERROR(__xludf.DUMMYFUNCTION("GOOGLETRANSLATE(B34, ""en"", ""ta"")"),"விருப்பமான பணி இடம்")</f>
        <v>விருப்பமான பணி இடம்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ప్రదేశం")</f>
        <v>ఇష్టపడే పని ప్రదేశం</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""ta"")"),"கோப்பு எண்")</f>
        <v>கோப்பு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సంఖ్య")</f>
        <v>లైసెన్స్ సంఖ్య</v>
      </c>
    </row>
    <row r="40">
      <c r="A40" s="4" t="s">
        <v>85</v>
      </c>
      <c r="B40" s="5" t="s">
        <v>86</v>
      </c>
      <c r="C40" s="6" t="str">
        <f>IFERROR(__xludf.DUMMYFUNCTION("GOOGLETRANSLATE(B40, ""en"", ""ta"")"),"சரியான ஆண்டை உள்ளிடவும்.")</f>
        <v>சரியான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నంబర్‌ను నమోదు చేయండి")</f>
        <v>దయచేసి రిజిస్ట్రేషన్ నంబర్‌ను నమోదు చేయండి</v>
      </c>
    </row>
    <row r="43">
      <c r="A43" s="4" t="s">
        <v>91</v>
      </c>
      <c r="B43" s="5" t="s">
        <v>92</v>
      </c>
      <c r="C43" s="6" t="str">
        <f>IFERROR(__xludf.DUMMYFUNCTION("GOOGLETRANSLATE(B43, ""en"", ""ta"")"),"சரியான வாகனப் பதிவு எண்ணை உள்ளிடவும்.")</f>
        <v>சரியான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""ta"")"),"வாகனத்தின் பிராண்டை உள்ளிடவும்")</f>
        <v>வாகனத்தின்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மாடலை உள்ளிடவும்")</f>
        <v>வாகன மாடலை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""ml"")"),"ദയവായി വാഹന മോഡൽ നൽകുക.")</f>
        <v>ദയവായി വാഹന മോഡൽ നൽകുക.</v>
      </c>
      <c r="G45" s="7" t="str">
        <f>IFERROR(__xludf.DUMMYFUNCTION("GOOGLETRANSLATE(B45, ""en"", ""te"")"),"దయచేసి వాహన మోడల్‌ను నమోదు చేయండి")</f>
        <v>దయచేసి వాహన మోడల్‌ను నమోదు చేయండి</v>
      </c>
    </row>
    <row r="46">
      <c r="A46" s="4" t="s">
        <v>97</v>
      </c>
      <c r="B46" s="5" t="s">
        <v>98</v>
      </c>
      <c r="C46" s="6" t="str">
        <f>IFERROR(__xludf.DUMMYFUNCTION("GOOGLETRANSLATE(B46, ""en"", ""ta"")"),"உற்பத்தி ஆண்டை உள்ளிடவும்")</f>
        <v>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""ta"")"),"வாகனத்தின் நிறத்தை உள்ளிடவும்")</f>
        <v>வாகனத்தின்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""ta"")"),"தயவுசெய்து எரிபொருள் வகையைத் தேர்ந்தெடுக்கவும்")</f>
        <v>தயவுசெய்து 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సంఖ్య")</f>
        <v>వాహన రిజిస్ట్రేషన్ సంఖ్య</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""ta"")"),"வாகனத்தின் நிறம்")</f>
        <v>வாகனத்தின்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""te"")"),"అనుమతి సంఖ్య")</f>
        <v>అనుమతి సంఖ్య</v>
      </c>
    </row>
    <row r="58">
      <c r="A58" s="4" t="s">
        <v>121</v>
      </c>
      <c r="B58" s="5" t="s">
        <v>122</v>
      </c>
      <c r="C58" s="6" t="str">
        <f>IFERROR(__xludf.DUMMYFUNCTION("GOOGLETRANSLATE(B58, ""en"", ""ta"")"),"காப்பீடு காலாவதி")</f>
        <v>காப்பீடு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""te"")"),"భీమా గడువు ముగింపు")</f>
        <v>భీమా గడువు ముగింపు</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""ta"")"),"உடற்தகுதி காலாவதி")</f>
        <v>உடற்தகுதி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 ముగింపు")</f>
        <v>ఫిట్‌నెస్ గడువు ముగింపు</v>
      </c>
    </row>
    <row r="61">
      <c r="A61" s="4" t="s">
        <v>127</v>
      </c>
      <c r="B61" s="5" t="s">
        <v>128</v>
      </c>
      <c r="C61" s="6" t="str">
        <f>IFERROR(__xludf.DUMMYFUNCTION("GOOGLETRANSLATE(B61, ""en"", ""ta"")"),"PUC காலாவதி")</f>
        <v>PUC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""te"")"),"PUC గడువు ముగింపు")</f>
        <v>PUC గడువు ముగింపు</v>
      </c>
    </row>
    <row r="62">
      <c r="A62" s="4" t="s">
        <v>129</v>
      </c>
      <c r="B62" s="5" t="s">
        <v>130</v>
      </c>
      <c r="C62" s="6" t="str">
        <f>IFERROR(__xludf.DUMMYFUNCTION("GOOGLETRANSLATE(B62, ""en"", ""ta"")"),"வாகனத்தின் நிறத்தைத் தேர்ந்தெடுக்கவும்")</f>
        <v>வாகனத்தின்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மாடலைத் தேர்ந்தெடுக்கவும்")</f>
        <v>வாகன மாடலைத்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 வாகன பிராண்ட்...")</f>
        <v>வகை வாகன பிராண்ட்...</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""te"")"),"రకం వాహన బ్రాండ్...")</f>
        <v>రకం వాహన బ్రాండ్...</v>
      </c>
    </row>
    <row r="68">
      <c r="A68" s="4" t="s">
        <v>141</v>
      </c>
      <c r="B68" s="5" t="s">
        <v>142</v>
      </c>
      <c r="C68" s="6" t="str">
        <f>IFERROR(__xludf.DUMMYFUNCTION("GOOGLETRANSLATE(B68, ""en"", ""ta"")"),"வகை வாகன மாடல்...")</f>
        <v>வகை வாகன மாடல்...</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""te"")"),"రకం వాహన మోడల్...")</f>
        <v>రకం వాహన మోడల్...</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""te"")"),"సయాన్")</f>
        <v>సయాన్</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""te"")"),"గ్రే")</f>
        <v>గ్రే</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""te"")"),"బ్రౌన్")</f>
        <v>బ్రౌన్</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""te"")"),"గులాబీ")</f>
        <v>గులాబీ</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""ta"")"),"டீல்")</f>
        <v>டீல்</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""ta"")"),"கூட்டணி")</f>
        <v>கூட்டணி</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""te"")"),"నౌకాదళం")</f>
        <v>నౌకాదళం</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""ta"")"),"EV")</f>
        <v>EV</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""te"")"),"ఈవీ")</f>
        <v>ఈవీ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""te"")"),"జోడించండి")</f>
        <v>జోడించండి</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సంఖ్యను నమోదు చేయండి")</f>
        <v>దయచేసి ఖాతా సంఖ్యను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""ta"")"),"IFSC குறியீட்டை உள்ளிடவும்")</f>
        <v>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""ta"")"),"சரியான IFSC குறியீட்டை உள்ளிடவும் (எ.கா., SBIN0001234)")</f>
        <v>சரியான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""ta"")"),"வங்கி பாஸ்புக்கின் முன்பக்கத்தை பதிவேற்றவும்")</f>
        <v>வங்கி பாஸ்புக்கின் முன்பக்கத்தை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ఖాతాదారుని పేరును నమోదు చేయండి")</f>
        <v>దయచేసి ఖాతాదారుని పేరును నమోదు చేయండి</v>
      </c>
    </row>
    <row r="105">
      <c r="A105" s="4" t="s">
        <v>215</v>
      </c>
      <c r="B105" s="5" t="s">
        <v>216</v>
      </c>
      <c r="C105" s="6" t="str">
        <f>IFERROR(__xludf.DUMMYFUNCTION("GOOGLETRANSLATE(B105, ""en"", ""ta"")"),"தயவுசெய்து கணக்கு எண்ணை மீண்டும் உள்ளிடவும்.")</f>
        <v>தயவுசெய்து 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మళ్లీ నమోదు చేయండి")</f>
        <v>దయచేసి ఖాతా నంబర్‌ను మళ్లీ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సంఖ్యలు సరిపోలడం లేదు")</f>
        <v>ఖాతా సంఖ్యలు సరిపోలడం లేదు</v>
      </c>
    </row>
    <row r="107">
      <c r="A107" s="4" t="s">
        <v>219</v>
      </c>
      <c r="B107" s="5" t="s">
        <v>220</v>
      </c>
      <c r="C107" s="6" t="str">
        <f>IFERROR(__xludf.DUMMYFUNCTION("GOOGLETRANSLATE(B107, ""en"", ""ta"")"),"வங்கியின் பெயரை உள்ளிடவும்")</f>
        <v>வங்கியின்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పేరును నమోదు చేయండి")</f>
        <v>దయచేసి బ్యాంకు పేరును నమోదు చేయండి</v>
      </c>
    </row>
    <row r="108">
      <c r="A108" s="4" t="s">
        <v>221</v>
      </c>
      <c r="B108" s="5" t="s">
        <v>222</v>
      </c>
      <c r="C108" s="6" t="str">
        <f>IFERROR(__xludf.DUMMYFUNCTION("GOOGLETRANSLATE(B108, ""en"", ""ta"")"),"கிளையின் பெயரை உள்ளிடவும்")</f>
        <v>கிளையின்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శాఖ పేరును నమోదు చేయండి")</f>
        <v>దయచేసి శాఖ పేరును నమోదు చేయండి</v>
      </c>
    </row>
    <row r="109">
      <c r="A109" s="4" t="s">
        <v>223</v>
      </c>
      <c r="B109" s="5" t="s">
        <v>224</v>
      </c>
      <c r="C109" s="6" t="str">
        <f>IFERROR(__xludf.DUMMYFUNCTION("GOOGLETRANSLATE(B109, ""en"", ""ta"")"),"சரியான UPI ஐடியை உள்ளிடவும்")</f>
        <v>சரியான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IDని నమోదు చేయండి")</f>
        <v>దయచేసి చెల్లుబాటు అయ్యే UPI IDని నమోదు చేయండి</v>
      </c>
    </row>
    <row r="110">
      <c r="A110" s="4" t="s">
        <v>225</v>
      </c>
      <c r="B110" s="5" t="s">
        <v>226</v>
      </c>
      <c r="C110" s="6" t="str">
        <f>IFERROR(__xludf.DUMMYFUNCTION("GOOGLETRANSLATE(B110, ""en"", ""ta"")"),"சரியான UPI ஐடியை உள்ளிடவும் - 9999999999@upi")</f>
        <v>சரியான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""te"")"),"ఖాతాదారుని పేరు")</f>
        <v>ఖాతాదారుని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సంఖ్యను మళ్లీ నమోదు చేయండి")</f>
        <v>ఖాతా సంఖ్యను మళ్లీ నమోదు చేయండి</v>
      </c>
    </row>
    <row r="114">
      <c r="A114" s="4" t="s">
        <v>233</v>
      </c>
      <c r="B114" s="5" t="s">
        <v>234</v>
      </c>
      <c r="C114" s="6" t="str">
        <f>IFERROR(__xludf.DUMMYFUNCTION("GOOGLETRANSLATE(B114, ""en"", ""ta"")"),"வங்கியின் பெயர்")</f>
        <v>வங்கியின்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""te"")"),"శాఖ")</f>
        <v>శాఖ</v>
      </c>
    </row>
    <row r="117">
      <c r="A117" s="4" t="s">
        <v>239</v>
      </c>
      <c r="B117" s="5" t="s">
        <v>240</v>
      </c>
      <c r="C117" s="6" t="str">
        <f>IFERROR(__xludf.DUMMYFUNCTION("GOOGLETRANSLATE(B117, ""en"", ""ta"")"),"UPIID")</f>
        <v>UPIID</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""te"")"),"యూపీఐ ఐడి")</f>
        <v>యూపీఐ ఐడి</v>
      </c>
    </row>
    <row r="118">
      <c r="A118" s="4" t="s">
        <v>241</v>
      </c>
      <c r="B118" s="5" t="s">
        <v>242</v>
      </c>
      <c r="C118" s="6" t="str">
        <f>IFERROR(__xludf.DUMMYFUNCTION("GOOGLETRANSLATE(B118, ""en"", ""ta"")"),"பதிவேற்றம்
வங்கி பாஸ்புக் (முன்பக்கம்)")</f>
        <v>பதிவேற்றம்
வங்கி பாஸ்புக் (முன்பக்கம்)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(మొదటి పేజీ)")</f>
        <v>అప్‌లోడ్ చేయండి బ్యాంక్ పాస్‌బుక్ (మొదటి పేజీ)</v>
      </c>
    </row>
    <row r="119">
      <c r="A119" s="4" t="s">
        <v>243</v>
      </c>
      <c r="B119" s="5" t="s">
        <v>244</v>
      </c>
      <c r="C119" s="6" t="str">
        <f>IFERROR(__xludf.DUMMYFUNCTION("GOOGLETRANSLATE(B119, ""en"", ""ta"")"),"உலாவுக")</f>
        <v>உலாவுக</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RC ஆவணம்")</f>
        <v>வாகன RC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పత్రం")</f>
        <v>ఫిట్‌నెస్ పత్రం</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""ta"")"),"ஓட்டுநர் பெயர்")</f>
        <v>ஓட்டுநர்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முடக்கப்பட்டுள்ளது")</f>
        <v>உங்கள் கணக்கு முடக்கப்பட்டுள்ளது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నిరోధించబడింది")</f>
        <v>మీ ఖాతా నిరోధించబడింది</v>
      </c>
    </row>
    <row r="135">
      <c r="A135" s="11" t="s">
        <v>275</v>
      </c>
      <c r="B135" s="5" t="s">
        <v>276</v>
      </c>
      <c r="C135" s="6" t="str">
        <f>IFERROR(__xludf.DUMMYFUNCTION("GOOGLETRANSLATE(B135, ""en"", ""ta"")"),"ஒப்புதலுக்காகக் காத்திருங்கள்")</f>
        <v>ஒப்புதலுக்காகக்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முடக்கப்பட்டுள்ளது.")</f>
        <v>சில காரணங்களால் உங்கள் கணக்கு முடக்கப்பட்டுள்ளது.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నిరోధించబడింది.")</f>
        <v>కొన్ని కారణాల వల్ల మీ ఖాతా నిరోధించబడింది.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సందేహాలు ఉంటే, దయచేసి")</f>
        <v>మీకు ఏవైనా సందేహాలు ఉంటే, దయచేసి</v>
      </c>
    </row>
    <row r="138">
      <c r="A138" s="11" t="s">
        <v>281</v>
      </c>
      <c r="B138" s="5" t="s">
        <v>282</v>
      </c>
      <c r="C138" s="6" t="str">
        <f>IFERROR(__xludf.DUMMYFUNCTION("GOOGLETRANSLATE(B138, ""en"", ""ta"")"),"எங்களைத் தொடர்பு கொள்ளுங்கள்.")</f>
        <v>எங்களைத் தொடர்பு கொள்ளுங்கள்.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""ta"")"),"தடைநீக்கக் கோரிக்கை அனுப்பப்பட்டது")</f>
        <v>தடைநீக்கக்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""ta"")"),"தடைநீக்கக் கோரிக்கையை அனுப்பு")</f>
        <v>தடைநீக்கக்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f>
        <v>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41" s="7" t="str">
        <f>IFERROR(__xludf.DUMMYFUNCTION("GOOGLETRANSLATE(B141, ""en"", ""te"")"),"మేము టాక్సీలను సరిచూసి, ఆమోదించడానికి తీవ్రంగా కృషి చేస్తున్నాము. కాబట్టి, ఆమోద ప్రక్రియకు కొంత సమయం పడుతుందని దయచేసి అర్థం చేసుకోండి.
మీ సహనానికి ధన్యవాదాలు.")</f>
        <v>మేము టాక్సీలను సరిచూసి, ఆమోదించడానికి తీవ్రంగా కృషి చేస్తున్నాము. కాబట్టి, ఆమోద ప్రక్రియకు కొంత సమయం పడుతుందని దయచేసి అర్థం చేసుకోండి.
మీ సహనానికి ధన్యవాదాలు.</v>
      </c>
    </row>
    <row r="142">
      <c r="A142" s="11" t="s">
        <v>289</v>
      </c>
      <c r="B142" s="5" t="s">
        <v>290</v>
      </c>
      <c r="C142" s="6" t="str">
        <f>IFERROR(__xludf.DUMMYFUNCTION("GOOGLETRANSLATE(B142, ""en"", ""ta"")"),"பதிவு அல்லது செயலி தொடர்பாக உங்களுக்கு ஏதேனும் கேள்விகள் இருந்தால், தயவுசெய்து")</f>
        <v>பதிவு அல்லது செயலி தொடர்பாக உங்களுக்கு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యాప్‌కు సంబంధించి మీకు ఏవైనా సందేహాలు ఉంటే, దయచేసి")</f>
        <v>రిజిస్ట్రేషన్ లేదా యాప్‌కు సంబంధించి మీకు ఏవైనా సందేహాలు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 நடந்துவிட்டது")</f>
        <v>ஏதோ தவறு நடந்துவிட்டது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""te"")"),"వీధి ఒకటి")</f>
        <v>వీధి ఒకటి</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""te"")"),"వీధి రెండు")</f>
        <v>వీధి రెండు</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""ta"")"),"மாநிலம்")</f>
        <v>மாநிலம்</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""ta"")"),"OTP-ஐப் பெறுங்கள்")</f>
        <v>OTP-ஐப்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""ta"")"),"கைபேசி எண்ணுக்கு ஒரு OTP அனுப்பப்பட்டுள்ளது.")</f>
        <v>கைபேசி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""te"")"),"వన్ టైమ్ పాస్‌వర్డ్(OTP)")</f>
        <v>వన్ టైమ్ పాస్‌వర్డ్(OTP)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 சரிபார்க்கவும்")</f>
        <v>OTP-ஐ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""te"")"),"OTPని ధృవీకరించండి")</f>
        <v>OTPని ధృవీకరించండి</v>
      </c>
    </row>
    <row r="158">
      <c r="A158" s="4" t="s">
        <v>321</v>
      </c>
      <c r="B158" s="5" t="s">
        <v>322</v>
      </c>
      <c r="C158" s="6" t="str">
        <f>IFERROR(__xludf.DUMMYFUNCTION("GOOGLETRANSLATE(B158, ""en"", ""ta"")"),"OTP-ஐ மீண்டும் அனுப்பவும்")</f>
        <v>OTP-ஐ மீண்டும் அனுப்பவும்</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""te"")"),"OTPని మళ్లీ పంపండి")</f>
        <v>OTPని మళ్లీ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 செய்யப்பட்ட தொலைபேசி எண்ணுக்கு OTP வெற்றிகரமாக அனுப்பப்பட்டது.")</f>
        <v>பதிவு செய்யப்பட்ட தொலைபேசி எண்ணுக்கு OTP வெற்றிகரமாக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വീണ്ടും അയച്ചു.")</f>
        <v>രജിസ്റ്റർ ചെയ്ത ഫോൺ നമ്പറിലേക്ക് OTP വീണ്ടും അയച്ചു.</v>
      </c>
      <c r="G160" s="7" t="str">
        <f>IFERROR(__xludf.DUMMYFUNCTION("GOOGLETRANSLATE(B160, ""en"", ""te"")"),"నమోదిత ఫోన్ నంబర్‌కు OTP విజయవంతంగా పంపబడింది")</f>
        <v>నమోదిత ఫోన్ నంబర్‌కు OTP విజయవంతంగా పంపబడింది</v>
      </c>
    </row>
    <row r="161">
      <c r="A161" s="4" t="s">
        <v>327</v>
      </c>
      <c r="B161" s="5" t="s">
        <v>328</v>
      </c>
      <c r="C161" s="6" t="str">
        <f>IFERROR(__xludf.DUMMYFUNCTION("GOOGLETRANSLATE(B161, ""en"", ""ta"")"),"நிகழ்நேரப் புதுப்பிப்புகளைப் பெற, இருப்பிட அனுமதியை இயக்கவும்.")</f>
        <v>நிகழ்நேரப்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ఎనేబుల్ చేయండి")</f>
        <v>రియల్ టైమ్ అప్‌డేట్‌లను పొందడానికి దయచేసి లొకేషన్ అనుమతిని ఎనేబుల్ చేయండి</v>
      </c>
    </row>
    <row r="162">
      <c r="A162" s="4" t="s">
        <v>329</v>
      </c>
      <c r="B162" s="5" t="s">
        <v>330</v>
      </c>
      <c r="C162" s="6" t="str">
        <f>IFERROR(__xludf.DUMMYFUNCTION("GOOGLETRANSLATE(B162, ""en"", ""ta"")"),"நிகழ்நேரப் புதுப்பிப்புகளைப் பெற, அறிவிப்பு அனுமதியை இயக்கவும்.")</f>
        <v>நிகழ்நேரப்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ಅಧಿಸೂಚನೆ ಅನುಮತಿಯನ್ನು ಸಕ್ರಿಯಗೊಳಿಸಿ.")</f>
        <v>ನೈಜ ಸಮಯದ ನವೀಕರಣಗಳನ್ನು ಪಡೆಯಲು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ఎనేబుల్ చేయండి")</f>
        <v>రియల్ టైమ్ అప్‌డేట్‌లను పొందడానికి దయచేసి నోటిఫికేషన్ అనుమతిని ఎనేబుల్ చేయండి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ప్రారంభించండి")</f>
        <v>ఇప్పుడే ప్రారంభించండి</v>
      </c>
    </row>
    <row r="164">
      <c r="A164" s="4" t="s">
        <v>283</v>
      </c>
      <c r="B164" s="5" t="s">
        <v>284</v>
      </c>
      <c r="C164" s="6" t="str">
        <f>IFERROR(__xludf.DUMMYFUNCTION("GOOGLETRANSLATE(B164, ""en"", ""ta"")"),"தடைநீக்கக் கோரிக்கை அனுப்பப்பட்டது")</f>
        <v>தடைநீக்கக்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""ta"")"),"தடைநீக்கக் கோரிக்கையை அனுப்பு")</f>
        <v>தடைநீக்கக்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సందేహాలు ఉంటే, దయచేసి")</f>
        <v>మీకు ఏవైనా సందేహాలు ఉంటే, దయచేసి</v>
      </c>
    </row>
    <row r="167">
      <c r="A167" s="4" t="s">
        <v>277</v>
      </c>
      <c r="B167" s="5" t="s">
        <v>278</v>
      </c>
      <c r="C167" s="6" t="str">
        <f>IFERROR(__xludf.DUMMYFUNCTION("GOOGLETRANSLATE(B167, ""en"", ""ta"")"),"சில காரணங்களால் உங்கள் கணக்கு முடக்கப்பட்டுள்ளது.")</f>
        <v>சில காரணங்களால் உங்கள் கணக்கு முடக்கப்பட்டுள்ளது.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నిరోధించబడింది.")</f>
        <v>కొన్ని కారణాల వల్ల మీ ఖాతా నిరోధించబడింది.</v>
      </c>
    </row>
    <row r="168">
      <c r="A168" s="4" t="s">
        <v>275</v>
      </c>
      <c r="B168" s="5" t="s">
        <v>333</v>
      </c>
      <c r="C168" s="6" t="str">
        <f>IFERROR(__xludf.DUMMYFUNCTION("GOOGLETRANSLATE(B168, ""en"", ""ta"")"),"அனுமதிக்காகக் காத்திருங்கள்")</f>
        <v>அனுமதிக்காகக்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முடக்கப்பட்டுள்ளது")</f>
        <v>உங்கள் கணக்கு முடக்கப்பட்டுள்ளது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నిరోధించబడింది")</f>
        <v>మీ ఖాతా నిరోధించబడింది</v>
      </c>
    </row>
    <row r="170">
      <c r="A170" s="4" t="s">
        <v>334</v>
      </c>
      <c r="B170" s="5" t="s">
        <v>335</v>
      </c>
      <c r="C170" s="6" t="str">
        <f>IFERROR(__xludf.DUMMYFUNCTION("GOOGLETRANSLATE(B170, ""en"", ""ta"")"),"தடைநீக்கும் கோரிக்கை ஏற்கனவே அனுப்பப்பட்டுவிட்டது")</f>
        <v>தடைநீக்கும் கோரிக்கை ஏற்கனவே அனுப்பப்பட்டுவிட்டது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f>
        <v>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71" s="7" t="str">
        <f>IFERROR(__xludf.DUMMYFUNCTION("GOOGLETRANSLATE(B171, ""en"", ""te"")"),"మేము టాక్సీలను సరిచూసి, ఆమోదించడానికి తీవ్రంగా కృషి చేస్తున్నాము. కాబట్టి, ఆమోద ప్రక్రియకు కొంత సమయం పడుతుందని దయచేసి అర్థం చేసుకోండి.
మీ సహనానికి ధన్యవాదాలు.")</f>
        <v>మేము టాక్సీలను సరిచూసి, ఆమోదించడానికి తీవ్రంగా కృషి చేస్తున్నాము. కాబట్టి, ఆమోద ప్రక్రియకు కొంత సమయం పడుతుందని దయచేసి అర్థం చేసుకోండి.
మీ సహనానికి ధన్యవాదాలు.</v>
      </c>
    </row>
    <row r="172">
      <c r="A172" s="4" t="s">
        <v>337</v>
      </c>
      <c r="B172" s="5" t="s">
        <v>338</v>
      </c>
      <c r="C172" s="6" t="str">
        <f>IFERROR(__xludf.DUMMYFUNCTION("GOOGLETRANSLATE(B172, ""en"", ""ta"")"),"ஆம், ஆன்லைனில் செல்லுங்கள்")</f>
        <v>ஆம், ஆன்லைனில் செல்லுங்கள்</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ఆన్‌లైన్‌కి వెళ్లండి")</f>
        <v>అవును, ఆన్‌లైన్‌కి వెళ్లండి</v>
      </c>
    </row>
    <row r="173">
      <c r="A173" s="4" t="s">
        <v>339</v>
      </c>
      <c r="B173" s="5" t="s">
        <v>340</v>
      </c>
      <c r="C173" s="6" t="str">
        <f>IFERROR(__xludf.DUMMYFUNCTION("GOOGLETRANSLATE(B173, ""en"", ""ta"")"),"நீங்கள் ஆன்லைனில் செல்ல உறுதியாக விரும்புகிறீர்களா மற்றும் பயணங்களை மேற்கொள்ளத் தயாராக இருக்கிறீர்களா?")</f>
        <v>நீங்கள் ஆன்லைனில் செல்ல உறுதியாக விரும்புகிறீர்களா மற்றும் பயணங்களை மேற்கொள்ளத் தயாராக இருக்கிறீர்களா?</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 ప్రయాణాలు చేయడానికి సిద్ధంగా ఉన్నారా?")</f>
        <v>మీరు ఖచ్చితంగా ఆన్‌లైన్‌లోకి వెళ్లి, ప్రయాణాలు చేయడానికి సిద్ధంగా ఉన్నారా?</v>
      </c>
    </row>
    <row r="174">
      <c r="A174" s="4" t="s">
        <v>341</v>
      </c>
      <c r="B174" s="5" t="s">
        <v>342</v>
      </c>
      <c r="C174" s="6" t="str">
        <f>IFERROR(__xludf.DUMMYFUNCTION("GOOGLETRANSLATE(B174, ""en"", ""ta"")"),"ஆம், ஆஃப்லைனுக்குச் செல்லுங்கள்")</f>
        <v>ஆம், ஆஃப்லைனுக்குச் செல்லுங்கள்</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వెళ్లండి")</f>
        <v>అవును, ఆఫ్‌లైన్‌కి వెళ్లండి</v>
      </c>
    </row>
    <row r="175">
      <c r="A175" s="4" t="s">
        <v>343</v>
      </c>
      <c r="B175" s="5" t="s">
        <v>344</v>
      </c>
      <c r="C175" s="6" t="str">
        <f>IFERROR(__xludf.DUMMYFUNCTION("GOOGLETRANSLATE(B175, ""en"", ""ta"")"),"இல்லை, ஆன்லைனில் இருங்கள்")</f>
        <v>இல்லை, ஆன்லைனில் இருங்கள்</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""te"")"),"లేదు, ఆన్‌లైన్‌లో ఉండండి")</f>
        <v>లేదు, ఆన్‌లైన్‌లో ఉండండి</v>
      </c>
    </row>
    <row r="176">
      <c r="A176" s="4" t="s">
        <v>345</v>
      </c>
      <c r="B176" s="5" t="s">
        <v>346</v>
      </c>
      <c r="C176" s="6" t="str">
        <f>IFERROR(__xludf.DUMMYFUNCTION("GOOGLETRANSLATE(B176, ""en"", ""ta"")"),"நீங்கள் உறுதியாக ஆஃப்லைனுக்குச் செல்ல விரும்புகிறீர்களா?")</f>
        <v>நீங்கள் உறுதியாக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""ta"")"),"நீங்கள் பயணங்கள் மேற்கொள்ளத் தயாரானதும், தயவுசெய்து இணையதளத்திற்குச் செல்லவும்.")</f>
        <v>நீங்கள் பயணங்கள் மேற்கொள்ளத் தயாரானதும், தயவுசெய்து இணையதளத்திற்குச்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 చేయడానికి సిద్ధంగా ఉన్నప్పుడు దయచేసి ఆన్‌లైన్‌కు వెళ్లండి")</f>
        <v>మీరు ప్రయాణాలు చేయడానికి సిద్ధంగా ఉన్నప్పుడు దయచేసి ఆన్‌లైన్‌కు వెళ్లండి</v>
      </c>
    </row>
    <row r="179">
      <c r="A179" s="4" t="s">
        <v>351</v>
      </c>
      <c r="B179" s="5" t="s">
        <v>352</v>
      </c>
      <c r="C179" s="6" t="str">
        <f>IFERROR(__xludf.DUMMYFUNCTION("GOOGLETRANSLATE(B179, ""en"", ""ta"")"),"நீங்கள் தற்போது ஆஃப்லைனில் உள்ளீர்கள்")</f>
        <v>நீங்கள் தற்போது ஆஃப்லைனில் உள்ளீர்கள்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முடக்கப்பட்டுள்ளது")</f>
        <v>உங்கள் கணக்கு முடக்கப்பட்டுள்ளது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నిరోధించబడింది")</f>
        <v>మీ ఖాతా నిరోధించబడింది</v>
      </c>
    </row>
    <row r="181">
      <c r="A181" s="4" t="s">
        <v>355</v>
      </c>
      <c r="B181" s="5" t="s">
        <v>356</v>
      </c>
      <c r="C181" s="6" t="str">
        <f>IFERROR(__xludf.DUMMYFUNCTION("GOOGLETRANSLATE(B181, ""en"", ""ta"")"),"பின்வரும் ஒன்று அல்லது அதற்கு மேற்பட்ட காரணங்களால்:")</f>
        <v>பின்வரும் ஒன்று அல்லது அதற்கு மேற்பட்ட காரணங்களால்: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""te"")"),"కింది వాటిలో ఒకటి లేదా అంతకంటే ఎక్కువ కారణాల వల్ల:")</f>
        <v>కింది వాటిలో ఒకటి లేదా అంతకంటే ఎక్కువ కారణాల వల్ల:</v>
      </c>
    </row>
    <row r="182">
      <c r="A182" s="4" t="s">
        <v>357</v>
      </c>
      <c r="B182" s="5" t="s">
        <v>358</v>
      </c>
      <c r="C182" s="6" t="str">
        <f>IFERROR(__xludf.DUMMYFUNCTION("GOOGLETRANSLATE(B182, ""en"", ""ta"")"),"நிலுவையில் உள்ள கட்டணத் தொகைகள்")</f>
        <v>நிலுவையில் உள்ள கட்டணத் தொகைகள்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""te"")"),"బకాయి ఉన్న చెల్లింపులు")</f>
        <v>బకాయి ఉన్న చెల్లింపులు</v>
      </c>
    </row>
    <row r="183">
      <c r="A183" s="4" t="s">
        <v>359</v>
      </c>
      <c r="B183" s="5" t="s">
        <v>360</v>
      </c>
      <c r="C183" s="6" t="str">
        <f>IFERROR(__xludf.DUMMYFUNCTION("GOOGLETRANSLATE(B183, ""en"", ""ta"")"),"அதிக எண்ணிக்கையிலான நிராகரிக்கப்பட்ட பயணங்கள்")</f>
        <v>அதிக எண்ணிக்கையிலான நிராகரிக்கப்பட்ட பயணங்கள்</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""te"")"),"అధిక సంఖ్యలో తిరస్కరించబడిన ప్రయాణాలు")</f>
        <v>అధిక సంఖ్యలో తిరస్కరించబడిన ప్రయాణాలు</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ஆதரவுப் பிரிவைத் தொடர்பு கொள்ளவும்.")</f>
        <v>மேலும் தகவலுக்கு ஆதரவுப் பிரிவைத்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సపోర్ట్‌ను సంప్రదించండి.")</f>
        <v>మరిన్ని వివరాల కోసం దయచేసి సపోర్ట్‌ను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காத்திருக்கவும்.")</f>
        <v>உங்கள் கணக்கை நாங்கள் சரிபார்க்கும் வரை காத்திருக்கவும்.</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ధృవీకరించేంత వరకు దయచేసి వేచి ఉండండి.")</f>
        <v>మేము మీ ఖాతాను ధృవీకరించేంత వరకు దయచేసి వేచి ఉండండి.</v>
      </c>
    </row>
    <row r="188">
      <c r="A188" s="4" t="s">
        <v>369</v>
      </c>
      <c r="B188" s="5" t="s">
        <v>370</v>
      </c>
      <c r="C188" s="6" t="str">
        <f>IFERROR(__xludf.DUMMYFUNCTION("GOOGLETRANSLATE(B188, ""en"", ""ta"")"),"ஆவண சரிபார்ப்பு நடைபெற்று வருகிறது")</f>
        <v>ஆவண சரிபார்ப்பு நடைபெற்று வருகிறது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""te"")"),"పత్రాల ధృవీకరణ జరుగుతోంది")</f>
        <v>పత్రాల ధృవీకరణ జరుగుతోంది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""ta"")"),"பணம் செலுத்துவதற்காக உங்கள் வங்கிக் கணக்கு சரிபார்க்கப்பட்டு வருகிறது.")</f>
        <v>பணம் செலுத்துவதற்காக உங்கள் வங்கிக் கணக்கு சரிபார்க்கப்பட்டு வருகிறது.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ప్రక్రియ కోసం మీ బ్యాంక్ ఖాతా ధృవీకరించబడుతోంది")</f>
        <v>చెల్లింపు ప్రక్రియ కోసం మీ బ్యాంక్ ఖాతా ధృవీకరించబడుతోంది</v>
      </c>
    </row>
    <row r="193">
      <c r="A193" s="4" t="s">
        <v>379</v>
      </c>
      <c r="B193" s="5" t="s">
        <v>380</v>
      </c>
      <c r="C193" s="6" t="str">
        <f>IFERROR(__xludf.DUMMYFUNCTION("GOOGLETRANSLATE(B193, ""en"", ""ta"")"),"வங்கி கணக்கு சரிபார்ப்பு நடைபெற்று வருகிறது")</f>
        <v>வங்கி கணக்கு சரிபார்ப்பு நடைபெற்று வருகிறது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ప్రక్రియలో ఉంది")</f>
        <v>బ్యాంకు ఖాతా ధృవీకరణ ప్రక్రియలో ఉంది</v>
      </c>
    </row>
    <row r="194">
      <c r="A194" s="4" t="s">
        <v>381</v>
      </c>
      <c r="B194" s="5" t="s">
        <v>382</v>
      </c>
      <c r="C194" s="6" t="str">
        <f>IFERROR(__xludf.DUMMYFUNCTION("GOOGLETRANSLATE(B194, ""en"", ""ta"")"),"பணம் செலுத்தும் விவரங்கள் சரிபார்க்கப்படுகின்றன")</f>
        <v>பணம் செலுத்தும்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""ta"")"),"இந்தச் செயல்முறைக்கு பொதுவாக 1-2 வேலை நாட்கள் ஆகும்.")</f>
        <v>இந்தச் செயல்முறைக்கு பொதுவாக 1-2 வேலை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పనిదినాలు పడుతుంది")</f>
        <v>ఈ ప్రక్రియకు సాధారణంగా 1-2 పనిదినాలు పడుతుంది</v>
      </c>
    </row>
    <row r="196">
      <c r="A196" s="4" t="s">
        <v>385</v>
      </c>
      <c r="B196" s="5" t="s">
        <v>386</v>
      </c>
      <c r="C196" s="6" t="str">
        <f>IFERROR(__xludf.DUMMYFUNCTION("GOOGLETRANSLATE(B196, ""en"", ""ta"")"),"சரிபார்ப்பதற்கு அதிக நேரம் எடுத்தால், உதவி மையத்தைத் தொடர்பு கொள்ளவும்.")</f>
        <v>சரிபார்ப்பதற்கு அதிக நேரம் எடுத்தால், உதவி மையத்தைத்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 ಸಮಯ ತೆಗೆದುಕೊಂಡರೆ ಬೆಂಬಲವನ್ನು ಸಂಪರ್ಕಿಸಿ")</f>
        <v>ಪರಿಶೀಲನೆಗೆ ಹೆಚ್ಚು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సపోర్ట్‌ను సంప్రదించండి.")</f>
        <v>ధృవీకరణకు ఎక్కువ సమయం పడితే, సపోర్ట్‌ను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""te"")"),"పర్యటనలు")</f>
        <v>పర్యటనలు</v>
      </c>
    </row>
    <row r="198">
      <c r="A198" s="4" t="s">
        <v>389</v>
      </c>
      <c r="B198" s="5" t="s">
        <v>390</v>
      </c>
      <c r="C198" s="6" t="str">
        <f>IFERROR(__xludf.DUMMYFUNCTION("GOOGLETRANSLATE(B198, ""en"", ""ta"")"),"வருமானம்")</f>
        <v>வருமானம்</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செல்லுங்கள்")</f>
        <v>ஆன்லைனில் செல்லுங்கள்</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""ml"")"),"ഓൺലൈനാകുക")</f>
        <v>ഓൺലൈനാകുക</v>
      </c>
      <c r="G199" s="7" t="str">
        <f>IFERROR(__xludf.DUMMYFUNCTION("GOOGLETRANSLATE(B199, ""en"", ""te"")"),"ఆన్‌లైన్‌కు వెళ్లండి")</f>
        <v>ఆన్‌లైన్‌కు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""te"")"),"ఆగుతుంది")</f>
        <v>ఆగుతుంది</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லொகேஷன்")</f>
        <v>டிராப் லொகேஷன்</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பதிவேற்றவும்")</f>
        <v>ஆவணத்தைப் பதிவேற்றவும்</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 అప్‌లోడ్ చేయండి")</f>
        <v>పత్రం అప్‌లోడ్ చేయండి</v>
      </c>
    </row>
    <row r="208">
      <c r="A208" s="4" t="s">
        <v>409</v>
      </c>
      <c r="B208" s="5" t="s">
        <v>410</v>
      </c>
      <c r="C208" s="6" t="str">
        <f>IFERROR(__xludf.DUMMYFUNCTION("GOOGLETRANSLATE(B208, ""en"", ""ta"")"),"பதிவேற்றம்")</f>
        <v>பதிவேற்றம்</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""te"")"),"మార్పు")</f>
        <v>మార్పు</v>
      </c>
    </row>
    <row r="212">
      <c r="A212" s="4" t="s">
        <v>243</v>
      </c>
      <c r="B212" s="5" t="s">
        <v>244</v>
      </c>
      <c r="C212" s="6" t="str">
        <f>IFERROR(__xludf.DUMMYFUNCTION("GOOGLETRANSLATE(B212, ""en"", ""ta"")"),"உலாவுக")</f>
        <v>உலாவுக</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""te"")"),"యాత్ర చరిత్ర")</f>
        <v>యాత్ర చరిత్ర</v>
      </c>
    </row>
    <row r="214">
      <c r="A214" s="4" t="s">
        <v>419</v>
      </c>
      <c r="B214" s="5" t="s">
        <v>420</v>
      </c>
      <c r="C214" s="6" t="str">
        <f>IFERROR(__xludf.DUMMYFUNCTION("GOOGLETRANSLATE(B214, ""en"", ""ta"")"),"பயணங்கள் எதுவும் காணப்படவில்லை")</f>
        <v>பயணங்கள் எதுவும் காணப்படவில்லை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""te"")"),"పర్యటనలు ఏవీ కనుగొనబడలేదు")</f>
        <v>పర్యటనలు ఏవీ కనుగొనబడలేదు</v>
      </c>
    </row>
    <row r="215">
      <c r="A215" s="4" t="s">
        <v>421</v>
      </c>
      <c r="B215" s="5" t="s">
        <v>422</v>
      </c>
      <c r="C215" s="6" t="str">
        <f>IFERROR(__xludf.DUMMYFUNCTION("GOOGLETRANSLATE(B215, ""en"", ""ta"")"),"நீங்கள் இன்னும் எந்தப் பயணத்தையும் முடிக்கவில்லை.")</f>
        <v>நீங்கள் இன்னும் எந்தப் பயணத்தையும்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ஏற்றப்படுகின்றன...")</f>
        <v>மேலும் பயணங்கள் ஏற்றப்படுகின்றன...</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 లోడ్ అవుతున్నాయి...")</f>
        <v>మరిన్ని ట్రిప్‌లు లోడ్ అవుతున్నాయి...</v>
      </c>
    </row>
    <row r="217">
      <c r="A217" s="4" t="s">
        <v>425</v>
      </c>
      <c r="B217" s="5" t="s">
        <v>426</v>
      </c>
      <c r="C217" s="6" t="str">
        <f>IFERROR(__xludf.DUMMYFUNCTION("GOOGLETRANSLATE(B217, ""en"", ""ta"")"),"விவரங்களைக் காண்க")</f>
        <v>விவரங்களைக் காண்க</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""te"")"),"వివరాలను వీక్షించండి")</f>
        <v>వివరాలను వీక్షించండి</v>
      </c>
    </row>
    <row r="218">
      <c r="A218" s="4" t="s">
        <v>427</v>
      </c>
      <c r="B218" s="5" t="s">
        <v>428</v>
      </c>
      <c r="C218" s="6" t="str">
        <f>IFERROR(__xludf.DUMMYFUNCTION("GOOGLETRANSLATE(B218, ""en"", ""ta"")"),"இறுதி இடம்")</f>
        <v>இறுதி இடம்</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""te"")"),"ముగింపు స్థానం")</f>
        <v>ముగింపు స్థానం</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""kn"")"),"ಸ್ಥಿತಿಯನ್ನು ಆಯ್ಕೆಮಾಡಿ")</f>
        <v>ಸ್ಥಿತಿಯನ್ನು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ప్రయాణాలు")</f>
        <v>మొత్తం ప్రయాణాలు</v>
      </c>
    </row>
    <row r="223">
      <c r="A223" s="4" t="s">
        <v>437</v>
      </c>
      <c r="B223" s="5" t="s">
        <v>438</v>
      </c>
      <c r="C223" s="6" t="str">
        <f>IFERROR(__xludf.DUMMYFUNCTION("GOOGLETRANSLATE(B223, ""en"", ""ta"")"),"மொத்த ஆன்லைன் மணிநேரம்")</f>
        <v>மொத்த ஆன்லைன் மணிநேரம்</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""ta"")"),"செலுத்த வேண்டிய தொகை")</f>
        <v>செலுத்த வேண்டிய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""te"")"),"చెల్లించాల్సిన మొత్తం")</f>
        <v>చెల్లించాల్సిన మొత్తం</v>
      </c>
    </row>
    <row r="226">
      <c r="A226" s="4" t="s">
        <v>443</v>
      </c>
      <c r="B226" s="5" t="s">
        <v>444</v>
      </c>
      <c r="C226" s="6" t="str">
        <f>IFERROR(__xludf.DUMMYFUNCTION("GOOGLETRANSLATE(B226, ""en"", ""ta"")"),"மொத்த வருமானம்")</f>
        <v>மொத்த வருமானம்</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సంపాదన")</f>
        <v>మొత్తం సంపాదన</v>
      </c>
    </row>
    <row r="227">
      <c r="A227" s="4" t="s">
        <v>445</v>
      </c>
      <c r="B227" s="5" t="s">
        <v>446</v>
      </c>
      <c r="C227" s="6" t="str">
        <f>IFERROR(__xludf.DUMMYFUNCTION("GOOGLETRANSLATE(B227, ""en"", ""ta"")"),"செலுத்த வேண்டிய தொகையைச் செலுத்தவும்")</f>
        <v>செலுத்த வேண்டிய தொகையைச் செலுத்தவும்</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""te"")"),"చెల్లించవలసిన మొత్తాన్ని")</f>
        <v>చెల్లించవలసిన మొత్తాన్ని</v>
      </c>
    </row>
    <row r="228">
      <c r="A228" s="4" t="s">
        <v>447</v>
      </c>
      <c r="B228" s="5" t="s">
        <v>448</v>
      </c>
      <c r="C228" s="6" t="str">
        <f>IFERROR(__xludf.DUMMYFUNCTION("GOOGLETRANSLATE(B228, ""en"", ""ta"")"),"அடுத்த காலக்கெடு தேதி")</f>
        <v>அடுத்த காலக்கெடு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""ta"")"),"வருமானம்")</f>
        <v>வருமானம்</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""te"")"),"ప్రయాణీకుల చెల్లింపు")</f>
        <v>ప్రయాణీకుల చెల్లింపు</v>
      </c>
    </row>
    <row r="234">
      <c r="A234" s="4" t="s">
        <v>455</v>
      </c>
      <c r="B234" s="5" t="s">
        <v>456</v>
      </c>
      <c r="C234" s="6" t="str">
        <f>IFERROR(__xludf.DUMMYFUNCTION("GOOGLETRANSLATE(B234, ""en"", ""ta"")"),"நிலுவை நிலை")</f>
        <v>நிலுவை நிலை</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""ta"")"),"மேலும் பணம் செலுத்துதல்கள் ஏற்றப்படுகின்றன...")</f>
        <v>மேலும் பணம் செலுத்துதல்கள் ஏற்றப்படுகின்றன...</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செலுத்தப்படவில்லை எனக் கண்டறியப்பட்டது")</f>
        <v>பணம் செலுத்தப்படவில்லை எனக் கண்டறியப்பட்டது</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""ta"")"),"நீங்கள் தேர்ந்தெடுத்த தேதி வரம்பிற்கான எந்தக் கட்டணத்தையும் இன்னும் பெறவில்லை.")</f>
        <v>நீங்கள் தேர்ந்தெடுத்த தேதி வரம்பிற்கான எந்தக் கட்டணத்தையும் இன்னும் பெறவில்லை.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""te"")"),"మీరు ఎంచుకున్న తేదీ పరిధికి ఇంకా ఎలాంటి చెల్లింపులు అందుకోలేదు.")</f>
        <v>మీరు ఎంచుకున్న తేదీ పరిధికి ఇంకా ఎలాంటి చెల్లింపులు అందుకోలేదు.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""ta"")"),"பணம் செலுத்தும் ஐடி")</f>
        <v>பணம் செலுத்தும்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ஏற்றப்படுகின்றன...")</f>
        <v>மேலும் பரிவர்த்தனைகள் ஏற்றப்படுகின்றன...</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 లోడ్ అవుతున్నాయి...")</f>
        <v>మరిన్ని లావాదేవీలు లోడ్ అవుతున్నాయి...</v>
      </c>
    </row>
    <row r="243">
      <c r="A243" s="4" t="s">
        <v>473</v>
      </c>
      <c r="B243" s="5" t="s">
        <v>474</v>
      </c>
      <c r="C243" s="6" t="str">
        <f>IFERROR(__xludf.DUMMYFUNCTION("GOOGLETRANSLATE(B243, ""en"", ""ta"")"),"பரிவர்த்தனைகள் எதுவும் காணப்படவில்லை")</f>
        <v>பரிவர்த்தனைகள் எதுவும் காணப்படவில்லை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""ta"")"),"நீங்கள் தேர்ந்தெடுத்த தேதி வரம்பிற்குள் இதுவரை எந்தப் பரிவர்த்தனையும் செய்யவில்லை.")</f>
        <v>நீங்கள் தேர்ந்தெடுத்த தேதி வரம்பிற்குள் இதுவரை எந்தப் பரிவர்த்தனையும்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""te"")"),"మీరు ఎంచుకున్న తేదీ పరిధిలో ఇంకా ఎలాంటి లావాదేవీలు చేయలేదు.")</f>
        <v>మీరు ఎంచుకున్న తేదీ పరిధిలో ఇంకా ఎలాంటి లావాదేవీలు చేయలేదు.</v>
      </c>
    </row>
    <row r="245">
      <c r="A245" s="4" t="s">
        <v>477</v>
      </c>
      <c r="B245" s="5" t="s">
        <v>478</v>
      </c>
      <c r="C245" s="6" t="str">
        <f>IFERROR(__xludf.DUMMYFUNCTION("GOOGLETRANSLATE(B245, ""en"", ""ta"")"),"ஓட்டுநர் காரணமாக")</f>
        <v>ஓட்டுநர் காரணமாக</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కారణంగా")</f>
        <v>డ్రైవర్ కారణంగా</v>
      </c>
    </row>
    <row r="246">
      <c r="A246" s="4" t="s">
        <v>479</v>
      </c>
      <c r="B246" s="5" t="s">
        <v>480</v>
      </c>
      <c r="C246" s="6" t="str">
        <f>IFERROR(__xludf.DUMMYFUNCTION("GOOGLETRANSLATE(B246, ""en"", ""ta"")"),"ஓட்டுநர் வருமானம்")</f>
        <v>ஓட்டுநர் வருமானம்</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సంపాదన")</f>
        <v>డ్రైవర్ సంపాదన</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தேர்ந்தெடுக்கவும்")</f>
        <v>வாகனத்தைத் தேர்ந்தெடுக்கவும்</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கிடைக்கவில்லை")</f>
        <v>வாகனங்கள் எதுவும் கிடைக்கவில்லை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""ta"")"),"தயவுசெய்து உங்கள் நிர்வாகியைத் தொடர்பு கொள்ளவும்.")</f>
        <v>தயவுசெய்து 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""ta"")"),"கிடைக்கக்கூடிய வாகனங்கள்")</f>
        <v>கிடைக்கக்கூடிய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""te"")"),"నిరోధించబడింది")</f>
        <v>నిరోధించబడింది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స్వీకరించబడింది")</f>
        <v>చెల్లింపు స్వీకరించబడింది</v>
      </c>
    </row>
    <row r="260">
      <c r="A260" s="4" t="s">
        <v>507</v>
      </c>
      <c r="B260" s="5" t="s">
        <v>508</v>
      </c>
      <c r="C260" s="6" t="str">
        <f>IFERROR(__xludf.DUMMYFUNCTION("GOOGLETRANSLATE(B260, ""en"", ""ta"")"),"பணம் செலுத்தும் முறையைத் தேர்ந்தெடுக்கவும்")</f>
        <v>பணம் செலுத்தும்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""te"")"),"ప్రయాణ ఛార్జీ")</f>
        <v>ప్రయాణ ఛార్జీ</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""ta"")"),"பணம் செலுத்தும் விவரங்கள்")</f>
        <v>பணம் செலுத்தும்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""te"")"),"కారణంగా")</f>
        <v>కారణంగా</v>
      </c>
    </row>
    <row r="266">
      <c r="A266" s="4" t="s">
        <v>389</v>
      </c>
      <c r="B266" s="5" t="s">
        <v>390</v>
      </c>
      <c r="C266" s="6" t="str">
        <f>IFERROR(__xludf.DUMMYFUNCTION("GOOGLETRANSLATE(B266, ""en"", ""ta"")"),"வருமானம்")</f>
        <v>வருமானம்</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""ta"")"),"மொத்த தொகை")</f>
        <v>மொத்த 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""ta"")"),"வழங்குநர் தகவல்")</f>
        <v>வழங்குநர்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బ్రేక్‌డౌన్")</f>
        <v>ఇన్‌వాయిస్ బ్రేక్‌డౌన్</v>
      </c>
    </row>
    <row r="274">
      <c r="A274" s="4" t="s">
        <v>532</v>
      </c>
      <c r="B274" s="5" t="s">
        <v>533</v>
      </c>
      <c r="C274" s="6" t="str">
        <f>IFERROR(__xludf.DUMMYFUNCTION("GOOGLETRANSLATE(B274, ""en"", ""ta"")"),"சவாரி செலவு")</f>
        <v>சவாரி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""te"")"),"ప్రయాణ ఖర్చు")</f>
        <v>ప్రయాణ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""te"")"),"నిరీక్షణ ఖర్చు")</f>
        <v>నిరీక్షణ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తగ్గింపు")</f>
        <v>కూపన్ తగ్గింపు</v>
      </c>
    </row>
    <row r="277">
      <c r="A277" s="4" t="s">
        <v>538</v>
      </c>
      <c r="B277" s="5" t="s">
        <v>539</v>
      </c>
      <c r="C277" s="6" t="str">
        <f>IFERROR(__xludf.DUMMYFUNCTION("GOOGLETRANSLATE(B277, ""en"", ""ta"")"),"பயணத்தை ரத்து செய்")</f>
        <v>பயணத்தை ரத்து 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""te"")"),"ప్రయాణాన్ని రద్దు చేయండి")</f>
        <v>ప్రయాణాన్ని రద్దు చేయండి</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""ta"")"),"நீங்கள் ஆவணங்களைத் திருத்த விரும்புவது உறுதியா?")</f>
        <v>நீங்கள் ஆவணங்களைத் திருத்த விரும்புவது உறுதியா?</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నిజంగా పత్రాలను సవరించాలనుకుంటున్నారా?")</f>
        <v>మీరు నిజంగా పత్రాలను సవరించాలనుకుంటున్నారా?</v>
      </c>
    </row>
    <row r="282">
      <c r="A282" s="4" t="s">
        <v>548</v>
      </c>
      <c r="B282" s="5" t="s">
        <v>549</v>
      </c>
      <c r="C282" s="6" t="str">
        <f>IFERROR(__xludf.DUMMYFUNCTION("GOOGLETRANSLATE(B282, ""en"", ""ta"")"),"திருத்தம் தொடங்கியவுடன், ஆவணங்கள் சரிபார்க்கப்பட்டு அங்கீகரிக்கப்படும் வரை உங்கள் கணக்கு நிறுத்தி வைக்கப்படும்.")</f>
        <v>திருத்தம் தொடங்கியவுடன்,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నిలిపివేయబడుతుంది.")</f>
        <v>సవరణ ప్రారంభమైన తర్వాత, పత్రాలు ధృవీకరించబడి, ఆమోదించబడే వరకు మీ ఖాతా నిలిపివేయబడుతుంది.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""ta"")"),"உங்களுக்கு செலுத்த வேண்டிய நிலுவைத் தொகை ஏதேனும் இருந்தால், தயவுசெய்து அனைத்தையும் முன்கூட்டியே செலுத்திவிடவும்.")</f>
        <v>உங்களுக்கு செலுத்த வேண்டிய நிலுவைத் தொகை ஏதேனும் இருந்தால், தயவுசெய்து அனைத்தையும் முன்கூட்டியே செலுத்திவிடவும்.</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చెల్లించవలసిన బకాయి మొత్తం ఉంటే, దయచేసి ముందుగానే ఆ బకాయిలన్నీ చెల్లించండి.")</f>
        <v>మీకు చెల్లించవలసిన బకాయి మొత్తం ఉంటే, దయచేసి ముందుగానే ఆ బకాయిలన్నీ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""ta"")"),"ஆதார ஆவணங்கள்")</f>
        <v>ஆதார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""ta"")"),"ஆதார ஆவணங்கள்")</f>
        <v>ஆதார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""te"")"),"ప్రయాణాన్ని తిరస్కరించండి")</f>
        <v>ప్రయాణాన్ని తిరస్కరించండి</v>
      </c>
    </row>
    <row r="290">
      <c r="A290" s="4" t="s">
        <v>563</v>
      </c>
      <c r="B290" s="5" t="s">
        <v>564</v>
      </c>
      <c r="C290" s="6" t="str">
        <f>IFERROR(__xludf.DUMMYFUNCTION("GOOGLETRANSLATE(B290, ""en"", ""ta"")"),"சவாரியை ஏற்கவும்")</f>
        <v>சவாரியை ஏற்கவும்</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""te"")"),"ప్రయాణాన్ని అంగీకరించండి")</f>
        <v>ప్రయాణాన్ని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""te"")"),"ఇక్కడ బుక్ చేయబడింది")</f>
        <v>ఇక్కడ 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""te"")"),"నావిగేషన్‌ను ప్రారంభించండి")</f>
        <v>నావిగేషన్‌ను ప్రారంభించండి</v>
      </c>
    </row>
    <row r="293">
      <c r="A293" s="4" t="s">
        <v>569</v>
      </c>
      <c r="B293" s="5" t="s">
        <v>570</v>
      </c>
      <c r="C293" s="6" t="str">
        <f>IFERROR(__xludf.DUMMYFUNCTION("GOOGLETRANSLATE(B293, ""en"", ""ta"")"),"காத்திருப்பு நேரம்:")</f>
        <v>காத்திருப்பு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""ta"")"),"நிறுத்த டைமர்")</f>
        <v>நிறுத்த டைமர்</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""te"")"),"టైమర్‌ను ఆపండి")</f>
        <v>టైమర్‌ను ఆపండి</v>
      </c>
    </row>
    <row r="295">
      <c r="A295" s="4" t="s">
        <v>573</v>
      </c>
      <c r="B295" s="5" t="s">
        <v>574</v>
      </c>
      <c r="C295" s="6" t="str">
        <f>IFERROR(__xludf.DUMMYFUNCTION("GOOGLETRANSLATE(B295, ""en"", ""ta"")"),"சென்றடைந்தது")</f>
        <v>சென்றடைந்தது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""ta"")"),"பிக்கப் இடத்திற்கு வந்துவிட்டீர்களா?")</f>
        <v>பிக்கப் இடத்திற்கு வந்துவிட்டீர்களா?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ప్రదేశానికి చేరుకున్నారా?")</f>
        <v>పికప్ ప్రదేశానికి చేరుకున్నారా?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""ta"")"),"OTP-ஐ உள்ளிடவும்")</f>
        <v>OTP-ஐ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""te"")"),"OTPని నమోదు చేయండి")</f>
        <v>OTPని నమోదు చేయండి</v>
      </c>
    </row>
    <row r="300">
      <c r="A300" s="4" t="s">
        <v>583</v>
      </c>
      <c r="B300" s="5" t="s">
        <v>584</v>
      </c>
      <c r="C300" s="6" t="str">
        <f>IFERROR(__xludf.DUMMYFUNCTION("GOOGLETRANSLATE(B300, ""en"", ""ta"")"),"நீங்கள் உங்கள் இலக்கை வெற்றிகரமாக அடைந்துவிட்டீர்கள்.")</f>
        <v>நீங்கள் உங்கள் இலக்கை வெற்றிகரமாக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గమ్యస్థానానికి విజయవంతంగా చేరుకున్నారు")</f>
        <v>మీరు మీ గమ్యస్థానానికి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""te"")"),"ప్రయాణం ముగింపు")</f>
        <v>ప్రయాణం ముగింపు</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ఎనేబుల్ చేయండి")</f>
        <v>దయచేసి అవసరమైన అనుమతులను ఎనేబుల్ చేయండి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ప్రారంభించండి")</f>
        <v>ఇప్పుడే ప్రారంభించండి</v>
      </c>
    </row>
    <row r="304">
      <c r="A304" s="4" t="s">
        <v>589</v>
      </c>
      <c r="B304" s="5" t="s">
        <v>590</v>
      </c>
      <c r="C304" s="6" t="str">
        <f>IFERROR(__xludf.DUMMYFUNCTION("GOOGLETRANSLATE(B304, ""en"", ""ta"")"),"இடம் கண்டுபிடிக்கப்படவில்லை")</f>
        <v>இடம் கண்டுபிடிக்கப்படவில்லை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OTP-ஐ உள்ளிடவும்.")</f>
        <v>தயவுசெய்து OTP-ஐ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OTPని నమోదు చేయండి")</f>
        <v>దయచేసి OTPని నమోదు చేయండి</v>
      </c>
    </row>
    <row r="307">
      <c r="A307" s="4" t="s">
        <v>595</v>
      </c>
      <c r="B307" s="5" t="s">
        <v>596</v>
      </c>
      <c r="C307" s="6" t="str">
        <f>IFERROR(__xludf.DUMMYFUNCTION("GOOGLETRANSLATE(B307, ""en"", ""ta"")"),"நீங்கள் உங்களை அழைத்துச் செல்ல வேண்டிய இடத்தை அடைந்துவிட்டீர்கள்.")</f>
        <v>நீங்கள் உங்களை அழைத்துச் செல்ல வேண்டிய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ప్రదేశానికి చేరుకున్నారు")</f>
        <v>మీరు మీ పికప్ ప్రదేశానికి చేరుకున్నారు</v>
      </c>
    </row>
    <row r="308">
      <c r="A308" s="4" t="s">
        <v>597</v>
      </c>
      <c r="B308" s="5" t="s">
        <v>598</v>
      </c>
      <c r="C308" s="6" t="str">
        <f>IFERROR(__xludf.DUMMYFUNCTION("GOOGLETRANSLATE(B308, ""en"", ""ta"")"),"OTP-ஐ உள்ளிடவும்")</f>
        <v>OTP-ஐ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OTPని నమోదు చేయండి")</f>
        <v>దయచేసి OTPని నమోదు చేయండి</v>
      </c>
    </row>
    <row r="309">
      <c r="A309" s="4" t="s">
        <v>599</v>
      </c>
      <c r="B309" s="5" t="s">
        <v>600</v>
      </c>
      <c r="C309" s="6" t="str">
        <f>IFERROR(__xludf.DUMMYFUNCTION("GOOGLETRANSLATE(B309, ""en"", ""ta"")"),"நீங்கள் உங்கள் அடுத்த நிறுத்தத்தை அடைந்துவிட்டீர்கள்.")</f>
        <v>நீங்கள் உங்கள் அடுத்த நிறுத்தத்தை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గమ్యస్థానానికి చేరుకున్నారు")</f>
        <v>మీరు మీ తదుపరి గమ్యస్థానానికి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బోర్డులోకి రాలేదు")</f>
        <v>ఇంకా బోర్డులోకి రాలేదు</v>
      </c>
    </row>
    <row r="311">
      <c r="A311" s="4" t="s">
        <v>603</v>
      </c>
      <c r="B311" s="5" t="s">
        <v>604</v>
      </c>
      <c r="C311" s="6" t="str">
        <f>IFERROR(__xludf.DUMMYFUNCTION("GOOGLETRANSLATE(B311, ""en"", ""ta"")"),"வழிசெலுத்தல் பயன்முறையைத் தேர்ந்தெடுக்கவும்")</f>
        <v>வழிசெலுத்தல் பயன்முறையைத் தேர்ந்தெடுக்கவும்</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""ta"")"),"விஎம் வரைபடம்")</f>
        <v>விஎம்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""te"")"),"క్రియాశీల మార్గం లేదు")</f>
        <v>క్రియాశీల మార్గం లేదు</v>
      </c>
    </row>
    <row r="315">
      <c r="A315" s="4" t="s">
        <v>611</v>
      </c>
      <c r="B315" s="5" t="s">
        <v>612</v>
      </c>
      <c r="C315" s="6" t="str">
        <f>IFERROR(__xludf.DUMMYFUNCTION("GOOGLETRANSLATE(B315, ""en"", ""ta"")"),"பயணத்தை ரத்து செய்")</f>
        <v>பயணத்தை ரத்து 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చేయండి")</f>
        <v>రైడ్‌ను రద్దు చేయండి</v>
      </c>
    </row>
    <row r="316">
      <c r="A316" s="11" t="s">
        <v>613</v>
      </c>
      <c r="B316" s="10" t="s">
        <v>614</v>
      </c>
      <c r="C316" s="6" t="str">
        <f>IFERROR(__xludf.DUMMYFUNCTION("GOOGLETRANSLATE(B316, ""en"", ""ta"")"),"டெலிவரி செய்பவரைத் தொடர்பு கொள்ள முடியவில்லை அல்லது அவர் பிக்கப் இடத்தில் இல்லை.")</f>
        <v>டெலிவரி செய்பவரைத் தொடர்பு கொள்ள முடியவில்லை அல்லது அவர் பிக்கப்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ప్రదేశంలో లేరు")</f>
        <v>రైడర్ అందుబాటులో లేరు లేదా పికప్ ప్రదేశంలో లేరు</v>
      </c>
    </row>
    <row r="317">
      <c r="A317" s="11" t="s">
        <v>615</v>
      </c>
      <c r="B317" s="10" t="s">
        <v>616</v>
      </c>
      <c r="C317" s="6" t="str">
        <f>IFERROR(__xludf.DUMMYFUNCTION("GOOGLETRANSLATE(B317, ""en"", ""ta"")"),"தவறான அல்லது தொலைதூர பிக்கப் இடம்")</f>
        <v>தவறான அல்லது தொலைதூர பிக்கப்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ఉన్న పికప్ ప్రదేశం")</f>
        <v>తప్పు లేదా దూరంగా ఉన్న పికప్ ప్రదేశం</v>
      </c>
    </row>
    <row r="318">
      <c r="A318" s="11" t="s">
        <v>617</v>
      </c>
      <c r="B318" s="10" t="s">
        <v>618</v>
      </c>
      <c r="C318" s="6" t="str">
        <f>IFERROR(__xludf.DUMMYFUNCTION("GOOGLETRANSLATE(B318, ""en"", ""ta"")"),"சேருமிடம் மிகவும் தொலைவில் உள்ளது அல்லது சேவைப் பகுதிக்கு வெளியே உள்ளது")</f>
        <v>சேருமிடம் மிகவும் தொலைவில் உள்ளது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ఉంది లేదా సేవా ప్రాంతం వెలుపల ఉంది")</f>
        <v>గమ్యస్థానం చాలా దూరంలో ఉంది లేదా సేవా ప్రాంతం వెలుపల ఉంది</v>
      </c>
    </row>
    <row r="319">
      <c r="A319" s="11" t="s">
        <v>619</v>
      </c>
      <c r="B319" s="10" t="s">
        <v>620</v>
      </c>
      <c r="C319" s="6" t="str">
        <f>IFERROR(__xludf.DUMMYFUNCTION("GOOGLETRANSLATE(B319, ""en"", ""ta"")"),"முன்பதிவு செய்த பிறகு, பயணி இறங்கும் இடத்தை மாற்றினார்.")</f>
        <v>முன்பதிவு செய்த பிறகு, பயணி இறங்கும்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లొకేషన్‌ను మార్చారు")</f>
        <v>బుకింగ్ తర్వాత రైడర్ డ్రాప్ లొకేషన్‌ను మార్చారు</v>
      </c>
    </row>
    <row r="320">
      <c r="A320" s="11" t="s">
        <v>621</v>
      </c>
      <c r="B320" s="10" t="s">
        <v>622</v>
      </c>
      <c r="C320" s="6" t="str">
        <f>IFERROR(__xludf.DUMMYFUNCTION("GOOGLETRANSLATE(B320, ""en"", ""ta"")"),"பணம் செலுத்தும் முறை ஏற்றுக்கொள்ளப்படவில்லை")</f>
        <v>பணம் செலுத்தும் முறை ஏற்றுக்கொள்ளப்படவில்லை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""ta"")"),"வாகனத்தில் சிக்கல் அல்லது குறைந்த எரிபொருள்")</f>
        <v>வாகனத்தில் சிக்கல்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ఇంధనం తక్కువగా ఉండటం")</f>
        <v>వాహన సమస్య లేదా ఇంధనం తక్కువగా ఉండటం</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 நிலைமைகள்")</f>
        <v>மோசமான போக்குவரத்து அல்லது வானிலை நிலைமைகள்</v>
      </c>
      <c r="D323" s="6" t="str">
        <f>IFERROR(__xludf.DUMMYFUNCTION("GOOGLETRANSLATE(B323, ""en"", ""hi"")"),"खराब यातायात या खराब मौसम की स्थिति")</f>
        <v>खराब यातायात या खराब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""te"")"),"పేలవమైన ట్రాఫిక్ లేదా వాతావరణ పరిస్థితులు")</f>
        <v>పేలవమైన ట్రాఫిక్ లేదా వాతావరణ పరిస్థితులు</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యాత్రను రద్దు చేయడానికి గల కారణాన్ని ఎంచుకోండి :")</f>
        <v>దయచేసి యాత్రను రద్దు చేయడానికి గల కారణాన్ని ఎంచుకోండి :</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தேடுங்கள்...")</f>
        <v>டிக்கெட்டுகளைத் தேடுங்கள்...</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కోసం వెతకండి...")</f>
        <v>టిక్కెట్ల కోసం వెతకండి...</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""te"")"),"తెరవండి")</f>
        <v>తెరవండి</v>
      </c>
    </row>
    <row r="329">
      <c r="A329" s="4" t="s">
        <v>639</v>
      </c>
      <c r="B329" s="5" t="s">
        <v>640</v>
      </c>
      <c r="C329" s="6" t="str">
        <f>IFERROR(__xludf.DUMMYFUNCTION("GOOGLETRANSLATE(B329, ""en"", ""ta"")"),"முன்னேற்றத்தில் உள்ளது")</f>
        <v>முன்னேற்றத்தில்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""ta"")"),"தீவிரமடைந்தது")</f>
        <v>தீவிரமடைந்தது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ఇక టిక్కెట్లు లేవు")</f>
        <v>లోడ్ చేయడానికి ఇక టిక్కెట్లు లేవు</v>
      </c>
    </row>
    <row r="334">
      <c r="A334" s="4" t="s">
        <v>649</v>
      </c>
      <c r="B334" s="5" t="s">
        <v>650</v>
      </c>
      <c r="C334" s="6" t="str">
        <f>IFERROR(__xludf.DUMMYFUNCTION("GOOGLETRANSLATE(B334, ""en"", ""ta"")"),"மேலும் டிக்கெட்டுகள் ஏற்றப்படுகின்றன...")</f>
        <v>மேலும் டிக்கெட்டுகள் ஏற்றப்படுகின்றன...</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காணப்படவில்லை")</f>
        <v>டிக்கெட்டுகள் எதுவும் காணப்படவில்லை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ఏవీ కనుగొనబడలేదు")</f>
        <v>టిక్కెట్లు ఏవీ కనుగొనబడలేదు</v>
      </c>
    </row>
    <row r="337">
      <c r="A337" s="4" t="s">
        <v>655</v>
      </c>
      <c r="B337" s="5" t="s">
        <v>656</v>
      </c>
      <c r="C337" s="6" t="str">
        <f>IFERROR(__xludf.DUMMYFUNCTION("GOOGLETRANSLATE(B337, ""en"", ""ta"")"),"உங்கள் தேடல் சொற்களைச் சரிசெய்ய முயற்சிக்கவும்")</f>
        <v>உங்கள் தேடல் சொற்களைச்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உருவாக்கவும்")</f>
        <v>உங்கள் முதல் ஆதரவு டிக்கெட்டை உருவாக்கவும்</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உருவாக்கவும்")</f>
        <v>புதிய டிக்கெட்டை உருவாக்கவும்</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టిక్కెట్‌ను సృష్టించండి")</f>
        <v>కొత్త టిక్కెట్‌ను సృష్టించండి</v>
      </c>
    </row>
    <row r="340">
      <c r="A340" s="4" t="s">
        <v>661</v>
      </c>
      <c r="B340" s="5" t="s">
        <v>662</v>
      </c>
      <c r="C340" s="6" t="str">
        <f>IFERROR(__xludf.DUMMYFUNCTION("GOOGLETRANSLATE(B340, ""en"", ""ta"")"),"உங்கள் பிரச்சினையை விவரியுங்கள், அதைத் தீர்க்க நாங்கள் உங்களுக்கு உதவுவோம்.")</f>
        <v>உங்கள் பிரச்சினையை விவரியுங்கள், அதைத் தீர்க்க நாங்கள் உங்களுக்கு உதவுவோம்.</v>
      </c>
      <c r="D340" s="6" t="str">
        <f>IFERROR(__xludf.DUMMYFUNCTION("GOOGLETRANSLATE(B340, ""en"", ""hi"")"),"अपनी समस्या का वर्णन करें और हम इसे हल करने में आपकी सहायता करेंगे।")</f>
        <v>अपनी समस्या का वर्णन करें और हम इसे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f>
        <v>பயன்பாடு தொடர்பான</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""te"")"),"యాప్ సంబంధిత")</f>
        <v>యాప్ సంబంధిత</v>
      </c>
    </row>
    <row r="343">
      <c r="A343" s="4" t="s">
        <v>667</v>
      </c>
      <c r="B343" s="5" t="s">
        <v>668</v>
      </c>
      <c r="C343" s="6" t="str">
        <f>IFERROR(__xludf.DUMMYFUNCTION("GOOGLETRANSLATE(B343, ""en"", ""ta"")"),"பயணம் தொடர்பான")</f>
        <v>பயணம் தொடர்பான</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""te"")"),"యాత్ర సంబంధిత")</f>
        <v>యాత్ర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""te"")"),"ట్రిప్‌ను ఎంచుకోండి")</f>
        <v>ట్రిప్‌ను ఎంచుకోండి</v>
      </c>
    </row>
    <row r="345">
      <c r="A345" s="4" t="s">
        <v>671</v>
      </c>
      <c r="B345" s="5" t="s">
        <v>672</v>
      </c>
      <c r="C345" s="6" t="str">
        <f>IFERROR(__xludf.DUMMYFUNCTION("GOOGLETRANSLATE(B345, ""en"", ""ta"")"),"உங்கள் பயண வரலாற்றிலிருந்து ஒரு பயணத்தைத் தேர்ந்தெடுக்கவும்")</f>
        <v>உங்கள் பயண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ప్రయాణ చరిత్ర నుండి ఒక యాత్రను ఎంచుకోండి")</f>
        <v>మీ ప్రయాణ చరిత్ర నుండి ఒక యాత్రను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""te"")"),"యాత్ర వివరాలు")</f>
        <v>యాత్ర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""ta"")"),"க்கு")</f>
        <v>க்கு</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""ta"")"),"ஓட்டுநர்")</f>
        <v>ஓட்டுநர்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f>
        <v>நிலை</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""ta"")"),"பிரிவுகள் ஏற்றப்படுகின்றன...")</f>
        <v>பிரிவுகள் ஏற்றப்படுகின்றன...</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""te"")"),"కేటగిరీలు లోడ్ అవుతున్నాయి...")</f>
        <v>కేటగిరీలు లోడ్ అవుతున్నాయి...</v>
      </c>
    </row>
    <row r="355">
      <c r="A355" s="4" t="s">
        <v>691</v>
      </c>
      <c r="B355" s="5" t="s">
        <v>692</v>
      </c>
      <c r="C355" s="6" t="str">
        <f>IFERROR(__xludf.DUMMYFUNCTION("GOOGLETRANSLATE(B355, ""en"", ""ta"")"),"இந்த டிக்கெட் வகைக்கு எந்தப் பிரிவுகளும் கிடைக்கவில்லை.")</f>
        <v>இந்த டிக்கெட் வகைக்கு எந்தப் பிரிவுகளும்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టిక్కెట్ రకానికి కేటగిరీలు అందుబాటులో లేవు")</f>
        <v>ఈ టిక్కెట్ రకానికి కేటగిరీలు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குறித்த விரிவான தகவல்களை வழங்கவும்...")</f>
        <v>உங்கள் பிரச்சினை குறித்த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సవివరమైన సమాచారాన్ని అందించండి...")</f>
        <v>దయచేసి మీ సమస్య గురించి సవివరమైన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""te"")"),"ఇకపై లోడ్ చేయడానికి ప్రయాణాలు లేవు")</f>
        <v>ఇకపై లోడ్ చేయడానికి ప్రయాణాలు లేవు</v>
      </c>
    </row>
    <row r="359">
      <c r="A359" s="4" t="s">
        <v>699</v>
      </c>
      <c r="B359" s="5" t="s">
        <v>700</v>
      </c>
      <c r="C359" s="6" t="str">
        <f>IFERROR(__xludf.DUMMYFUNCTION("GOOGLETRANSLATE(B359, ""en"", ""ta"")"),"உங்கள் சமீபத்திய பயணங்கள் ஏற்றப்படுகின்றன...")</f>
        <v>உங்கள் சமீபத்திய பயணங்கள் ஏற்றப்படுகின்றன...</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ప్రయాణాలు లోడ్ అవుతున్నాయి...")</f>
        <v>మీ ఇటీవలి ప్రయాణాలు లోడ్ అవుతున్నాయి...</v>
      </c>
    </row>
    <row r="360">
      <c r="A360" s="4" t="s">
        <v>419</v>
      </c>
      <c r="B360" s="5" t="s">
        <v>420</v>
      </c>
      <c r="C360" s="6" t="str">
        <f>IFERROR(__xludf.DUMMYFUNCTION("GOOGLETRANSLATE(B360, ""en"", ""ta"")"),"பயணங்கள் எதுவும் காணப்படவில்லை")</f>
        <v>பயணங்கள் எதுவும் காணப்படவில்லை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""te"")"),"పర్యటనలు ఏవీ కనుగొనబడలేదు")</f>
        <v>పర్యటనలు ఏవీ కనుగొనబడలేదు</v>
      </c>
    </row>
    <row r="361">
      <c r="A361" s="4" t="s">
        <v>701</v>
      </c>
      <c r="B361" s="5" t="s">
        <v>702</v>
      </c>
      <c r="C361" s="6" t="str">
        <f>IFERROR(__xludf.DUMMYFUNCTION("GOOGLETRANSLATE(B361, ""en"", ""ta"")"),"உங்கள் பயண வரலாற்றில் இன்னும் எந்தப் பயணங்களும் இல்லை.")</f>
        <v>உங்கள் பயண வரலாற்றில் இன்னும்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ప్రయాణాలు లేవు")</f>
        <v>మీ చరిత్రలో ఇంకా ఎలాంటి ప్రయాణాలు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""te"")"),"ట్రిప్‌ను ఎంచుకోండి")</f>
        <v>ట్రిప్‌ను ఎంచుకోండి</v>
      </c>
    </row>
    <row r="363">
      <c r="A363" s="4" t="s">
        <v>703</v>
      </c>
      <c r="B363" s="5" t="s">
        <v>704</v>
      </c>
      <c r="C363" s="6" t="str">
        <f>IFERROR(__xludf.DUMMYFUNCTION("GOOGLETRANSLATE(B363, ""en"", ""ta"")"),"பயணங்கள் ஏற்றப்படுகின்றன..")</f>
        <v>பயணங்கள் ஏற்றப்படுகின்றன..</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 లోడ్ అవుతున్నాయి..")</f>
        <v>ట్రిప్పులు లోడ్ అవుతున్నాయి..</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తక్షణమే తొలగించబడినట్లుగా గుర్తించబడుతుంది.")</f>
        <v>మీ ఖాతా తక్షణమే తొలగించబడినట్లుగా గుర్తించబడుతుంది.</v>
      </c>
    </row>
    <row r="366">
      <c r="A366" s="4" t="s">
        <v>709</v>
      </c>
      <c r="B366" s="5" t="s">
        <v>710</v>
      </c>
      <c r="C366" s="6" t="str">
        <f>IFERROR(__xludf.DUMMYFUNCTION("GOOGLETRANSLATE(B366, ""en"", ""ta"")"),"தொடர்புடைய அனைத்துத் தரவுகளும் 30 நாட்களுக்குள் நிரந்தரமாக நீக்கப்படும்.")</f>
        <v>தொடர்புடைய அனைத்துத்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செயலைத் திரும்பப் பெற முடியாது - நீக்கப்பட்ட தரவை மீட்டெடுக்க இயலாது.")</f>
        <v>இந்தச் செயலைத் திரும்பப் பெற முடியாது - நீக்கப்பட்ட தரவை மீட்டெடுக்க இயலாது.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చేయలేము - తొలగించిన డేటాను తిరిగి పొందలేము.")</f>
        <v>ఈ చర్యను రద్దు చేయలేము - తొలగించిన డేటాను తిరిగి పొందలేము.</v>
      </c>
    </row>
    <row r="368">
      <c r="A368" s="4" t="s">
        <v>713</v>
      </c>
      <c r="B368" s="5" t="s">
        <v>714</v>
      </c>
      <c r="C368" s="6" t="str">
        <f>IFERROR(__xludf.DUMMYFUNCTION("GOOGLETRANSLATE(B368, ""en"", ""ta"")"),"இதற்குப் பிறகு உங்களால் பயணங்களை மேற்கொள்ளவோ ​​அல்லது ஓட்டுநர் அம்சங்களை அணுகவோ முடியாது.")</f>
        <v>இதற்குப் பிறகு உங்களால் பயணங்களை மேற்கொள்ளவோ ​​அல்லது ஓட்டுநர்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ప్రయాణాలు చేయలేరు లేదా డ్రైవర్ ఫీచర్లను యాక్సెస్ చేయలేరు.")</f>
        <v>దీని తర్వాత మీరు ప్రయాణాలు చేయలేరు లేదా డ్రైవర్ ఫీచర్లను యాక్సెస్ చేయలేరు.</v>
      </c>
    </row>
    <row r="369">
      <c r="A369" s="4" t="s">
        <v>715</v>
      </c>
      <c r="B369" s="5" t="s">
        <v>716</v>
      </c>
      <c r="C369" s="6" t="str">
        <f>IFERROR(__xludf.DUMMYFUNCTION("GOOGLETRANSLATE(B369, ""en"", ""ta"")"),"சட்டப்படி தேவைப்படும் பட்சத்தில், சில பதிவேடுகள் (உதாரணமாக, பணம் செலுத்தியவை/பெறப்பட்டவை) பாதுகாக்கப்படலாம்.")</f>
        <v>சட்டப்படி தேவைப்படும் பட்சத்தில், சில பதிவேடுகள் (உதாரணமாக, பணம் செலுத்தியவை/பெறப்பட்டவை) பாதுகாக்கப்படலாம்.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అవసరమైతే కొన్ని రికార్డులను (ఉదాహరణకు, చెల్లింపులు/రసీదులు) భద్రపరచవచ్చు.")</f>
        <v>చట్టం ప్రకారం అవసరమైతే కొన్ని రికార్డులను (ఉదాహరణకు, చెల్లింపులు/రసీదులు) భద్రపరచవచ్చు.</v>
      </c>
    </row>
    <row r="370">
      <c r="A370" s="4" t="s">
        <v>717</v>
      </c>
      <c r="B370" s="5" t="s">
        <v>718</v>
      </c>
      <c r="C370" s="6" t="str">
        <f>IFERROR(__xludf.DUMMYFUNCTION("GOOGLETRANSLATE(B370, ""en"", ""ta"")"),"எனது கணக்கு இப்போது நீக்கப்பட்டதாகக் குறிக்கப்படும், எனது தரவுகள் 30 நாட்களுக்குள் நிரந்தரமாக நீக்கப்படும், என்னால் பயணங்கள் மேற்கொள்ள முடியாது, மேலும் இந்த நடவடிக்கையைத் திரும்பப் பெற முடியாது என்பதை நான் புரிந்துகொள்கிறேன்.")</f>
        <v>எனது கணக்கு இப்போது நீக்கப்பட்டதாகக் குறிக்கப்படும், எனது தரவுகள் 30 நாட்களுக்குள் நிரந்தரமாக நீக்கப்படும், என்னால் பயணங்கள் மேற்கொள்ள முடியாது, மேலும் இந்த நடவடிக்கையைத் திரும்பப் பெற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తొలగించబడినట్లుగా గుర్తించబడుతుందని, 30 రోజుల్లో నా డేటా శాశ్వతంగా తొలగించబడుతుందని, నేను ప్రయాణాలు చేయలేనని, మరియు ఈ చర్యను వెనక్కి తీసుకోలేమని నేను అర్థం చేసుకున్నాను.")</f>
        <v>నా ఖాతా ఇప్పుడు తొలగించబడినట్లుగా గుర్తించబడుతుందని, 30 రోజుల్లో నా డేటా శాశ్వతంగా తొలగించబడుతుందని, నేను ప్రయాణాలు చేయలేనని, మరియు ఈ చర్యను వెనక్కి తీసుకోలేమని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""ta"")"),"சரியான தொலைபேசி எண்ணை உள்ளிடவும்.")</f>
        <v>சரியான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సరైన ఫోన్ నంబర్‌ను నమోదు చేయండి")</f>
        <v>దయచేసి సరైన ఫోన్ నంబర్‌ను నమోదు చేయండి</v>
      </c>
    </row>
    <row r="373">
      <c r="A373" s="4" t="s">
        <v>723</v>
      </c>
      <c r="B373" s="5" t="s">
        <v>724</v>
      </c>
      <c r="C373" s="6" t="str">
        <f>IFERROR(__xludf.DUMMYFUNCTION("GOOGLETRANSLATE(B373, ""en"", ""ta"")"),"விதிமுறைகள் மற்றும் நிபந்தனைகளுக்கு ஒப்புக்கொள்ளவும்.")</f>
        <v>விதிமுறைகள் மற்றும் நிபந்தனைகளுக்கு ஒப்புக்கொள்ளவும்.</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షరతులకు అంగీకరించండి")</f>
        <v>దయచేసి నిబంధనలు మరియు షరతులకు అంగీకరించండి</v>
      </c>
    </row>
    <row r="374">
      <c r="A374" s="4" t="s">
        <v>725</v>
      </c>
      <c r="B374" s="5" t="s">
        <v>726</v>
      </c>
      <c r="C374" s="6" t="str">
        <f>IFERROR(__xludf.DUMMYFUNCTION("GOOGLETRANSLATE(B374, ""en"", ""ta"")"),"உங்கள் பதிவு செய்யப்பட்ட தொலைபேசி எண்ணை உள்ளிடவும்")</f>
        <v>உங்கள் பதிவு 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నమోదిత ఫోన్ నంబర్‌ను నమోదు చేయండి")</f>
        <v>దయచేసి మీ నమోదిత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RC ஆவணத்தின் பின்புறம்")</f>
        <v>வாகன RC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పత్రం వెనుక వైపు")</f>
        <v>వాహన RC పత్రం వెనుక వైపు</v>
      </c>
    </row>
    <row r="378">
      <c r="A378" s="4" t="s">
        <v>733</v>
      </c>
      <c r="B378" s="5" t="s">
        <v>734</v>
      </c>
      <c r="C378" s="6" t="str">
        <f>IFERROR(__xludf.DUMMYFUNCTION("GOOGLETRANSLATE(B378, ""en"", ""ta"")"),"வாழ்நாள்")</f>
        <v>வாழ்நாள்</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""ta"")"),"பின்னூட்டம் எழுதுங்கள்")</f>
        <v>பின்னூட்டம்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விஷயங்களைக் கூறுங்கள்.")</f>
        <v>எங்கள் செயலியைப் பற்றி சில நல்ல விஷயங்களைக் கூறுங்கள்.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செயலியைப் பற்றி சில மோசமான விஷயங்களைச் சொல்லுங்கள்")</f>
        <v>எங்கள் செயலியைப்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చెడ్డ విషయాలు చెప్పండి")</f>
        <v>మా యాప్ గురించి కొన్ని చెడ్డ విషయాలు చెప్పండి</v>
      </c>
    </row>
    <row r="385">
      <c r="A385" s="4" t="s">
        <v>747</v>
      </c>
      <c r="B385" s="5" t="s">
        <v>748</v>
      </c>
      <c r="C385" s="6" t="str">
        <f>IFERROR(__xludf.DUMMYFUNCTION("GOOGLETRANSLATE(B385, ""en"", ""ta"")"),"நீங்கள் கூற விரும்பும் மேம்பாடுகள்")</f>
        <v>நீங்கள் கூற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பிரச்சினைகள்")</f>
        <v>நீங்கள் எதிர்கொள்ளும் பிரச்சினைகள்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చెడ్డ విషయాలను నమోదు చేయండి")</f>
        <v>దయచేసి కొన్ని చెడ్డ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సూచించండి")</f>
        <v>దయచేసి కొన్ని మెరుగుదలలను సూచించండి</v>
      </c>
    </row>
    <row r="391">
      <c r="A391" s="4" t="s">
        <v>759</v>
      </c>
      <c r="B391" s="5" t="s">
        <v>760</v>
      </c>
      <c r="C391" s="6" t="str">
        <f>IFERROR(__xludf.DUMMYFUNCTION("GOOGLETRANSLATE(B391, ""en"", ""ta"")"),"தயவுசெய்து சில சிக்கல்களை உள்ளிடவும்")</f>
        <v>தயவுசெய்து 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""ta"")"),"சரியான மின்னஞ்சலை உள்ளிடவும்")</f>
        <v>சரியான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""ta"")"),"இலக்கை அடைந்தார்")</f>
        <v>இலக்கை அடைந்தார்</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""te"")"),"గమ్యస్థానానికి చేరుకున్నారు")</f>
        <v>గమ్యస్థానానికి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పర్యటనను ముగించడానికి ఒక కారణాన్ని ఎంచుకోండి :")</f>
        <v>దయచేసి పర్యటనను ముగించడానికి ఒక కారణాన్ని ఎంచుకోండి :</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""ta"")"),"தயவுசெய்து மின்னஞ்சலை உள்ளிடவும்")</f>
        <v>தயவுசெய்து மின்னஞ்சலை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 அளிக்கிறது....")</f>
        <v>புத்துணர்ச்சி அளிக்கிறது....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""te"")"),"ఉల్లాసంగా ఉంది....")</f>
        <v>ఉల్లాసంగా ఉంది....</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""te"")"),"వివరాలను వీక్షించండి")</f>
        <v>వివరాలను వీక్షించండి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""te"")"),"ధరల పట్టిక")</f>
        <v>ధరల పట్టిక</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பயணிகளுக்கான எச்சரிக்கைகள் மற்றும் தடையற்ற வழிசெலுத்தல் புதுப்பிப்புகளுக்காக, எங்களுக்கு இருப்பிடம், பின்னணி கண்காணிப்பு மற்றும் அறிவிப்பு அனுமதிகள் தேவைப்படுகின்றன.")</f>
        <v>வாகனம் ஓட்டும்போது நிகழ்நேர பயணக் கண்காணிப்பு, பயணிகளுக்கான எச்சரிக்கைகள் மற்றும் தடையற்ற வழிசெலுத்தல் புதுப்பிப்புகளுக்காக, எங்களுக்கு இருப்பிடம், பின்னணி கண்காணிப்பு மற்றும் அறிவிப்பு அனுமதிகள் தேவைப்படுகின்றன.</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నిజ-సమయ ప్రయాణ పర్యవేక్షణ, ప్రయాణీకుల హెచ్చరికలు మరియు నిరంతర నావిగేషన్ అప్‌డేట్‌ల కోసం మాకు లొకేషన్, బ్యాక్‌గ్రౌండ్ ట్రాకింగ్ మరియు నోటిఫికేషన్ అనుమతులు అవసరం.")</f>
        <v>డ్రైవింగ్ చేస్తున్నప్పుడు నిజ-సమయ ప్రయాణ పర్యవేక్షణ, ప్రయాణీకుల హెచ్చరికలు మరియు నిరంతర నావిగేషన్ అప్‌డేట్‌ల కోసం మాకు లొకేషన్, బ్యాక్‌గ్రౌండ్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""ta"")"),"செயலி திறந்திருக்காத போதும் உங்கள் இருப்பிடத்தைக் கண்காணிக்க, NOT செயலிக்குப் பின்னணி இருப்பிட அனுமதி தேவையில்லை. இது தொடர்ச்சியான கண்காணிப்பை அனுமதிப்பதோடு, எல்லா நேரங்களிலும் துல்லியமான இருப்பிடத் தரவு சேகரிக்கப்படுவதையும் உறுதி செய்கிறது.")</f>
        <v>செயலி திறந்திருக்காத போதும் உங்கள் இருப்பிடத்தைக் கண்காணிக்க, NOT செயலிக்குப் பின்னணி இருப்பிட அனுமதி தேவையில்லை. இது தொடர்ச்சியான கண்காணிப்பை அனுமதிப்பதோடு, எல்லா நேரங்களிலும் துல்லியமான இருப்பிடத் தரவு சேகரிக்கப்படுவதையும் உறுதி செய்கிறது.</v>
      </c>
      <c r="D407" s="6" t="str">
        <f>IFERROR(__xludf.DUMMYFUNCTION("GOOGLETRANSLATE(B407, ""en"", ""hi"")"),"NOT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f>
        <v>NOT ऐप के बंद होने पर भी आपकी लोकेशन ट्रैक करने के लिए बैकग्राउंड लोकेशन परमिशन की आवश्यकता होती है। इससे लगातार ट्रैकिंग संभव होती है और यह सुनिश्चित होता है कि हर समय सटीक लोकेशन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తెరిచి లేనప్పుడు కూడా మీ లొకేషన్‌ను ట్రాక్ చేయడానికి NOTకు బ్యాక్‌గ్రౌండ్ లొకేషన్ అనుమతి అవసరం. ఇది నిరంతర ట్రాకింగ్‌ను అనుమతిస్తుంది మరియు అన్ని సమయాల్లో ఖచ్చితమైన లొకేషన్ డేటా సేకరించబడుతుందని నిర్ధారిస్తుంది.")</f>
        <v>యాప్ తెరిచి లేనప్పుడు కూడా మీ లొకేషన్‌ను ట్రాక్ చేయడానికి NOTకు బ్యాక్‌గ్రౌండ్ లొకేషన్ అనుమతి అవసరం. ఇది నిరంతర ట్రాకింగ్‌ను అనుమతిస్తుంది మరియు అన్ని సమయాల్లో ఖచ్చితమైన లొకేషన్ డేటా సేకరించబడుతుందని నిర్ధారిస్తుంది.</v>
      </c>
    </row>
    <row r="408">
      <c r="A408" s="12" t="s">
        <v>793</v>
      </c>
      <c r="B408" s="13" t="s">
        <v>794</v>
      </c>
      <c r="C408" s="6" t="str">
        <f>IFERROR(__xludf.DUMMYFUNCTION("GOOGLETRANSLATE(B408, ""en"", ""ta"")"),"மற்ற செயலிகளின் மேல் காண்பிக்கவும்")</f>
        <v>மற்ற செயலிகளின் மேல் காண்பிக்கவும்</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ప్రదర్శించండి")</f>
        <v>ఇతర యాప్‌ల పైన ప్రదర్శించండి</v>
      </c>
    </row>
    <row r="409">
      <c r="A409" s="12" t="s">
        <v>795</v>
      </c>
      <c r="B409" s="13" t="s">
        <v>796</v>
      </c>
      <c r="C409" s="6" t="str">
        <f>IFERROR(__xludf.DUMMYFUNCTION("GOOGLETRANSLATE(B409, ""en"", ""ta"")"),"பிற செயலிகளின் மேல் காண்பிக்க: பிற செயலிகளின் மேல் இந்த மேலடுக்குத் திரையைக் காண்பிக்க இந்த அனுமதி தேவைப்படுகிறது. இது, ஓட்டுநர்கள் புதிய பயணக் கோரிக்கைகளுக்கு உடனடியாகப் பதிலளிப்பதை உறுதி செய்கிறது. இந்த மேலடுக்குத் திரை, விளம்பரத்திற்கோ அல்லது தொடர்பில்"&amp;"லாத உள்ளடக்கத்திற்கோ பயன்படுத்தப்படுவதில்லை.")</f>
        <v>பிற செயலிகளின் மேல் காண்பிக்க: பிற செயலிகளின் மேல் இந்த மேலடுக்குத் திரையைக் காண்பிக்க இந்த அனுமதி தேவைப்படுகிறது. இது, ஓட்டுநர்கள் புதிய பயணக் கோரிக்கைகளுக்கு உடனடியாகப் பதிலளிப்பதை உறுதி செய்கிறது. இந்த மேலடுக்குத் திரை, விளம்பரத்திற்கோ அல்லது தொடர்பில்லாத உள்ளடக்கத்திற்கோ பயன்படுத்தப்படுவதில்லை.</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 పైన ఓవర్‌లేను ప్రదర్శించడానికి ఈ అనుమతి అవసరం. దీనివల్ల డ్రైవర్లు కొత్త రైడ్ అభ్యర్థనలకు వెంటనే స్పందించగలరు. ఈ ఓవర్‌లేను ప్రకటనల కోసం లేదా సంబంధం లేని కంటెంట్ కోసం ఉపయోగించరు.")</f>
        <v>ఇతర యాప్‌ల పైన ఓవర్‌లేను ప్రదర్శించడానికి ఈ అనుమతి అవసరం. దీనివల్ల డ్రైవర్లు కొత్త రైడ్ అభ్యర్థనలకు వెంటనే స్పందించగలరు. ఈ ఓవర్‌లేను ప్రకటనల కోసం లేదా సంబంధం లేని కంటెంట్ కోసం ఉపయోగించరు.</v>
      </c>
    </row>
    <row r="410">
      <c r="A410" s="4" t="s">
        <v>797</v>
      </c>
      <c r="B410" s="5" t="s">
        <v>798</v>
      </c>
      <c r="C410" s="6" t="str">
        <f>IFERROR(__xludf.DUMMYFUNCTION("GOOGLETRANSLATE(B410, ""en"", ""ta"")"),"பேட்டரி மேம்படுத்தலை முடக்கு")</f>
        <v>பேட்டரி மேம்படுத்தலை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மேம்படுத்தலை முடக்குவது, செயலி தீவிரமாகப் பயன்பாட்டில் இல்லாதபோதும் சிறந்த துல்லியத்திற்காகத் தொடர்ச்சியான கண்காணிப்பைச் செயல்படுத்துகிறது, ஆனால் இது பேட்டரி பயன்பாட்டைச் சற்றே அதிகரிக்கக்கூடும். உகந்த கண்காணிப்புச் செயல்திறனுக்காக, செயலி அமைப்புக"&amp;"ளிலிருந்து பேட்டரி மேம்படுத்தலை முடக்குமாறு நாங்கள் பரிந்துரைக்கிறோம்.")</f>
        <v>பேட்டரி மேம்படுத்தலை முடக்குவது, செயலி தீவிரமாகப் பயன்பாட்டில் இல்லாதபோதும் சிறந்த துல்லியத்திற்காகத் தொடர்ச்சியான கண்காணிப்பைச் செயல்படுத்துகிறது, ஆனால் இது பேட்டரி பயன்பாட்டைச் சற்றே அதிகரிக்கக்கூடும். உகந்த கண்காணிப்புச் செயல்திறனுக்காக, செயலி அமைப்புகளிலிருந்து பேட்டரி மேம்படுத்தலை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డిసేబుల్ చేయడం వల్ల, యాప్ యాక్టివ్‌గా ఉపయోగంలో లేనప్పుడు కూడా మెరుగైన కచ్చితత్వం కోసం నిరంతర ట్రాకింగ్ సాధ్యమవుతుంది, కానీ దీనివల్ల బ్యాటరీ వినియోగం కొద్దిగా పెరగవచ్చు. ఉత్తమమైన ట్రాకింగ్ పనితీరు కోసం, యాప్ సెట్టింగ్‌ల నుండి బ్యాటర"&amp;"ీ ఆప్టిమైజేషన్‌ను డిసేబుల్ చేయమని మేము మీకు సిఫార్సు చేస్తున్నాము.")</f>
        <v>బ్యాటరీ ఆప్టిమైజేషన్‌ను డిసేబుల్ చేయడం వల్ల, యాప్ యాక్టివ్‌గా ఉపయోగంలో లేనప్పుడు కూడా మెరుగైన కచ్చితత్వం కోసం నిరంతర ట్రాకింగ్ సాధ్యమవుతుంది, కానీ దీనివల్ల బ్యాటరీ వినియోగం కొద్దిగా పెరగవచ్చు. ఉత్తమమైన ట్రాకింగ్ పనితీరు కోసం, యాప్ సెట్టింగ్‌ల నుండి బ్యాటరీ ఆప్టిమైజేషన్‌ను డిసేబుల్ చేయమని మేము మీకు సిఫార్సు చేస్తున్నాము.</v>
      </c>
    </row>
    <row r="412">
      <c r="A412" s="4" t="s">
        <v>801</v>
      </c>
      <c r="B412" s="5" t="s">
        <v>802</v>
      </c>
      <c r="C412" s="6" t="str">
        <f>IFERROR(__xludf.DUMMYFUNCTION("GOOGLETRANSLATE(B412, ""en"", ""ta"")"),"இந்தத் திரையில் நீங்கள் அனுமதிகளை இயக்க மட்டுமே முடியும், அனுமதியை முடக்க, மொபைல் அமைப்புகளில் அதை கைமுறையாக முடக்கவும்.")</f>
        <v>இந்தத் திரையில் நீங்கள் அனுமதிகளை இயக்க மட்டுமே முடியும், அனுமதியை முடக்க,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ఎనేబుల్ మాత్రమే చేయగలరు, అనుమతులను డిసేబుల్ చేయడానికి మొబైల్ సెట్టింగ్స్‌లో మాన్యువల్‌గా డిసేబుల్ చేయండి.")</f>
        <v>ఈ స్క్రీన్‌లో మీరు అనుమతులను ఎనేబుల్ మాత్రమే చేయగలరు, అనుమతులను డిసేబుల్ చేయడానికి మొబైల్ సెట్టింగ్స్‌లో మాన్యువల్‌గా డిసేబుల్ చేయండి.</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""ta"")"),"அழைப்பு ஆதரவு")</f>
        <v>அழைப்பு ஆதரவு</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""te"")"),"కాల్ సపోర్ట్")</f>
        <v>కాల్ సపోర్ట్</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""te"")"),"ఇమెయిల్ పంపండి")</f>
        <v>ఇమెయిల్ పంపండి</v>
      </c>
    </row>
    <row r="423">
      <c r="A423" s="4" t="s">
        <v>823</v>
      </c>
      <c r="B423" s="5" t="s">
        <v>824</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f>
        <v>కాల్</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""ta"")"),"வீடு")</f>
        <v>வீடு</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f>
        <v>హోమ్</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""ta"")"),"ஓட்டுநர் உள்நுழைவு")</f>
        <v>ஓட்டுநர்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உள்நுழைக")</f>
        <v>மொபைல் மூலம் உள்நுழைக</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""ta"")"),"கைபேசி எண்")</f>
        <v>கைபேசி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 கோரிக்கை")</f>
        <v>OTP கோரிக்கை</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""te"")"),"OTPని అభ్యర్థించండి")</f>
        <v>OTPని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""te"")"),"ఒన్ టైమ్ పాస్‌వర్డ్ (OTP)")</f>
        <v>ఒన్ టైమ్ పాస్‌వర్డ్ (OTP)</v>
      </c>
    </row>
    <row r="437">
      <c r="A437" s="12" t="s">
        <v>847</v>
      </c>
      <c r="B437" s="13" t="s">
        <v>848</v>
      </c>
      <c r="C437" s="6" t="str">
        <f>IFERROR(__xludf.DUMMYFUNCTION("GOOGLETRANSLATE(B437, ""en"", ""ta"")"),"உங்கள் மொபைல் எண்ணுக்கு அனுப்பப்பட்ட OTP-ஐ உள்ளிடவும்")</f>
        <v>உங்கள் மொபைல் எண்ணுக்கு அனுப்பப்பட்ட OTP-ஐ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పంపిన OTPని నమోదు చేయండి")</f>
        <v>మీ మొబైల్ నంబర్‌కు పంపిన OTPని నమోదు చేయండి</v>
      </c>
    </row>
    <row r="438">
      <c r="A438" s="14" t="s">
        <v>849</v>
      </c>
      <c r="B438" s="13" t="s">
        <v>850</v>
      </c>
      <c r="C438" s="6" t="str">
        <f>IFERROR(__xludf.DUMMYFUNCTION("GOOGLETRANSLATE(B438, ""en"", ""ta"")"),"நம்ம ஊரு டாக்ஸிக்கு வரவேற்கிறோம்")</f>
        <v>நம்ம ஊரு டாக்ஸிக்கு வரவேற்கிறோம்</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எவ்வாறு தொடர விரும்புகிறீர்கள் என்பதைத் தேர்வுசெய்யுங்கள்.")</f>
        <v>நீங்கள் எவ்வாறு தொடர விரும்புகிறீர்கள் என்பதைத் தேர்வுசெய்யுங்கள்.</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""ta"")"),"உதாரணமாக")</f>
        <v>உதாரணமாக</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""te"")"),"కొనసాగించండి")</f>
        <v>కొనసాగించండి</v>
      </c>
    </row>
    <row r="441">
      <c r="A441" s="14" t="s">
        <v>855</v>
      </c>
      <c r="B441" s="13" t="s">
        <v>856</v>
      </c>
      <c r="C441" s="6" t="str">
        <f>IFERROR(__xludf.DUMMYFUNCTION("GOOGLETRANSLATE(B441, ""en"", ""ta"")"),"பயணி")</f>
        <v>பயணி</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""ta"")"),"ஓட்டுநர்")</f>
        <v>ஓட்டுநர்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""ml"")"),"ബന്ധപ്പെടുക")</f>
        <v>ബന്ധപ്പെടുക</v>
      </c>
      <c r="G445" s="7" t="str">
        <f>IFERROR(__xludf.DUMMYFUNCTION("GOOGLETRANSLATE(B445, ""en"", ""te"")"),"సంప్రదించండి")</f>
        <v>సంప్రదించండి</v>
      </c>
    </row>
    <row r="446">
      <c r="A446" s="12" t="s">
        <v>863</v>
      </c>
      <c r="B446" s="13" t="s">
        <v>864</v>
      </c>
      <c r="C446" s="6" t="str">
        <f>IFERROR(__xludf.DUMMYFUNCTION("GOOGLETRANSLATE(B446, ""en"", ""ta"")"),"பின்னூட்டம் அனுப்பு")</f>
        <v>பின்னூட்டம்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""te"")"),"అభిప్రాయాన్ని పంపండి")</f>
        <v>అభిప్రాయాన్ని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""ta"")"),"எங்களைப் பற்றி")</f>
        <v>எங்களைப்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செயலிகள்")</f>
        <v>மேலும் செயலிகள்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""kn"")"),"ವಿಭಾಗಿಸಲಾಗಿದೆ")</f>
        <v>ವಿಭಾಗಿಸಲಾಗಿದೆ</v>
      </c>
      <c r="F453" s="7" t="str">
        <f>IFERROR(__xludf.DUMMYFUNCTION("GOOGLETRANSLATE(B453, ""en"", ""ml"")"),"വിഘടിച്ചു")</f>
        <v>വിഘടിച്ചു</v>
      </c>
      <c r="G453" s="7" t="str">
        <f>IFERROR(__xludf.DUMMYFUNCTION("GOOGLETRANSLATE(B453, ""en"", ""te"")"),"విడిపోయారు")</f>
        <v>విడిపోయారు</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""te"")"),"డ్రైవర్‌కు ప్రయాణ ఛార్జీ చెల్లించండి")</f>
        <v>డ్రైవర్‌కు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""te"")"),"15 రోజుల తర్వాత మీ ఖాతా తొలగించబడుతుంది. మీరు లాగ్ అవుట్ చేయబడ్డారు.")</f>
        <v>15 రోజుల తర్వాత మీ ఖాతా తొలగించబడుతుంది. మీరు లాగ్ అవుట్ చేయబడ్డారు.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ప్రదేశాలను జోడించండి")</f>
        <v>ఇష్టమైన ప్రదేశాలను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""te"")"),"ఆపును జోడించండి")</f>
        <v>ఆపును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""te"")"),"ఆపు నిరీక్షణ సమయాన్ని జోడించండి")</f>
        <v>ఆపు నిరీక్షణ సమయాన్ని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స్థితిగతులు")</f>
        <v>అన్ని స్థితిగతులు</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ప్రయాణాన్ని రద్దు చేసుకోవడం ఖాయమా?")</f>
        <v>మీరు ప్రయాణాన్ని రద్దు చేసుకోవడం ఖాయమా?</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f>
        <v>వెనుక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""te"")"),"పుస్తకం కోసం")</f>
        <v>పుస్తకం కోసం</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""te"")"),"రైడ్ బుక్ చేయండి")</f>
        <v>రైడ్ బుక్ చేయండి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చేయబడింది")</f>
        <v>పొరపాటున బుక్ చేయబడింది</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இருப்பிடத்தை உறுதிப்படுத்தவும்")</f>
        <v>பிக்அப் இருப்பிடத்தை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സ്ഥിരീകരിക്കുക {നിർത്തുക}")</f>
        <v>നിർത്തുക സ്ഥിരീകരിക്കുക {നിർത്തുക}</v>
      </c>
      <c r="G491" s="7" t="str">
        <f>IFERROR(__xludf.DUMMYFUNCTION("GOOGLETRANSLATE(B491, ""en"", ""te"")"),"ఆపడాన్ని నిర్ధారించండి {stop}")</f>
        <v>ఆపడాన్ని నిర్ధారించండి {stop}</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""ta"")"),"ஓட்டுநருடன் விரைவில் அழைப்பு தொடங்கப்பட்டது.")</f>
        <v>ஓட்டுநருடன் விரைவில் அழைப்பு தொடங்கப்பட்டது.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ప్రారంభించబడింది")</f>
        <v>కొద్దిసేపటికే డ్రైవర్‌తో కాల్ ప్రారంభించబడింది</v>
      </c>
    </row>
    <row r="495">
      <c r="A495" s="4" t="s">
        <v>995</v>
      </c>
      <c r="B495" s="5" t="s">
        <v>996</v>
      </c>
      <c r="C495" s="6" t="str">
        <f>IFERROR(__xludf.DUMMYFUNCTION("GOOGLETRANSLATE(B495, ""en"", ""ta"")"),"ஓட்டுநரை அழைப்பது")</f>
        <v>ஓட்டுநரை அழைப்பது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చేయడం")</f>
        <v>డ్రైవర్‌కు కాల్ చేయడం</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""te"")"),"బుకింగ్‌ను రద్దు చేయండి")</f>
        <v>బుకింగ్‌ను రద్దు చేయండి</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ద్వారా రద్దు చేయబడింది")</f>
        <v>డ్రైవర్ ద్వారా రద్దు చేయబడింది</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 ద్వారా రద్దు చేయబడింది")</f>
        <v>మీ ద్వారా రద్దు చేయబడింది</v>
      </c>
    </row>
    <row r="500">
      <c r="A500" s="4" t="s">
        <v>1008</v>
      </c>
      <c r="B500" s="5" t="s">
        <v>1009</v>
      </c>
      <c r="C500" s="6" t="str">
        <f>IFERROR(__xludf.DUMMYFUNCTION("GOOGLETRANSLATE(B500, ""en"", ""ta"")"),"ஒரு ஓட்டுநர் நியமிக்கப்பட்ட பிறகு, பிக்கப் இடத்தை உங்களால் திருத்த முடியாது.")</f>
        <v>ஒரு ஓட்டுநர் நியமிக்கப்பட்ட பிறகு, பிக்கப் இடத்தை உங்களால்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""te"")"),"డ్రైవర్‌ను కేటాయించిన తర్వాత మీరు పికప్ స్థానాన్ని సవరించలేరు.")</f>
        <v>డ్రైవర్‌ను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""te"")"),"మీరు మాకు కనిపించడం లేదు. పికప్ స్థానాన్ని సెట్ చేయండి.")</f>
        <v>మీరు మాకు కనిపించడం లేదు.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""te"")"),"ఎంచుకోండి
మీ భాష")</f>
        <v>ఎంచుకోండి
మీ భాష</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""te"")"),"స్పష్టం")</f>
        <v>స్పష్టం</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""te"")"),"ధృవీకరిస్తున్నాము...")</f>
        <v>ధృవీకరిస్తున్నాము...</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సంప్రదింపు వ్యక్తి పేరు డ్రైవర్‌తో పంచుకోబడదు.")</f>
        <v>మీ సంప్రదింపు వ్యక్తి పేరు డ్రైవర్‌తో పంచుకోబడదు.</v>
      </c>
    </row>
    <row r="528">
      <c r="A528" s="4" t="s">
        <v>1088</v>
      </c>
      <c r="B528" s="5" t="s">
        <v>1089</v>
      </c>
      <c r="C528" s="6" t="str">
        <f>IFERROR(__xludf.DUMMYFUNCTION("GOOGLETRANSLATE(B528, ""en"", ""ta"")"),"தொடர்பு வெற்றிகரமாகச் சேமிக்கப்பட்டது")</f>
        <v>தொடர்பு வெற்றிகரமாகச்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""te"")"),"కాంటాక్ట్ విజయవంతంగా సేవ్ చేయబడింది")</f>
        <v>కాంటాక్ట్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""te"")"),"కొనసాగించండి")</f>
        <v>కొనసాగించండి</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""te"")"),"కస్టమ్ తేదీ")</f>
        <v>కస్టమ్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""te"")"),"కస్టమ్ మారుపేరు")</f>
        <v>కస్టమ్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 తొలగింపు విఫలమైంది")</f>
        <v>ఖాతా తొలగింపు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చేయలేము")</f>
        <v>ఈ చర్యను రద్దు చేయలేము</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""te"")"),"మీ రైడ్ హిస్టరీతో సహా మీ డేటా అంతా తొలగించబడుతుంది")</f>
        <v>మీ రైడ్ హిస్టరీతో సహా మీ డేటా అంతా తొలగించబడుతుంది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""te"")"),"15 రోజుల తర్వాత మీ ఖాతా శాశ్వతంగా తొలగించబడుతుంది")</f>
        <v>15 రోజుల తర్వాత మీ ఖాతా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నిజంగా మీ ఖాతాను తొలగించాలనుకుంటున్నారా?")</f>
        <v>మీరు నిజంగా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తొలగించండి")</f>
        <v>పరిచయాన్ని తొలగించండి</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నిజంగా ఈ కాంటాక్ట్‌ను తొలగించాలనుకుంటున్నారా?")</f>
        <v>మీరు నిజంగా ఈ కాంటాక్ట్‌ను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తొలగించండి")</f>
        <v>స్థలాన్ని తొలగించండి</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నిజంగా ఈ స్థలాన్ని తొలగించాలనుకుంటున్నారా?")</f>
        <v>మీరు నిజంగా ఈ స్థలాన్ని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""te"")"),"గమ్యస్థానానికి చేరుకున్నారు")</f>
        <v>గమ్యస్థానానికి చేరుకున్నారు</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""te"")"),"తగ్గింపు")</f>
        <v>తగ్గింపు</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""te"")"),"కొట్టివేయండి")</f>
        <v>కొట్టివేయండి</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""te"")"),"విడిపోయారు")</f>
        <v>విడిపోయారు</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చేయండి")</f>
        <v>ఇన్‌వాయిస్‌ను డౌన్‌లోడ్ చేయండి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""te"")"),"PDFని డౌన్‌లోడ్ చేయండి")</f>
        <v>PDFని డౌన్‌లోడ్ చేయండి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 డబ్బు సంపాదించడానికి VMtracker డ్రైవర్ యాప్‌ను డౌన్‌లోడ్ చేసుకోండి. డ్రైవర్‌గా మీ రిజిస్ట్రేషన్‌ను పూర్తి చేసి, ఈరోజే సంపాదించడం ప్రారంభించండి.")</f>
        <v>నమ్మ ఊరు టాక్సీ రైడ్‌లు పొంది డబ్బు సంపాదించడానికి VMtracker డ్రైవర్ యాప్‌ను డౌన్‌లోడ్ చేసుకోండి. డ్రైవర్‌గా మీ రిజిస్ట్రేషన్‌ను పూర్తి చేసి, ఈరోజే సంపాదించడం ప్రారంభించండి.</v>
      </c>
    </row>
    <row r="563">
      <c r="A563" s="4" t="s">
        <v>1189</v>
      </c>
      <c r="B563" s="13" t="s">
        <v>1190</v>
      </c>
      <c r="C563" s="6" t="s">
        <v>1191</v>
      </c>
      <c r="D563" s="6" t="str">
        <f>IFERROR(__xludf.DUMMYFUNCTION("GOOGLETRANSLATE(B563, ""en"", ""hi"")"),"नम्मा ऊरु टैक्सी के साथ ड्राइव करें")</f>
        <v>नम्मा ऊरु टैक्सी के साथ ड्राइव करें</v>
      </c>
      <c r="E563" s="6" t="str">
        <f>IFERROR(__xludf.DUMMYFUNCTION("GOOGLETRANSLATE(B563, ""en"", ""kn"")"),"ನಮ್ಮ ಊರು ಟ್ಯಾಕ್ಸಿ ಜೊತೆ ಡ್ರೈವ್ ಮಾಡಿ")</f>
        <v>ನಮ್ಮ ಊರು ಟ್ಯಾಕ್ಸಿ ಜೊತೆ ಡ್ರೈವ್ ಮಾಡಿ</v>
      </c>
      <c r="F563" s="7" t="str">
        <f>IFERROR(__xludf.DUMMYFUNCTION("GOOGLETRANSLATE(B563, ""en"", ""ml"")"),"നമ്മ ഊരു ടാക്സിയിൽ യാത്ര ചെയ്യൂ")</f>
        <v>നമ്മ ഊരു ടാക്സിയിൽ യാത്ര ചെയ്യൂ</v>
      </c>
      <c r="G563" s="7" t="str">
        <f>IFERROR(__xludf.DUMMYFUNCTION("GOOGLETRANSLATE(B563, ""en"", ""te"")"),"నమ్మ ఊరు టాక్సీలో ప్రయాణించండి")</f>
        <v>నమ్మ ఊరు టాక్సీలో ప్రయాణించండి</v>
      </c>
    </row>
    <row r="564">
      <c r="A564" s="4" t="s">
        <v>1192</v>
      </c>
      <c r="B564" s="13" t="s">
        <v>1193</v>
      </c>
      <c r="C564" s="6" t="s">
        <v>1194</v>
      </c>
      <c r="D564" s="6" t="str">
        <f>IFERROR(__xludf.DUMMYFUNCTION("GOOGLETRANSLATE(B564, ""en"", ""hi"")"),"साइनअप नम्मा ऊरु टैक्सी ड्राइवर ऐप")</f>
        <v>साइनअप नम्मा ऊरु टैक्सी ड्राइवर ऐप</v>
      </c>
      <c r="E564" s="6" t="str">
        <f>IFERROR(__xludf.DUMMYFUNCTION("GOOGLETRANSLATE(B564, ""en"", ""kn"")"),"ಸೈನ್ ಅಪ್ ನಮ್ಮ ಊರು ಟ್ಯಾಕ್ಸಿ ಡ್ರೈವರ್ ಅಪ್ಲಿಕೇಶನ್")</f>
        <v>ಸೈನ್ ಅಪ್ ನಮ್ಮ ಊರು ಟ್ಯಾಕ್ಸಿ ಡ್ರೈವರ್ ಅಪ್ಲಿಕೇಶನ್</v>
      </c>
      <c r="F564" s="7" t="str">
        <f>IFERROR(__xludf.DUMMYFUNCTION("GOOGLETRANSLATE(B564, ""en"", ""ml"")"),"നമ്മ ഊരു ടാക്സി ഡ്രൈവർ ആപ്പ് സൈൻ അപ്പ് ചെയ്യുക")</f>
        <v>നമ്മ ഊരു ടാക്സി ഡ്രൈവർ ആപ്പ് സൈൻ അപ്പ് ചെയ്യുക</v>
      </c>
      <c r="G564" s="7" t="str">
        <f>IFERROR(__xludf.DUMMYFUNCTION("GOOGLETRANSLATE(B564, ""en"", ""te"")"),"సైన్ అప్ నమ్మ ఊరు టాక్సీ డ్రైవర్ యాప్")</f>
        <v>సైన్ అప్ నమ్మ ఊరు టాక్సీ డ్రైవర్ యాప్</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ಗೆ ಹೋಗಿ")</f>
        <v>ನಮ್ಮನ್ನು ಸಂಪರ್ಕಿಸಿ ಗೆ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పేజీకి వెళ్లండి")</f>
        <v>మమ్మల్ని సంప్రదించండి పేజీకి వెళ్లండి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""te"")"),"మేము మీకు సహాయం చేయడానికి ఉన్నాము. ఎప్పుడైనా మమ్మల్ని సంప్రదించండి.")</f>
        <v>మేము మీకు సహాయం చేయడానికి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 ఎలా అవ్వాలి")</f>
        <v>డ్రైవర్ ఎలా అవ్వాలి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13" t="s">
        <v>1217</v>
      </c>
      <c r="C572" s="6" t="s">
        <v>1218</v>
      </c>
      <c r="D572" s="6" t="str">
        <f>IFERROR(__xludf.DUMMYFUNCTION("GOOGLETRANSLATE(B572, ""en"", ""hi"")"),"ड्राइवर ऐप के रूप में साइन अप करें और बुनियादी जानकारी के साथ अपना ड्राइवर प्रोफाइल बनाएं।")</f>
        <v>ड्राइवर ऐप के रूप में साइन अप करें और बुनियादी जानकारी के साथ अपना ड्राइवर प्रोफाइल बनाएं।</v>
      </c>
      <c r="E572" s="6" t="str">
        <f>IFERROR(__xludf.DUMMYFUNCTION("GOOGLETRANSLATE(B572, ""en"", ""kn"")"),"ಚಾಲಕ ಅಪ್ಲಿಕೇಶನ್ ಆಗಿ ಸೈನ್ ಅಪ್ ಮಾಡಿ ಮತ್ತು ಮೂಲಭೂತ ಮಾಹಿತಿಯೊಂದಿಗೆ ನಿಮ್ಮ ಚಾಲಕ ಪ್ರೊಫೈಲ್ ಅನ್ನು ರಚಿಸಿ.")</f>
        <v>ಚಾಲಕ ಅಪ್ಲಿಕೇಶನ್ ಆಗಿ ಸೈನ್ ಅಪ್ ಮಾಡಿ ಮತ್ತು ಮೂಲಭೂತ ಮಾಹಿತಿಯೊಂದಿಗೆ ನಿಮ್ಮ ಚಾಲಕ ಪ್ರೊಫೈಲ್ ಅನ್ನು ರಚಿಸಿ.</v>
      </c>
      <c r="F572" s="7" t="str">
        <f>IFERROR(__xludf.DUMMYFUNCTION("GOOGLETRANSLATE(B572, ""en"", ""ml"")"),"ഒരു ഡ്രൈവർ ആപ്പായി സൈൻ അപ്പ് ചെയ്ത് അടിസ്ഥാന വിവരങ്ങൾ ഉപയോഗിച്ച് നിങ്ങളുടെ ഡ്രൈവർ പ്രൊഫൈൽ സൃഷ്ടിക്കുക.")</f>
        <v>ഒരു ഡ്രൈവർ ആപ്പായി സൈൻ അപ്പ് ചെയ്ത് അടിസ്ഥാന വിവരങ്ങൾ ഉപയോഗിച്ച് നിങ്ങളുടെ ഡ്രൈവർ പ്രൊഫൈൽ സൃഷ്ടിക്കുക.</v>
      </c>
      <c r="G572" s="7" t="str">
        <f>IFERROR(__xludf.DUMMYFUNCTION("GOOGLETRANSLATE(B572, ""en"", ""te"")"),"డ్రైవర్ యాప్‌గా సైన్ అప్ చేసి, ప్రాథమిక సమాచారంతో మీ డ్రైవర్ ప్రొఫైల్‌ను సృష్టించుకోండి.")</f>
        <v>డ్రైవర్ యాప్‌గా సైన్ అప్ చేసి, ప్రాథమిక సమాచారంతో మీ డ్రైవర్ ప్రొఫైల్‌ను సృష్టించుకోండి.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""te"")"),"సైన్ అప్")</f>
        <v>సైన్ అప్</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""te"")"),"సంపాదించడానికి ఆన్‌లైన్‌లోకి వెళ్లి రైడ్ అభ్యర్థనలను అంగీకరించండి.")</f>
        <v>సంపాదించడానికి ఆన్‌లైన్‌లోకి వెళ్లి రైడ్ అభ్యర్థనలను అంగీకరించండి.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""te"")"),"ధృవీకరణ పొందండి")</f>
        <v>ధృవీకరణ పొందండి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సంఖ్య కనుగొనబడలేదు")</f>
        <v>డ్రైవర్ ఖాతా సంఖ్య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""te"")"),"రద్దు చేయమని డ్రైవర్‌ను కోరారు")</f>
        <v>రద్దు చేయమని డ్రైవర్‌ను కోరారు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వృత్తి నైపుణ్యం లేకుండా ప్రవర్తిస్తున్నాడు")</f>
        <v>డ్రైవర్ దురుసుగా లేదా వృత్తి నైపుణ్యం లేకుండా ప్రవర్తిస్తున్నాడు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ఆలస్యం చేస్తున్నాడు")</f>
        <v>డ్రైవర్ చాలా ఆలస్యం చేస్తున్నాడు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""te"")"),"దింపే ప్రదేశం")</f>
        <v>దింపే ప్రదేశం</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సవరించండి")</f>
        <v>పికప్ స్థానాన్ని సవరించండి</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సవరించండి")</f>
        <v>స్థలాన్ని సవరించండి</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సవరించండి")</f>
        <v>స్థలాలను సవరించండి</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చేసుకోండి.")</f>
        <v>సవరించిన మార్గం గరిష్టంగా అనుమతించబడిన {maxDistance} కి.మీ. దూరాన్ని మించిపోయింది. దయచేసి మీ స్టాప్‌లను సర్దుబాటు చేసుకోండి.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సంప్రదింపు వివరాలను జోడించండి")</f>
        <v>అత్యవసర సంప్రదింపు వివరాలను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సంప్రదింపు వివరాలను జోడించండి")</f>
        <v>అత్యవసర సంప్రదింపు వివరాలను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విశ్వసనీయమైన కాంటాక్ట్‌ను కలిగి ఉండి మరింత సురక్షితంగా ఉండండి")</f>
        <v>ఫైల్‌లో విశ్వసనీయమైన కాంటాక్ట్‌ను కలిగి ఉండి మరింత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నిర్వహించుకోవచ్చు")</f>
        <v>మీరు మెనూ ఎమర్జెన్సీ కాంటాక్ట్ నుండి ఎప్పుడైనా కాంటాక్ట్‌లను నిర్వహించుకోవచ్చు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చేయండి")</f>
        <v>రద్దు చేయండి</v>
      </c>
    </row>
    <row r="609">
      <c r="A609" s="4" t="s">
        <v>1324</v>
      </c>
      <c r="B609" s="5" t="s">
        <v>1325</v>
      </c>
      <c r="C609" s="6" t="str">
        <f>IFERROR(__xludf.DUMMYFUNCTION("GOOGLETRANSLATE(B609, ""en"", ""ta"")"),"அவசரத் தொடர்பு எண்ணைச் சேர்க்கவும்")</f>
        <v>அவசரத் தொடர்பு எண்ணைச்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సంప్రదింపు వివరాలను జోడించండి")</f>
        <v>అత్యవసర సంప్రదింపు వివరాలను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సంప్రదింపులు")</f>
        <v>అత్యవసర సంప్రదింపులు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ఒక నమ్మకమైన వ్యక్తిని జోడించండి. ఇది ప్రయాణాల సమయంలో మిమ్మల్ని మరింత సురక్షితంగా ఉంచడానికి మాకు సహాయపడుతుంది.")</f>
        <v>అత్యవసర పరిస్థితుల్లో తెలియజేయగల ఒక నమ్మకమైన వ్యక్తిని జోడించండి. ఇది ప్రయాణాల సమయంలో మిమ్మల్ని మరింత సురక్షితంగా ఉంచడానికి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సవరించండి")</f>
        <v>పరిచయాలను సవరించండి</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f>
        <v>అత్యవసర సంప్రదింపు</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నమ్మకమైన వ్యక్తిని జోడించండి.")</f>
        <v>అత్యవసర పరిస్థితుల్లో తెలియజేయగల నమ్మకమైన వ్యక్తిని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 లేదు")</f>
        <v>అత్యవసర సంప్రదింపు లేదు</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కాంటాక్టులు చేరుకున్నారు")</f>
        <v>గరిష్టంగా {count} కాంటాక్టులు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""te"")"),"ఎంచుకున్న {count} గరిష్టం")</f>
        <v>ఎంచుకున్న {count} గరిష్టం</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తొలగించండి")</f>
        <v>పరిచయాన్ని తొలగించండి</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నిజంగా ఈ పరిచయాన్ని తొలగించాలనుకుంటున్నారా?")</f>
        <v>మీరు నిజంగా ఈ పరిచయాన్ని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సంఖ్య ద్వారా శోధించండి")</f>
        <v>పేరు లేదా సంఖ్య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వరకు పరిచయాలను ఎంచుకోండి")</f>
        <v>{count} వరకు పరిచయాలను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ఎంపిక చేయబడింది")</f>
        <v>{count} ఎంపిక చేయబడింది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లొకేషన్ అనుమతిని ఇవ్వండి.")</f>
        <v>కొనసాగించడానికి దయచేసి లొకేషన్ అనుమతిని ఇవ్వండి.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లొకేషన్ సేవలను ప్రారంభించండి.")</f>
        <v>కొనసాగించడానికి దయచేసి మీ పరికరంలో లొకేషన్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""te"")"),"తుది స్థానం అవసరం")</f>
        <v>తుది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""te"")"),"పేరును నమోదు చేయండి")</f>
        <v>పేరును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ప్రదేశానికి మారుపేరును నమోదు చేయండి")</f>
        <v>ఈ ప్రదేశానికి మారుపేరును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 ஏற்பட்டது")</f>
        <v>டிரைவரை அழைப்பதில் பிழை ஏற்பட்டது</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""te"")"),"చెల్లించవలసిన అంచనా మొత్తం")</f>
        <v>చెల్లించవలసిన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దూరం")</f>
        <v>అంచనా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వ్యవధి")</f>
        <v>అంచనా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వేయబడిన ఛార్జీ")</f>
        <v>అంచనా వేయబడిన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 తేదీ")</f>
        <v>గడువు ముగియు తేదీ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చేయడంలో విఫలమయ్యాను")</f>
        <v>రైడ్ బుక్ చేయడంలో విఫలమయ్యాను</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 విఫలమైంది. దయచేసి మళ్ళీ ప్రయత్నించండి.")</f>
        <v>టికెట్ సృష్టించడం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విఫలమయ్యాను")</f>
        <v>స్థలాన్ని తొలగించడంలో విఫలమయ్యాను</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ഇല്ലാതാക്കുന്നതിൽ പരാജയപ്പെട്ടു. വീണ്ടും ശ്രമിക്കുക.")</f>
        <v>സ്ഥലം ഇല്ലാതാക്കുന്നതിൽ പരാജയപ്പെട്ടു. വീണ്ടും ശ്രമിക്കുക.</v>
      </c>
      <c r="G649" s="7" t="str">
        <f>IFERROR(__xludf.DUMMYFUNCTION("GOOGLETRANSLATE(B649, ""en"", ""te"")"),"స్థలాన్ని తొలగించడంలో విఫలమయ్యాము. దయచేసి మళ్ళీ ప్రయత్నించండి.")</f>
        <v>స్థలాన్ని తొలగించడంలో విఫలమయ్యాము.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 పొందడంలో విఫలమయ్యాను")</f>
        <v>ఛార్జీ అంచనా పొందడంలో విఫలమయ్యాను</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దొరకలేదు")</f>
        <v>రైడ్‌లు దొరకలేదు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చేయడంలో విఫలమయ్యారు")</f>
        <v>టిక్కెట్లను రిఫ్రెష్ చేయడంలో విఫలమయ్యారు</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""te"")"),"OTPని తిరిగి పంపడంలో విఫలమైంది")</f>
        <v>OTPని తిరిగి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విఫలమయ్యారు")</f>
        <v>స్థలాన్ని సేవ్ చేయడంలో విఫలమయ్యారు</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విఫలమయ్యాము. దయచేసి మళ్ళీ ప్రయత్నించండి.")</f>
        <v>సందేశం పంపడంలో విఫలమయ్యాము.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విఫలమయ్యాము. దయచేసి మళ్ళీ ప్రయత్నించండి.")</f>
        <v>స్థలాన్ని నవీకరించడంలో విఫలమయ్యాము.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ప్రయాణించిన మార్గం మరియు ప్రయాణ సమయంలో వాస్తవంగా వేచి ఉన్న సమయం ఆధారంగా తుది ఛార్జీ మారవచ్చు.")</f>
        <v>వాస్తవ పికప్ సమయం, ప్రయాణించిన మార్గం మరియు ప్రయాణ సమయంలో వాస్తవంగా వేచి ఉన్న సమయం ఆధారంగా తుది ఛార్జీ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(సర్జ్)")</f>
        <v>ఛార్జీ చాలా ఎక్కువగా ఉంది (సర్జ్)</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""te"")"),"ఛార్జీ మారవచ్చు")</f>
        <v>ఛార్జీ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ఏమి నచ్చలేదు?")</f>
        <v>మీకు ఏమి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సరిగ్గా పని చేయడం లేదో మాకు చెప్పండి")</f>
        <v>మీకు ఏది సరిగ్గా పని చేయడం లేదో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ఇమెయిల్‌లో నన్ను సంప్రదించడానికి నేను అంగీకరిస్తున్నాను (కేవలం సమాచార మార్పిడి ప్రయోజనం కోసం మాత్రమే).")</f>
        <v>ఈ ఇమెయిల్‌లో నన్ను సంప్రదించడానికి నేను అంగీకరిస్తున్నాను (కేవలం సమాచార మార్పిడి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ఫీడ్‌బ్యాక్‌పై తదుపరి చర్య తీసుకోవడానికి మాత్రమే మేము మీ ఇమెయిల్‌ను ఉపయోగిస్తాము.")</f>
        <v>ఈ ఫీడ్‌బ్యాక్‌పై తదుపరి చర్య తీసుకోవడానికి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వేయబడిన ఛార్జీ")</f>
        <v>అంచనా వేయబడిన ఛార్జీ</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ఏది నచ్చింది?")</f>
        <v>మీకు ఏది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గురించిన మంచి విషయాలను పంచుకోండి")</f>
        <v>యాప్ గురించిన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""te"")"),"ప్రదేశాన్ని ఎంచుకోవడంలో ఏం తప్పు జరిగింది?")</f>
        <v>ప్రదేశాన్ని ఎంచుకోవడంలో ఏం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ఎంచుకోండి సమస్య")</f>
        <v>స్థానాన్ని ఎంచుకోండి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ప్రదేశం కనుగొనబడలేదు లేదా ఏమి తప్పు జరిగింది?")</f>
        <v>ఏ ప్రదేశం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ఎదురైన ప్రదేశం/శోధన ప్రశ్న గురించి మాకు తెలియజేయండి")</f>
        <v>సమస్య ఎదురైన ప్రదేశం/శోధన ప్రశ్న గురించి మాకు తెలియజేయండి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కోఆర్డినేట్‌లు")</f>
        <v>ఎంచుకున్న కోఆర్డినేట్‌లు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ముఖ్యమైనది")</f>
        <v>మీ అభిప్రాయం ముఖ్యమైనది</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ఉన్న సమస్యను వివరించండి")</f>
        <v>ప్రారంభం/ముగింపు లేదా మార్గంతో ఉన్న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""te"")"),"ప్రయాణ సమస్య")</f>
        <v>ప్రయాణ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(మంచి, చెడు, మెరుగుదల లేదా సమస్య) జోడించండి.")</f>
        <v>దయచేసి కనీసం ఒక సందేశాన్ని (మంచి, చెడు, మెరుగుదల లేదా సమస్య) జోడించండి.</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సంప్రదింపు ఇమెయిల్‌ను అందించండి లేదా సమ్మతిని నిలిపివేయండి.")</f>
        <v>దయచేసి చెల్లుబాటు అయ్యే సంప్రదింపు ఇమెయిల్‌ను అందించండి లేదా సమ్మతిని నిలిపివేయండి.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""te"")"),"మేము మిమ్మల్ని ఇమెయిల్ ద్వారా సంప్రదించడానికి, దయచేసి సమ్మతి చెక్‌బాక్స్‌ను ఎనేబుల్ చేయండి.")</f>
        <v>మేము మిమ్మల్ని ఇమెయిల్ ద్వారా సంప్రదించడానికి, దయచేసి సమ్మతి చెక్‌బాక్స్‌ను ఎనేబుల్ చేయండి.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ప్రయాణాలను తీసుకువస్తున్నాము...")</f>
        <v>మీ ప్రయాణాలను తీసుకువస్తున్నాము...</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""te"")"),"సహాయం పొందండి")</f>
        <v>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f>
        <v>ప్రారంభించండి</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ఇవ్వండి")</f>
        <v>అభిప్రాయం ఇవ్వండి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""te"")"),"GSTIN")</f>
        <v>GSTIN</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""te"")"),"మిమ్మల్ని ఎలా పిలవాలి?")</f>
        <v>మిమ్మల్ని ఎలా పిలవాలి?</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ప్రయాణాలు ఎలా ఉన్నాయి?")</f>
        <v>మీ ప్రయాణాలు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""te"")"),"శోధన ద్వారా మీకు ఒక ప్రదేశం దొరకకపోతే, పటంపై దాన్ని గుర్తించడం ద్వారా ఆ ప్రదేశాన్ని ఎంచుకోండి.")</f>
        <v>శోధన ద్వారా మీకు ఒక ప్రదేశం దొరకకపోతే, పటంపై దాన్ని గుర్తించడం ద్వారా ఆ ప్రదేశాన్ని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""te"")"),"దిగుమతి పరిచయం")</f>
        <v>దిగుమతి పరిచయం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చేసుకోండి")</f>
        <v>పరిచయాల నుండి దిగుమతి చేసుకోండి</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 అంకెలతో ప్రారంభమయ్యే 10 అంకెలు).")</f>
        <v>దయచేసి చెల్లుబాటు అయ్యే భారతీయ మొబైల్ నంబర్‌ను నమోదు చేయండి (6-9 అంకెలతో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""te"")"),"మార్క్ డ్రాప్ లొకేషన్")</f>
        <v>మార్క్ డ్రాప్ లొకేషన్</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""te"")"),"మార్క్ ఆపు {ఆపు}")</f>
        <v>మార్క్ ఆపు {ఆపు}</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ప్రదేశం పికప్ ప్రాంతం వెలుపల ఉంది. దయచేసి అనుమతించబడిన పరిధిలో ఎంచుకోండి.")</f>
        <v>ఎంచుకున్న ప్రదేశం పికప్ ప్రాంతం వెలుపల ఉంది. దయచేసి అనుమతించబడిన పరిధిలో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ఉన్న ప్రదేశం")</f>
        <v>అనుమతించబడిన వ్యాసార్థం వెలుపల ఉన్న ప్రదేశం</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""ml"")"),"നിങ്ങൾ {radius} കിലോമീറ്റർ ചുറ്റളവിൽ ഒരു സ്ഥലം തിരഞ്ഞെടുക്കണം.")</f>
        <v>നിങ്ങൾ {radius} കിലോമീറ്റർ ചുറ്റളവിൽ ഒരു സ്ഥലം തിരഞ്ഞെടുക്കണം.</v>
      </c>
      <c r="G751" s="7" t="str">
        <f>IFERROR(__xludf.DUMMYFUNCTION("GOOGLETRANSLATE(B751, ""en"", ""te"")"),"మీరు {radius} కి.మీ. వ్యాసార్థంలోపల ఒక స్థానాన్ని ఎంచుకోవాలి.")</f>
        <v>మీరు {radius} కి.మీ. వ్యాసార్థంలోపల ఒక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విఫలమయ్యాను.")</f>
        <v>ఆన్‌లైన్ చెల్లింపు చేయడంలో విఫలమయ్యాను.</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""te"")"),"నిమిషాలు")</f>
        <v>నిమిషాలు</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కదపండి")</f>
        <v>మ్యాప్‌లో స్థానాన్ని గుర్తించడానికి మ్యాప్‌ను కదపండి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పొడవు ఉండాలి మరియు అక్షరాలను మాత్రమే కలిగి ఉండాలి.")</f>
        <v>పేరు కనీసం 2 అక్షరాల పొడవు ఉండాలి మరియు అక్షరాలను మాత్రమే కలిగి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సరిచూసుకుని, మళ్లీ ప్రయత్నించండి.")</f>
        <v>నెట్‌వర్క్ లోపం. దయచేసి మీ కనెక్షన్‌ను సరిచూసుకుని,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అత్యుత్తమ రేటింగ్ పొందిన, అత్యంత విశ్వసనీయమైన డ్రైవర్లతో రాత్రిపూట సురక్షితంగా ప్రయాణించండి")</f>
        <v>మా అత్యుత్తమ రేటింగ్ పొందిన, అత్యంత విశ్వసనీయమైన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""te"")"),"(రాత్రి 12 గంటల నుండి ఉదయం 4 గంటల వరకు)")</f>
        <v>(రాత్రి 12 గంటల నుండి ఉదయం 4 గంటల వరకు)</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మళ్లీ ప్రయత్నించండి లేదా వేరే వాహనాన్ని ఎంచుకోండి.")</f>
        <v>ఎంచుకున్న వాహన రకానికి ప్రస్తుతం డ్రైవర్లు అందుబాటులో లేరు. దయచేసి తర్వాత మళ్లీ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ప్రదేశాలను సవరించండి.")</f>
        <v>సమీపంలో డ్రైవర్లు అందుబాటులో లేరు. దయచేసి పికప్ మరియు డ్రాప్ ప్రదేశాలను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""te"")"),"{vehicle}కు డ్రైవర్లు లేరు")</f>
        <v>{vehicle}కు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వాహనానికి సమీపంలో డ్రైవర్లు ఎవరూ లేరు. మేము డ్రైవర్లు అందుబాటులో ఉన్న మరో వాహనాన్ని ఎంచుకున్నాము.")</f>
        <v>మీరు ఎంచుకున్న వాహనానికి సమీపంలో డ్రైవర్లు ఎవరూ లేరు. మేము డ్రైవర్లు అందుబాటులో ఉన్న మరో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దానికి బదులుగా మీరు డ్రైవర్లందరినీ వెతకవచ్చు.")</f>
        <v>ప్రస్తుతం సమీపంలో మహిళా డ్రైవర్లు ఎవరూ లేరు. దానికి బదులుగా మీరు డ్రైవర్లందరినీ వెతకవచ్చు.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ఏవీ కనుగొనబడలేదు")</f>
        <v>ఫలితాలు ఏవీ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गाड़ी चलाने वाले ड्राइवर उपलब्ध नहीं हैं")</f>
        <v>रात में गाड़ी चलाने वाले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""te"")"),"రాత్రిపూట డ్రైవర్లు అందుబాటులో లేరు")</f>
        <v>రాత్రిపూట డ్రైవర్లు అందుబాటులో లేరు</v>
      </c>
    </row>
    <row r="784">
      <c r="A784" s="4" t="s">
        <v>1830</v>
      </c>
      <c r="B784" s="5" t="s">
        <v>1831</v>
      </c>
      <c r="C784" s="6" t="s">
        <v>1832</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రాత్రిపూట డ్రైవర్లు ఎవరూ లేరు. దానికి బదులుగా మీరు డ్రైవర్లందరినీ వెతకవచ్చు.")</f>
        <v>ప్రస్తుతం సమీపంలో రాత్రిపూట డ్రైవర్లు ఎవరూ లేరు. దానికి బదులుగా మీరు డ్రైవర్లందరినీ వెతకవచ్చు.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మేము ప్రస్తుతం మీ ప్రాంతంలో సేవలను అందించడం లేదు.")</f>
        <v>క్షమించండి, మేము ప్రస్తుతం మీ ప్రాంతంలో సేవలను అందించడం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""te"")"),"ఆఫర్ కూపన్లు")</f>
        <v>ఆఫర్ కూపన్లు</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f>
        <v>ప్రయాణంలో</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""te"")"),"కొనసాగుతోంది")</f>
        <v>కొనసాగుతోంది</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""te"")"),"OTPని మళ్లీ పంపండి")</f>
        <v>OTPని మళ్లీ పంపండి</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తిరిగి పంపబడింది")</f>
        <v>OTP విజయవంతంగా తిరిగి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మళ్లీ పంపబడింది")</f>
        <v>OTP మళ్లీ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సహాయక బృందంతో పంచుకుంటాము.")</f>
        <v>మేము ఈ గమనికను సహాయక బృందంతో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ఈ యాత్రను ఎందుకు ముగిస్తున్నారో మాకు చెప్పండి")</f>
        <v>మీరు ఈ యాత్రను ఎందుకు ముగిస్తున్నారో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""te"")"),"మధ్యలోనే రద్దు చేయబడింది")</f>
        <v>మధ్యలోనే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""te"")"),"ప్రయాణం ముగింపు")</f>
        <v>ప్రయాణం ముగింపు</v>
      </c>
    </row>
    <row r="808">
      <c r="A808" s="4" t="s">
        <v>1900</v>
      </c>
      <c r="B808" s="5" t="s">
        <v>1901</v>
      </c>
      <c r="C808" s="6" t="s">
        <v>1902</v>
      </c>
      <c r="D808" s="6" t="str">
        <f>IFERROR(__xludf.DUMMYFUNCTION("GOOGLETRANSLATE(B808, ""en"", ""hi"")"),"यात्रा में देरी का उदाहरण")</f>
        <v>यात्रा में देरी का उदाहरण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""te"")"),"ఆలస్యమైన పర్యటన దృష్టాంతం")</f>
        <v>ఆలస్యమైన పర్యటన దృష్టాంతం</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ప్రయాణ వివరాలు తెలుసుకోవచ్చా? దయచేసి క్రింది ఎంపికలలో ఒకదాన్ని ఎంచుకోండి.")</f>
        <v>మీ ప్రయాణ వివరాలు తెలుసుకోవచ్చా? దయచేసి క్రింది ఎంపికలలో ఒకదాన్ని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""te"")"),"పంపండి &amp; ప్రయాణాన్ని ముగించండి")</f>
        <v>పంపండి &amp; ప్రయాణాన్ని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""te"")"),"చెల్లించండి")</f>
        <v>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""ta"")"),"பணம் செலுத்தும் நுழைவாயில் கட்டணம் + ஜிஎஸ்டி")</f>
        <v>பணம் செலுத்தும்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""ta"")"),"பணம் செலுத்தும் நுழைவாயில் ஜிஎஸ்டி")</f>
        <v>பணம் செலுத்தும்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ప్రయాణాన్ని ప్లాన్ చేసుకోండి")</f>
        <v>మీ ప్రయాణాన్ని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సరైన ఇమెయిల్ చిరునామాను నమోదు చేయండి.")</f>
        <v>దయచేసి సరైన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పేరును నమోదు చేయండి.")</f>
        <v>దయచేసి మీ పేరును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రుసుము చెల్లించండి")</f>
        <v>దయచేసి ప్రయాణ రుసుము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""ta"")"),"தயவுசெய்து அவசரத் தொடர்புகளைத் தேர்ந்தெடுக்கவும்")</f>
        <v>தயவுசெய்து அவசரத்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సంప్రదింపులను ఎంచుకోండి")</f>
        <v>దయచేసి అత్యవసర సంప్రదింపులను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వాహనాన్ని ఎంచుకోండి")</f>
        <v>దయచేసి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OTPని ధృవీకరించండి")</f>
        <v>దయచేసి OTPని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వాహనాన్ని ఎంచుకోండి, కేవలం కొన్ని ట్యాప్‌లతో మీరు బయలుదేరవచ్చు.")</f>
        <v>మీ గమ్యస్థానాన్ని ఎంచుకోండి, మీ వాహనాన్ని ఎంచుకోండి, కేవలం కొన్ని ట్యాప్‌లతో మీరు బయలుదేరవచ్చు.</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గమ్యస్థానానికి చేరుకోండి")</f>
        <v>మీ గమ్యస్థానానికి చేరుకోండి</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""te"")"),"నమోదు విజయవంతంగా పూర్తయింది")</f>
        <v>నమోదు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""te"")"),"తొలగించండి")</f>
        <v>తొలగించండి</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తొలగించండి")</f>
        <v>కూపన్‌ను తొలగించండి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""te"")"),"ప్రయాణం అంగీకరించబడింది")</f>
        <v>ప్రయాణం అంగీకరించబడింది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""te"")"),"ప్రయాణ ఛార్జీ")</f>
        <v>ప్రయాణ ఛార్జీ</v>
      </c>
    </row>
    <row r="873">
      <c r="A873" s="4" t="s">
        <v>2081</v>
      </c>
      <c r="B873" s="5" t="s">
        <v>2082</v>
      </c>
      <c r="C873" s="6" t="s">
        <v>2083</v>
      </c>
      <c r="D873" s="6" t="str">
        <f>IFERROR(__xludf.DUMMYFUNCTION("GOOGLETRANSLATE(B873, ""en"", ""hi"")"),"राइड रद्द कर दी गई")</f>
        <v>राइड रद्द कर दी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""te"")"),"ప్రయాణం రద్దు చేయబడింది")</f>
        <v>ప్రయాణం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మ్యాచ్డ్")</f>
        <v>రైడ్ మ్యాచ్డ్</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""te"")"),"ప్రయాణం పెండింగ్‌లో ఉంది")</f>
        <v>ప్రయాణం పెండింగ్‌లో ఉంది</v>
      </c>
    </row>
    <row r="882">
      <c r="A882" s="4" t="s">
        <v>2106</v>
      </c>
      <c r="B882" s="5" t="s">
        <v>2107</v>
      </c>
      <c r="C882" s="6" t="s">
        <v>2108</v>
      </c>
      <c r="D882" s="6" t="str">
        <f>IFERROR(__xludf.DUMMYFUNCTION("GOOGLETRANSLATE(B882, ""en"", ""hi"")"),"सवारी उठा ली गई")</f>
        <v>सवारी उठा ली गई</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""te"")"),"వాహనం ఎక్కబడింది")</f>
        <v>వాహనం ఎక్కబడింది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""te"")"),"ప్రయాణం ప్రారంభమైంది")</f>
        <v>ప్రయాణం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വെച്ച് റദ്ദാക്കി.")</f>
        <v>യാത്ര പകുതി വഴിയിൽ വെച്ച് റദ്ദാക്കി.</v>
      </c>
      <c r="G886" s="7" t="str">
        <f>IFERROR(__xludf.DUMMYFUNCTION("GOOGLETRANSLATE(B886, ""en"", ""te"")"),"ప్రయాణం మధ్యలోనే రద్దు చేయబడింది")</f>
        <v>ప్రయాణం మధ్యలోనే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f>
        <v>వెనుక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సరిచూసుకోండి.")</f>
        <v>దయచేసి మీ కనెక్షన్‌ను సరిచూసుకోండి.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మళ్లీ ప్రయత్నించండి.")</f>
        <v>మీ ఇంటర్నెట్ స్థిరంగా ఉందని నిర్ధారించుకుని, మళ్లీ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 రాత్రి ప్రయాణాలు")</f>
        <v>సురక్షిత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ప్రదేశాలు చాలా దగ్గరగా ఉన్నాయి. దయచేసి కొంచెం దూరంగా ఉన్న ప్రదేశాన్ని ఎంచుకోండి.")</f>
        <v>పికప్ మరియు డ్రాప్-ఆఫ్ ప్రదేశాలు చాలా దగ్గరగా ఉన్నాయి. దయచేసి కొంచెం దూరంగా ఉన్న ప్రదేశాన్ని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""te"")"),"స్థానాలు చాలా దగ్గరగా ఉన్నాయి")</f>
        <v>స్థానాలు చాలా దగ్గరగా ఉన్నాయి</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చేయండి")</f>
        <v>ఇలా సేవ్ చేయండి</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భద్రపరచండి")</f>
        <v>స్థలాన్ని భద్రపరచండి</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చేయండి")</f>
        <v>ప్రాధాన్యతలను సేవ్ చేయండి</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""te"")"),"మీరు సేవ్ చేసిన మొదటి స్థలాన్ని జోడించడానికి + బటన్‌ను నొక్కండి")</f>
        <v>మీరు సేవ్ చేసిన మొదటి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ಕಾಣಿಸಿಕೊಳ್ಳುತ್ತವೆ.")</f>
        <v>ನಿಮ್ಮ ಉಳಿಸಿದ ಸ್ಥಳಗಳು ಇಲ್ಲಿ ಕಾಣಿಸಿಕೊಳ್ಳುತ್ತವೆ.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""ml"")"),"പട്ടിക")</f>
        <v>പട്ടിക</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""te"")"),"పర్యటనను షెడ్యూల్ చేయండి")</f>
        <v>పర్యటనను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""te"")"),"రైడ్‌ను షెడ్యూల్ చేయండి")</f>
        <v>రైడ్‌ను షెడ్యూల్ చేయండి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""te"")"),"శోధన")</f>
        <v>శోధన</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""te"")"),"డ్రైవర్లందరినీ శోధించండి")</f>
        <v>డ్రైవర్లందరినీ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""te"")"),"శోధన గమ్యం")</f>
        <v>శోధన గమ్యం</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స్థానాన్ని శోధించండి")</f>
        <v>పికప్ స్థానాన్ని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ప్రదేశాన్ని ఎంచుకోండి")</f>
        <v>వేరే ప్రదేశాన్ని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""te"")"),"డ్రాప్ఆఫ్‌ను ఎంచుకోండి")</f>
        <v>డ్రాప్ఆఫ్‌ను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""te"")"),"పికప్‌ను ఎంచుకోండి")</f>
        <v>పికప్‌ను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வெளியேற்றப்பட்டுள்ளீர்கள்.")</f>
        <v>உங்கள் கணக்கு வேறொரு சாதனத்தில் பயன்படுத்தப்பட்டதால், நீங்கள் வெளியேற்றப்பட்டுள்ளீர்கள்.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 వేరొక పరికరంలో ఉపయోగించబడినందున మీరు లాగ్ అవుట్ చేయబడ్డారు.")</f>
        <v>మీ ఖాతా వేరొక పరికరంలో ఉపయోగించబడినందున మీరు లాగ్ అవుట్ చేయబడ్డారు.</v>
      </c>
    </row>
    <row r="923">
      <c r="A923" s="4" t="s">
        <v>2220</v>
      </c>
      <c r="B923" s="5" t="s">
        <v>2221</v>
      </c>
      <c r="C923" s="6" t="str">
        <f>IFERROR(__xludf.DUMMYFUNCTION("GOOGLETRANSLATE(B923, ""en"", ""ta"")"),"வெளியேறினார்")</f>
        <v>வெளியேறினார்</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చేసుకోండి")</f>
        <v>మీ గమ్యస్థానాన్ని సెట్ చేసుకోండి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""te"")"),"అది ఇంటి ప్రయాణమైనా, ఆఫీసుకైనా, లేదా ఒక సాహసయాత్రకైనా, ""నమ్మ ఊరు టాక్సీ ®"" మిమ్మల్ని అక్కడికి చేర్చడానికి సిద్ధంగా ఉంది.")</f>
        <v>అది ఇంటి ప్రయాణమైనా, ఆఫీసుకైనా, లేదా ఒక సాహసయాత్రకైనా, "నమ్మ ఊరు టాక్సీ ®" మిమ్మల్ని అక్కడికి చేర్చడానికి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""te"")"),"ఇన్‌వాయిస్‌ను చూపించు")</f>
        <v>ఇన్‌వాయిస్‌ను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దాటవేయండి")</f>
        <v>ప్రస్తుతానికి దాటవేయండి</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స్లైడ్ చేయండి")</f>
        <v>రద్దు చేయడానికి స్లైడ్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""te"")"),"స్టార్")</f>
        <v>స్టార్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""te"")"),"స్టేటస్ ఫిల్టర్")</f>
        <v>స్టేటస్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""te"")"),"ఆపండి")</f>
        <v>ఆపండి</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""te"")"),"100 మీటర్ల దూరంలో రెండు స్టాప్‌లు ఉన్నాయి. దయచేసి మీ స్టాప్‌లను సర్దుబాటు చేసుకోండి.")</f>
        <v>100 మీటర్ల దూరంలో రెండు స్టాప్‌లు ఉన్నాయి. దయచేసి మీ స్టాప్‌లను సర్దుబాటు చేసుకోండి.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రావడంతో ప్రయాణికులకు అసౌకర్యం కలిగింది.")</f>
        <v>డ్రైవర్ అంచనా వేసిన పికప్ సమయం కంటే చాలా ఆలస్యంగా రావడంతో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വൈകിയുള്ള വരവ്")</f>
        <v>ഡ്രൈവർ വൈകിയുള്ള വരവ്</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సామాను వాహనంలోనే మర్చిపోయాను, వాటిని తిరిగి పొందడానికి సహాయం కావాలి.")</f>
        <v>నా సామాను వాహనంలోనే మర్చిపోయాను, వాటిని తిరిగి పొందడానికి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""te"")"),"పోగొట్టుకున్న వస్తువు నివేదిక")</f>
        <v>పోగొట్టుకున్న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""te"")"),"సమంజసమైన కారణాలు ఉన్నప్పటికీ ప్రయాణికుడిపై తప్పుగా రద్దు రుసుము విధించబడింది")</f>
        <v>సమంజసమైన కారణాలు ఉన్నప్పటికీ ప్రయాణికుడిపై తప్పుగా రద్దు రుసుము విధించబడింది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""te"")"),"ప్రయాణ ఛార్జీ సమస్యలు")</f>
        <v>ప్రయాణ ఛార్జీ సమస్యలు</v>
      </c>
    </row>
    <row r="954">
      <c r="A954" s="4" t="s">
        <v>2312</v>
      </c>
      <c r="B954" s="5" t="s">
        <v>2313</v>
      </c>
      <c r="C954" s="6" t="s">
        <v>2314</v>
      </c>
      <c r="D954" s="6" t="str">
        <f>IFERROR(__xludf.DUMMYFUNCTION("GOOGLETRANSLATE(B954, ""en"", ""hi"")"),"ड्राइवर बुक किए गए वाहन के प्रकार से भिन्न वाहन लेकर आया (उदाहरण के लिए, एसयूवी के बजाय सेडान)।")</f>
        <v>ड्राइवर बुक किए गए वाहन के प्रकार से भिन्न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చేసుకున్న వాహనానికి భిన్నమైన వాహనంతో డ్రైవర్ వచ్చాడు (ఉదాహరణకు, SUVకి బదులుగా సెడాన్).")</f>
        <v>బుక్ చేసుకున్న వాహనానికి భిన్నమైన వాహనంతో డ్రైవర్ వచ్చాడు (ఉదాహరణకు, SUVకి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ఊహించిన విధంగా లేదు")</f>
        <v>వాహనం ఊహించిన విధంగా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""te"")"),"యాప్ సంబంధిత")</f>
        <v>యాప్ సంబంధిత</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సవివరమైన సమాచారాన్ని అందించండి...")</f>
        <v>దయచేసి మీ సమస్య గురించి సవివరమైన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యాత్రను ఎంచుకోండి")</f>
        <v>దయచేసి ఒక యాత్రను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అవసరం")</f>
        <v>విషయం అవసరం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""te"")"),"కేటగిరీలు లోడ్ అవుతున్నాయి...")</f>
        <v>కేటగిరీలు లోడ్ అవుతున్నాయి...</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టిక్కెట్ రకానికి కేటగిరీలు అందుబాటులో లేవు")</f>
        <v>ఈ టిక్కెట్ రకానికి కేటగిరీలు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""te"")"),"ట్రిప్‌ను ఎంచుకోండి")</f>
        <v>ట్రిప్‌ను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ప్రయాణ చరిత్ర నుండి ఒక యాత్రను ఎంచుకోండి")</f>
        <v>మీ ప్రయాణ చరిత్ర నుండి ఒక యాత్రను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और हम इसे हल करने में आपकी सहायता करेंगे।")</f>
        <v>अपनी समस्या का वर्णन करें और हम इसे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టిక్కెట్‌ను సృష్టించండి")</f>
        <v>కొత్త టిక్కెట్‌ను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""te"")"),"యాత్ర వివరాలు")</f>
        <v>యాత్ర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""te"")"),"యాత్ర సంబంధిత")</f>
        <v>యాత్ర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""te"")"),"సహాయక విభాగం")</f>
        <v>సహాయక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""te"")"),"లాగౌట్ చేయడానికి స్వైప్ చేయండి")</f>
        <v>లాగౌట్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""te"")"),"ట్యాప్ అనుమతులు")</f>
        <v>ట్యాప్ అనుమతులు</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""te"")"),"టెస్ట్ స్క్రీన్")</f>
        <v>టెస్ట్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కనుగొనబడలేదు")</f>
        <v>టికెట్ కనుగొనబడలేదు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""te"")"),"డ్రైవర్‌కు")</f>
        <v>డ్రైవర్‌కు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""ta"")"),"மொத்த செலுத்த வேண்டியவை")</f>
        <v>மொத்த செலுத்த வேண்டியவை</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ప్రయాణాన్ని ట్రాక్ చేయండి")</f>
        <v>మీ ప్రయాణాన్ని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గమనించండి మరియు వారి లొకేషన్ గురించి ఎప్పటికప్పుడు తెలుసుకోండి. మీ రైడ్ ఎప్పుడు వస్తుందో ఇకపై ఊహించాల్సిన అవసరం లేదు.")</f>
        <v>మీ డ్రైవర్ రాకను నిజ సమయంలో గమనించండి మరియు వారి లొకేషన్ గురించి ఎప్పటికప్పుడు తెలుసుకోండి. మీ రైడ్ ఎప్పుడు వస్తుందో ఇకపై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అనుమతించబడిన ప్రయాణ దూరాన్ని మించిపోయింది. దయచేసి వేరే వాహనాన్ని ఎంచుకోండి లేదా ప్రయాణ దూరాన్ని తగ్గించండి.")</f>
        <v>{vehicleName} దాని గరిష్ట అనుమతించబడిన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ദയവായി മറ്റൊരു വാഹനം തിരഞ്ഞെടുക്കുകയോ {maxKm} കിലോമീറ്ററിൽ താഴെയുള്ള യാത്ര പ്ലാൻ ചെയ്യുകയോ ചെയ്യുക.")</f>
        <v>{vehicleName} പരമാവധി ദൂരം {maxKm} കിലോമീറ്ററാണ്. ദയവായി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ప్రయాణాన్ని ప్లాన్ చేసుకోండి.")</f>
        <v>{vehicleName} గరిష్ట దూరం {maxKm} కి.మీ. దయచేసి వేరే వాహనాన్ని ఎంచుకోండి లేదా {maxKm} కి.మీ. కంటే తక్కువ ప్రయాణాన్ని ప్లాన్ చేసుకోండి.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తక్కువగా ఉంది. అనుమతించబడిన కనీస దూరం {minDistance} మీటర్లు.")</f>
        <v>ప్రయాణ దూరం చాలా తక్కువగా ఉంది.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""te"")"),"ప్రయాణ ఛార్జీ")</f>
        <v>ప్రయాణ ఛార్జీ</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""te"")"),"ప్రయాణం కోసం")</f>
        <v>ప్రయాణం కోసం</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""te"")"),"ప్రయాణ స్థితి")</f>
        <v>ప్రయాణ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మధ్యలోనే ఆగిపోయింది")</f>
        <v>ప్రయాణం మధ్యలోనే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డ్రైవర్‌ను కనుగొనలేకపోతున్నాము. దయచేసి మళ్ళీ ప్రయత్నించండి.")</f>
        <v>ప్రస్తుతానికి డ్రైవర్‌ను కనుగొనలేకపోతున్నాము.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దారి మళ్లింపు")</f>
        <v>ఊహించని మార్గం లేదా దారి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""te"")"),"నవీకరణ స్థలం")</f>
        <v>నవీకరణ స్థలం</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 புதுப்பிக்கப்பட்டது")</f>
        <v>வெற்றிகரமாக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అవసరం")</f>
        <v>వాహన ఎంపిక అవసరం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వీక్షించండి")</f>
        <v>రసీదును వీక్షించండి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""te"")"),"నిరీక్షణ సమయం")</f>
        <v>నిరీక్షణ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""te"")"),"నిరీక్షణ సమయ రుసుములు")</f>
        <v>నిరీక్షణ సమయ రుసుములు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""te"")"),"సరైన ఛార్జీ కోసం డ్రైవర్ {defaultwaitingTime} నిమిషాల కంటే ఎక్కువసేపు వేచి ఉండాల్సి వస్తే, వేచి ఉండే సమయాన్ని జోడించండి.")</f>
        <v>సరైన ఛార్జీ కోసం డ్రైవర్ {defaultwaitingTime} నిమిషాల కంటే ఎక్కువసేపు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చేస్తున్నారు?")</f>
        <v>మీరు ప్రయాణాన్ని ఎందుకు రద్దు చేస్తున్నారు?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ரேஸர்பே வழியாகப் பணம் செலுத்துகிறீர்கள்.")</f>
        <v>நீங்கள் ரேஸர்பே வழியாகப்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రేజర్‌పే ద్వారా చెల్లిస్తున్నారు")</f>
        <v>మీరు రేజర్‌పే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వస్తారు")</f>
        <v>మీ డ్రైవర్ వస్తారు</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""te"")"),"మీ అభిప్రాయం డ్రైవింగ్ అనుభవాన్ని మెరుగుపరచడంలో మాకు సహాయపడుతుంది.")</f>
        <v>మీ అభిప్రాయం డ్రైవింగ్ అనుభవాన్ని మెరుగుపరచడంలో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ప్రయాణం విజయవంతంగా బుక్ చేయబడింది!")</f>
        <v>మీ ప్రయాణం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ప్రయాణం మధ్యలోనే రద్దు చేయబడింది")</f>
        <v>మీ ప్రయాణం మధ్యలోనే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""ta"")"),"ஆதார ஆவணங்கள்")</f>
        <v>ஆதார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""ta"")"),"நீங்கள் பயணங்களை ஏற்கத் தொடங்குவதற்கு இந்தப் படிகளை நிறைவு செய்யுங்கள்.")</f>
        <v>நீங்கள் பயணங்களை ஏற்கத் தொடங்குவதற்கு இந்தப் படிகளை நிறைவு செய்யுங்கள்.</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സ്വീകരിക്കാൻ തുടങ്ങുന്നതിന് ഈ ഘട്ടങ്ങൾ പൂർത്തിയാക്കുക.")</f>
        <v>റൈഡുകൾ സ്വീകരിക്കാൻ തുടങ്ങുന്നതിന് ഈ ഘട്ടങ്ങൾ പൂർത്തിയാക്കുക.</v>
      </c>
      <c r="G1069" s="7" t="str">
        <f>IFERROR(__xludf.DUMMYFUNCTION("GOOGLETRANSLATE(B1069, ""en"", ""te"")"),"మీరు రైడ్‌లను స్వీకరించడం ప్రారంభించడానికి ఈ దశలను పూర్తి చేయండి")</f>
        <v>మీరు రైడ్‌లను స్వీకరించడం ప్రారంభించడానికి ఈ దశలను పూర్తి చేయండి</v>
      </c>
    </row>
    <row r="1070">
      <c r="A1070" s="12" t="s">
        <v>2619</v>
      </c>
      <c r="B1070" s="19" t="s">
        <v>2620</v>
      </c>
      <c r="C1070" s="6" t="str">
        <f>IFERROR(__xludf.DUMMYFUNCTION("GOOGLETRANSLATE(B1070, ""en"", ""ta"")"),"சரியான தொலைபேசி எண்ணை உள்ளிடவும்")</f>
        <v>சரியான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సరైన ఫోన్ నంబర్‌ను నమోదు చేయండి")</f>
        <v>దయచేసి సరైన ఫోన్ నంబర్‌ను నమోదు చేయండి</v>
      </c>
    </row>
    <row r="1071">
      <c r="A1071" s="12" t="s">
        <v>2621</v>
      </c>
      <c r="B1071" s="19" t="s">
        <v>2622</v>
      </c>
      <c r="C1071" s="6" t="str">
        <f>IFERROR(__xludf.DUMMYFUNCTION("GOOGLETRANSLATE(B1071, ""en"", ""ta"")"),"உரிம எண் தானாகவே கண்டறியப்பட்டு நிரப்பப்பட்டது.")</f>
        <v>உரிம எண் தானாகவே கண்டறியப்பட்டு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 స్వయంచాలకంగా నింపబడుతుంది.")</f>
        <v>లైసెన్స్ నంబర్ గుర్తించబడి, స్వయంచాలకంగా నింపబడుతుంది.</v>
      </c>
    </row>
    <row r="1072">
      <c r="A1072" s="12" t="s">
        <v>2623</v>
      </c>
      <c r="B1072" s="19" t="s">
        <v>2624</v>
      </c>
      <c r="C1072" s="6" t="str">
        <f>IFERROR(__xludf.DUMMYFUNCTION("GOOGLETRANSLATE(B1072, ""en"", ""ta"")"),"பிறந்த தேதி தானாகவே கண்டறியப்பட்டு நிரப்பப்படுகிறது.")</f>
        <v>பிறந்த தேதி தானாகவே கண்டறியப்பட்டு நிரப்பப்படுகிறது.</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స్వయంచాలకంగా గుర్తించబడి, నింపబడుతుంది.")</f>
        <v>పుట్టిన తేదీ స్వయంచాలకంగా గుర్తించబడి,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विवरण नहीं मिल पाए। कृपया फ़ील्ड को मैन्युअल रूप से अपडेट करें।")</f>
        <v>लाइसेंस संबंधी विवरण नहीं मिल पाए।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 గుర్తించలేకపోయాము. ఫీల్డ్‌లను మాన్యువల్‌గా అప్‌డేట్ చేయండి.")</f>
        <v>లైసెన్స్ వివరాలు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ஓட்டுநரின் புகைப்படத்தைப் பதிவேற்றவும்.")</f>
        <v>தொடர்வதற்கு முன் ஓட்டுநரின்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""te"")"),"ముందుకు వెళ్లే ముందు డ్రైవర్ ఫోటోను అప్‌లోడ్ చేయండి.")</f>
        <v>ముందుకు వెళ్లే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""te"")"),"ముందుకు వెళ్లే ముందు డ్రైవింగ్ లైసెన్స్‌ను అప్‌లోడ్ చేయండి.")</f>
        <v>ముందుకు వెళ్లే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எடுக்கவும்.")</f>
        <v>ஓட்டுநரின் தெளிவான, சமீபத்திய புகைப்படத்தைப் பதிவேற்றவும் அல்லது எடுக்கவும்.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తీయండి.")</f>
        <v>డ్రైవర్ యొక్క స్పష్టమైన, ఇటీవలి ఫోటోను అప్‌లోడ్ చేయండి లేదా తీయండి.</v>
      </c>
    </row>
    <row r="1078">
      <c r="A1078" s="12" t="s">
        <v>2635</v>
      </c>
      <c r="B1078" s="13" t="s">
        <v>2636</v>
      </c>
      <c r="C1078" s="6" t="str">
        <f>IFERROR(__xludf.DUMMYFUNCTION("GOOGLETRANSLATE(B1078, ""en"", ""ta"")"),"இந்தப் பயன்முறையில் திருத்தம் செய்வது முடக்கப்பட்டுள்ளது.")</f>
        <v>இந்தப் பயன்முறையில் திருத்தம் செய்வது முடக்கப்பட்டுள்ளது.</v>
      </c>
      <c r="D1078" s="6" t="str">
        <f>IFERROR(__xludf.DUMMYFUNCTION("GOOGLETRANSLATE(B1078, ""en"", ""hi"")"),"इस मोड में संपादन अक्षम है।")</f>
        <v>इस मोड में संपादन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ఎడిటింగ్ నిలిపివేయబడింది.")</f>
        <v>ఈ మోడ్‌లో ఎడిటింగ్ నిలిపివేయబడింది.</v>
      </c>
    </row>
    <row r="1079">
      <c r="A1079" s="12" t="s">
        <v>2637</v>
      </c>
      <c r="B1079" s="13" t="s">
        <v>2638</v>
      </c>
      <c r="C1079" s="6" t="str">
        <f>IFERROR(__xludf.DUMMYFUNCTION("GOOGLETRANSLATE(B1079, ""en"", ""ta"")"),"சொல்ல விரும்பவில்லை")</f>
        <v>சொல்ல விரும்பவில்லை</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""te"")"),"చెప్పకపోవడమే మంచిది")</f>
        <v>చెప్పకపోవడమే మంచిది</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எண்ணைத் தானாகக் கண்டறிய, வாகனத்தின் RC-ஐப் பதிவேற்றவும் அல்லது படம்பிடிக்கவும்.")</f>
        <v>பதிவு எண்ணைத் தானாகக் கண்டறிய, வாகனத்தின் RC-ஐப் பதிவேற்றவும் அல்லது படம்பிடிக்கவும்.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చిత్రీకరించండి")</f>
        <v>రిజిస్ట్రేషన్ నంబర్‌ను స్వయంచాలకంగా గుర్తించడానికి వాహనం RCని అప్‌లోడ్ చేయండి లేదా చిత్రీకరించండి</v>
      </c>
    </row>
    <row r="1082">
      <c r="A1082" s="20" t="s">
        <v>2643</v>
      </c>
      <c r="B1082" s="8" t="s">
        <v>2644</v>
      </c>
      <c r="C1082" s="6" t="str">
        <f>IFERROR(__xludf.DUMMYFUNCTION("GOOGLETRANSLATE(B1082, ""en"", ""ta"")"),"RC வாகனத்தைப் பதிவேற்றவும் அல்லது கைப்பற்றவும்")</f>
        <v>RC வாகனத்தைப் பதிவேற்றவும் அல்லது கைப்பற்றவும்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క్యాప్చర్ చేయండి")</f>
        <v>వాహన RCని అప్‌లోడ్ చేయండి లేదా క్యాప్చర్ చేయండి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சரிபார்க்கப்பட்டது.")</f>
        <v>விவரங்கள் தானாகவே கண்டறியப்பட்டன. சமர்ப்பிக்கும் முன் சரிபார்க்கப்பட்டது.</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பெற முடியவில்லை. புலத்தை கைமுறையாகப் புதுப்பிக்கவும்.")</f>
        <v>ஆதார் எண்ணைப் பெற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సేకరించలేకపోయాము. ఫీల్డ్‌ను మాన్యువల్‌గా అప్‌డేట్ చేయండి.")</f>
        <v>ఆధార్ నంబర్‌ను సేకరించలేకపోయాము. ఫీల్డ్‌ను మాన్యువల్‌గా అప్‌డేట్ చేయండి.</v>
      </c>
    </row>
    <row r="1086">
      <c r="A1086" s="20" t="s">
        <v>2651</v>
      </c>
      <c r="B1086" s="8" t="s">
        <v>2652</v>
      </c>
      <c r="C1086" s="6" t="str">
        <f>IFERROR(__xludf.DUMMYFUNCTION("GOOGLETRANSLATE(B1086, ""en"", ""ta"")"),"ஆவணம் பதிவேற்றப்படுகிறது. தயவுசெய்து காத்திருக்கவும்…")</f>
        <v>ஆவணம் பதிவேற்றப்படுகிறது. தயவுசெய்து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കാത്തിരിക്കൂ...")</f>
        <v>ഡോക്യുമെന്റ് അപ്‌ലോഡ് ചെയ്യുന്നു. കാത്തിരിക്കൂ...</v>
      </c>
      <c r="G1086" s="7" t="str">
        <f>IFERROR(__xludf.DUMMYFUNCTION("GOOGLETRANSLATE(B1086, ""en"", ""te"")"),"పత్రం అప్‌లోడ్ అవుతోంది. దయచేసి వేచి ఉండండి…")</f>
        <v>పత్రం అప్‌లోడ్ అవుతోంది. దయచేసి వేచి ఉండండి…</v>
      </c>
    </row>
    <row r="1087">
      <c r="A1087" s="20" t="s">
        <v>2653</v>
      </c>
      <c r="B1087" s="8" t="s">
        <v>2654</v>
      </c>
      <c r="C1087" s="6" t="str">
        <f>IFERROR(__xludf.DUMMYFUNCTION("GOOGLETRANSLATE(B1087, ""en"", ""ta"")"),"ஆவணம் தயாராக உள்ளது. அனுப்புவதற்கு, பதிவேற்று என்பதைத் தட்டவும்.")</f>
        <v>ஆவணம் தயாராக உள்ளது. அனுப்புவதற்கு,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 నొక్కండి.")</f>
        <v>పత్రం సిద్ధంగా ఉంది. పంపడానికి అప్‌లోడ్ నొక్కండి.</v>
      </c>
    </row>
    <row r="1088">
      <c r="A1088" s="20" t="s">
        <v>2655</v>
      </c>
      <c r="B1088" s="8" t="s">
        <v>2656</v>
      </c>
      <c r="C1088" s="6" t="str">
        <f>IFERROR(__xludf.DUMMYFUNCTION("GOOGLETRANSLATE(B1088, ""en"", ""ta"")"),"ஆதார் அல்லது பான் எண்ணைப் புதுப்பிக்கவும். குறைந்தபட்சம் ஒரு செல்லுபடியாகும் ஆவணத்தை வழங்கவும்.")</f>
        <v>ஆதார் அல்லது பான் எண்ணைப் புதுப்பிக்கவும். குறைந்தபட்சம் ஒரு செல்லுபடியாகும் ஆவணத்தை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సమర్పించండి.")</f>
        <v>ఆధార్ లేదా పాన్‌ను అప్‌డేట్ చేయండి. కనీసం ఒక చెల్లుబాటు అయ్యే పత్రాన్ని సమర్పించండి.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""ta"")"),"ஓட்டுநரின் புகைப்படத்தைப் பதிவேற்றவும் அல்லது எடுக்கவும்")</f>
        <v>ஓட்டுநரின் புகைப்படத்தைப் பதிவேற்றவும் அல்லது எடுக்கவும்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ಫೋಟೋವನ್ನು ಅಪ್‌ಲೋಡ್ ಮಾಡಿ ಅಥವಾ ಸೆರೆಹಿಡಿಯಿರಿ")</f>
        <v>ಚಾಲಕ ಫೋಟೋವನ್ನು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తీయండి")</f>
        <v>డ్రైవర్ ఫోటోను అప్‌లోడ్ చేయండి లేదా తీయండి</v>
      </c>
    </row>
    <row r="1091">
      <c r="A1091" s="20" t="s">
        <v>2661</v>
      </c>
      <c r="B1091" s="8" t="s">
        <v>2662</v>
      </c>
      <c r="C1091" s="6" t="str">
        <f>IFERROR(__xludf.DUMMYFUNCTION("GOOGLETRANSLATE(B1091, ""en"", ""ta"")"),"ஓட்டுநர் உரிமத்தைப் பதிவேற்றவும் அல்லது கைப்பற்றவும்")</f>
        <v>ஓட்டுநர் உரிமத்தைப் பதிவேற்றவும் அல்லது கைப்பற்றவும்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చిత్రీకరించండి")</f>
        <v>డ్రైవింగ్ లైసెన్స్‌ను అప్‌లోడ్ చేయండి లేదా చిత్రీకరించండి</v>
      </c>
    </row>
    <row r="1092">
      <c r="A1092" s="12" t="s">
        <v>2663</v>
      </c>
      <c r="B1092" s="13" t="s">
        <v>2664</v>
      </c>
      <c r="C1092" s="6" t="str">
        <f>IFERROR(__xludf.DUMMYFUNCTION("GOOGLETRANSLATE(B1092, ""en"", ""ta"")"),"ஆதார் அட்டையைப் பதிவேற்றவும் அல்லது எடுக்கவும்")</f>
        <v>ஆதார் அட்டையைப் பதிவேற்றவும் அல்லது எடுக்கவும்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പിടിച്ചെടുക്കുക")</f>
        <v>ആധാർ കാർഡ് അപ്‌ലോഡ് ചെയ്യുക അല്ലെങ്കിൽ പിടിച്ചെടുക്കുക</v>
      </c>
      <c r="G1092" s="7" t="str">
        <f>IFERROR(__xludf.DUMMYFUNCTION("GOOGLETRANSLATE(B1092, ""en"", ""te"")"),"ఆధార్ కార్డును అప్‌లోడ్ చేయండి లేదా చిత్రీకరించండి")</f>
        <v>ఆధార్ కార్డును అప్‌లోడ్ చేయండి లేదా చిత్రీకరించండి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""te"")"),"పాన్ కార్డును అప్‌లోడ్ చేయండి లేదా చిత్రీకరించండి")</f>
        <v>పాన్ కార్డును అప్‌లోడ్ చేయండి లేదా చిత్రీకరించండి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""ta"")"),"பணம் செலுத்துதலை இதன் மூலம் சரிபார்க்கவும்")</f>
        <v>பணம் செலுத்துதலை இதன் மூலம்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దీనితో ధృవీకరించండి")</f>
        <v>చెల్లింపులను దీనితో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 கணக்கை சரிபார்க்கவும்")</f>
        <v>வங்கி கணக்கை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குடியிருப்பு முகவரியை உள்ளிடவும்")</f>
        <v>உங்கள் குடியிருப்பு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முகப்புப் பக்கத்தைப் பதிவேற்றவும் அல்லது படம்பிடிக்கவும்.")</f>
        <v>கணக்கு விவரங்களைத் தானாகக் கண்டறிய, முகப்புப் பக்கத்தைப் பதிவேற்றவும் அல்லது படம்பிடிக்கவும்.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ముఖ పేజీని అప్‌లోడ్ చేయండి లేదా క్యాప్చర్ చేయండి.")</f>
        <v>ఖాతా వివరాలను స్వయంచాలకంగా గుర్తించడానికి ముఖ పేజీని అప్‌లోడ్ చేయండి లేదా క్యాప్చర్ చేయండి.</v>
      </c>
    </row>
    <row r="1101">
      <c r="A1101" s="22" t="s">
        <v>2635</v>
      </c>
      <c r="B1101" s="13" t="s">
        <v>2636</v>
      </c>
      <c r="C1101" s="6" t="str">
        <f>IFERROR(__xludf.DUMMYFUNCTION("GOOGLETRANSLATE(B1101, ""en"", ""ta"")"),"இந்தப் பயன்முறையில் திருத்தம் செய்வது முடக்கப்பட்டுள்ளது.")</f>
        <v>இந்தப் பயன்முறையில் திருத்தம் செய்வது முடக்கப்பட்டுள்ளது.</v>
      </c>
      <c r="D1101" s="6" t="str">
        <f>IFERROR(__xludf.DUMMYFUNCTION("GOOGLETRANSLATE(B1101, ""en"", ""hi"")"),"इस मोड में संपादन अक्षम है।")</f>
        <v>इस मोड में संपादन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ఎడిటింగ్ నిలిపివేయబడింది.")</f>
        <v>ఈ మోడ్‌లో ఎడిటింగ్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కారణాన్ని నమోదు చేయండి")</f>
        <v>దయచేసి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""te"")"),"బకాయి ఉన్న మొత్తం")</f>
        <v>బకాయి ఉన్న మొత్తం</v>
      </c>
    </row>
    <row r="1108">
      <c r="A1108" s="12" t="s">
        <v>2695</v>
      </c>
      <c r="B1108" s="13" t="s">
        <v>2696</v>
      </c>
      <c r="C1108" s="6" t="str">
        <f>IFERROR(__xludf.DUMMYFUNCTION("GOOGLETRANSLATE(B1108, ""en"", ""ta"")"),"தொடர்ந்து பயணங்களை ஏற்றுக்கொள்ள, உங்கள் நிலுவைத் தொகையைச் செலுத்துங்கள்.")</f>
        <v>தொடர்ந்து பயணங்களை ஏற்றுக்கொள்ள, உங்கள் நிலுவைத் தொகையைச்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കുടിശ്ശികകൾ അടയ്ക്കുക.")</f>
        <v>റൈഡുകൾ സ്വീകരിക്കുന്നത് തുടരാൻ നിങ്ങളുടെ കുടിശ്ശികകൾ അടയ്ക്കുക.</v>
      </c>
      <c r="G1108" s="7" t="str">
        <f>IFERROR(__xludf.DUMMYFUNCTION("GOOGLETRANSLATE(B1108, ""en"", ""te"")"),"రైడ్‌లను స్వీకరించడం కొనసాగించడానికి మీ బకాయిలను చెల్లించండి.")</f>
        <v>రైడ్‌లను స్వీకరించడం కొనసాగించడానికి మీ బకాయిలను చెల్లించండి.</v>
      </c>
    </row>
    <row r="1109">
      <c r="A1109" s="12" t="s">
        <v>2697</v>
      </c>
      <c r="B1109" s="13" t="s">
        <v>2698</v>
      </c>
      <c r="C1109" s="6" t="str">
        <f>IFERROR(__xludf.DUMMYFUNCTION("GOOGLETRANSLATE(B1109, ""en"", ""ta"")"),"விரைவில் பணம் செலுத்த வேண்டும்")</f>
        <v>விரைவில் பணம் செலுத்த வேண்டும்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""te"")"),"త్వరలో చెల్లింపు చేయాలి")</f>
        <v>త్వరలో చెల్లింపు చేయాలి</v>
      </c>
    </row>
    <row r="1110">
      <c r="A1110" s="12" t="s">
        <v>2699</v>
      </c>
      <c r="B1110" s="13" t="s">
        <v>2700</v>
      </c>
      <c r="C1110" s="6" t="str">
        <f>IFERROR(__xludf.DUMMYFUNCTION("GOOGLETRANSLATE(B1110, ""en"", ""ta"")"),"செலுத்த வேண்டிய தொகை")</f>
        <v>செலுத்த வேண்டிய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""te"")"),"బకాయి మొత్తం")</f>
        <v>బకాయి మొత్తం</v>
      </c>
    </row>
    <row r="1111">
      <c r="A1111" s="12" t="s">
        <v>2701</v>
      </c>
      <c r="B1111" s="13" t="s">
        <v>2702</v>
      </c>
      <c r="C1111" s="6" t="str">
        <f>IFERROR(__xludf.DUMMYFUNCTION("GOOGLETRANSLATE(B1111, ""en"", ""ta"")"),"அடுத்து வரவிருப்பது")</f>
        <v>அடுத்து வரவிருப்பது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రావలసినది")</f>
        <v>తదుపరి రావలసినది</v>
      </c>
    </row>
    <row r="1112">
      <c r="A1112" s="12" t="s">
        <v>2703</v>
      </c>
      <c r="B1112" s="13" t="s">
        <v>2704</v>
      </c>
      <c r="C1112" s="6" t="str">
        <f>IFERROR(__xludf.DUMMYFUNCTION("GOOGLETRANSLATE(B1112, ""en"", ""ta"")"),"அதிகபட்ச காத்திருப்பு நேரம் {maxwaitingTime} நிமிடங்கள் ஆகும்.")</f>
        <v>அதிகபட்ச காத்திருப்பு நேரம் {maxwaitingTime} நிமிடங்கள் ஆகும்.</v>
      </c>
      <c r="D1112" s="6" t="str">
        <f>IFERROR(__xludf.DUMMYFUNCTION("GOOGLETRANSLATE(B1112, ""en"", ""hi"")"),"अधिकतम प्रतीक्षा समय {maxwaitingTime} मिनट है")</f>
        <v>अधिकतम प्रतीक्षा समय {maxwaitingTime} मिनट है</v>
      </c>
      <c r="E1112" s="6" t="str">
        <f>IFERROR(__xludf.DUMMYFUNCTION("GOOGLETRANSLATE(B1112, ""en"", ""kn"")"),"ಗರಿಷ್ಠ ಕಾಯುವ ಸಮಯ {maxwaitingTime} ನಿಮಿಷಗಳು")</f>
        <v>ಗರಿಷ್ಠ ಕಾಯುವ ಸಮಯ {maxwaitingTime} ನಿಮಿಷಗಳು</v>
      </c>
      <c r="F1112" s="7" t="str">
        <f>IFERROR(__xludf.DUMMYFUNCTION("GOOGLETRANSLATE(B1112, ""en"", ""ml"")"),"പരമാവധി കാത്തിരിപ്പ് സമയം {maxwaitingTime} മിനിറ്റാണ്")</f>
        <v>പരമാവധി കാത്തിരിപ്പ് സമയം {maxwaitingTime} മിനിറ്റാണ്</v>
      </c>
      <c r="G1112" s="7" t="str">
        <f>IFERROR(__xludf.DUMMYFUNCTION("GOOGLETRANSLATE(B1112, ""en"", ""te"")"),"గరిష్ట నిరీక్షణ సమయం {maxwaitingTime} నిమిషాలు")</f>
        <v>గరిష్ట నిరీక్షణ సమయం {maxwaitingTime} నిమిషాలు</v>
      </c>
    </row>
    <row r="1113">
      <c r="A1113" s="12" t="s">
        <v>2705</v>
      </c>
      <c r="B1113" s="13" t="s">
        <v>539</v>
      </c>
      <c r="C1113" s="6" t="str">
        <f>IFERROR(__xludf.DUMMYFUNCTION("GOOGLETRANSLATE(B1113, ""en"", ""ta"")"),"பயணத்தை ரத்து செய்")</f>
        <v>பயணத்தை ரத்து செய்</v>
      </c>
      <c r="D1113" s="6" t="str">
        <f>IFERROR(__xludf.DUMMYFUNCTION("GOOGLETRANSLATE(B1113, ""en"", ""hi"")"),"यात्रा रद्द करें")</f>
        <v>यात्रा रद्द करें</v>
      </c>
      <c r="E1113" s="6" t="str">
        <f>IFERROR(__xludf.DUMMYFUNCTION("GOOGLETRANSLATE(B1113, ""en"", ""kn"")"),"ಪ್ರವಾಸ ರದ್ದುಗೊಳಿಸಿ")</f>
        <v>ಪ್ರವಾಸ ರದ್ದುಗೊಳಿಸಿ</v>
      </c>
      <c r="F1113" s="7" t="str">
        <f>IFERROR(__xludf.DUMMYFUNCTION("GOOGLETRANSLATE(B1113, ""en"", ""ml"")"),"യാത്ര റദ്ദാക്കുക")</f>
        <v>യാത്ര റദ്ദാക്കുക</v>
      </c>
      <c r="G1113" s="7" t="str">
        <f>IFERROR(__xludf.DUMMYFUNCTION("GOOGLETRANSLATE(B1113, ""en"", ""te"")"),"ప్రయాణాన్ని రద్దు చేయండి")</f>
        <v>ప్రయాణాన్ని రద్దు చేయండి</v>
      </c>
    </row>
    <row r="1114">
      <c r="A1114" s="12" t="s">
        <v>2706</v>
      </c>
      <c r="B1114" s="13" t="s">
        <v>2707</v>
      </c>
      <c r="C1114" s="6" t="str">
        <f>IFERROR(__xludf.DUMMYFUNCTION("GOOGLETRANSLATE(B1114, ""en"", ""ta"")"),"இந்தப் பயணத்தை ரத்து செய்வது உறுதியா? ரத்து செய்வதற்கான அபராதம் விதிக்கப்படலாம்.")</f>
        <v>இந்தப் பயணத்தை ரத்து செய்வது உறுதியா? ரத்து செய்வதற்கான அபராதம் விதிக்கப்படலாம்.</v>
      </c>
      <c r="D1114" s="6" t="str">
        <f>IFERROR(__xludf.DUMMYFUNCTION("GOOGLETRANSLATE(B1114, ""en"", ""hi"")"),"क्या आप वाकई इस यात्रा को रद्द करना चाहते हैं? रद्द करने पर जुर्माना लग सकता है।")</f>
        <v>क्या आप वाकई इस यात्रा को रद्द करना चाहते हैं? रद्द करने पर जुर्माना लग सकता है।</v>
      </c>
      <c r="E1114" s="6" t="str">
        <f>IFERROR(__xludf.DUMMYFUNCTION("GOOGLETRANSLATE(B1114, ""en"", ""kn"")"),"ಈ ಪ್ರವಾಸವನ್ನು ರದ್ದುಗೊಳಿಸಲು ನೀವು ಖಚಿತವಾಗಿ ಬಯಸುವಿರಾ? ರದ್ದತಿ ದಂಡ ಅನ್ವಯಿಸಬಹುದು.")</f>
        <v>ಈ ಪ್ರವಾಸವನ್ನು ರದ್ದುಗೊಳಿಸಲು ನೀವು ಖಚಿತವಾಗಿ ಬಯಸುವಿರಾ? ರದ್ದತಿ ದಂಡ ಅನ್ವಯಿಸಬಹುದು.</v>
      </c>
      <c r="F1114" s="7" t="str">
        <f>IFERROR(__xludf.DUMMYFUNCTION("GOOGLETRANSLATE(B1114, ""en"", ""ml"")"),"ഈ യാത്ര റദ്ദാക്കണമെന്ന് നിങ്ങൾക്ക് ഉറപ്പാണോ? റദ്ദാക്കൽ പിഴ ബാധകമായേക്കാം.")</f>
        <v>ഈ യാത്ര റദ്ദാക്കണമെന്ന് നിങ്ങൾക്ക് ഉറപ്പാണോ? റദ്ദാക്കൽ പിഴ ബാധകമായേക്കാം.</v>
      </c>
      <c r="G1114" s="7" t="str">
        <f>IFERROR(__xludf.DUMMYFUNCTION("GOOGLETRANSLATE(B1114, ""en"", ""te"")"),"మీరు ఈ యాత్రను రద్దు చేయాలనుకుంటున్నారా? రద్దు చేసినందుకు జరిమానా వర్తించవచ్చు.")</f>
        <v>మీరు ఈ యాత్రను రద్దు చేయాలనుకుంటున్నారా? రద్దు చేసినందుకు జరిమానా వర్తించవచ్చు.</v>
      </c>
    </row>
    <row r="1115">
      <c r="A1115" s="12" t="s">
        <v>2708</v>
      </c>
      <c r="B1115" s="13" t="s">
        <v>2709</v>
      </c>
      <c r="C1115" s="6" t="str">
        <f>IFERROR(__xludf.DUMMYFUNCTION("GOOGLETRANSLATE(B1115, ""en"", ""ta"")"),"எப்படியும் ரத்து செய்")</f>
        <v>எப்படியும் ரத்து செய்</v>
      </c>
      <c r="D1115" s="6" t="str">
        <f>IFERROR(__xludf.DUMMYFUNCTION("GOOGLETRANSLATE(B1115, ""en"", ""hi"")"),"फिर भी रद्द करें")</f>
        <v>फिर भी रद्द करें</v>
      </c>
      <c r="E1115" s="6" t="str">
        <f>IFERROR(__xludf.DUMMYFUNCTION("GOOGLETRANSLATE(B1115, ""en"", ""kn"")"),"ಹೇಗಾದರೂ ರದ್ದುಮಾಡಿ")</f>
        <v>ಹೇಗಾದರೂ ರದ್ದುಮಾಡಿ</v>
      </c>
      <c r="F1115" s="7" t="str">
        <f>IFERROR(__xludf.DUMMYFUNCTION("GOOGLETRANSLATE(B1115, ""en"", ""ml"")"),"എന്തായാലും റദ്ദാക്കുക")</f>
        <v>എന്തായാലും റദ്ദാക്കുക</v>
      </c>
      <c r="G1115" s="7" t="str">
        <f>IFERROR(__xludf.DUMMYFUNCTION("GOOGLETRANSLATE(B1115, ""en"", ""te"")"),"ఏమైనప్పటికీ రద్దు చేయండి")</f>
        <v>ఏమైనప్పటికీ రద్దు చేయండి</v>
      </c>
    </row>
    <row r="1116">
      <c r="A1116" s="12" t="s">
        <v>2710</v>
      </c>
      <c r="B1116" s="13" t="s">
        <v>2711</v>
      </c>
      <c r="C1116" s="6" t="str">
        <f>IFERROR(__xludf.DUMMYFUNCTION("GOOGLETRANSLATE(B1116, ""en"", ""ta"")"),"iOS இல் டிரைவர் செயலி")</f>
        <v>iOS இல் டிரைவர் செயலி</v>
      </c>
      <c r="D1116" s="6" t="str">
        <f>IFERROR(__xludf.DUMMYFUNCTION("GOOGLETRANSLATE(B1116, ""en"", ""hi"")"),"iOS पर ड्राइवर ऐप")</f>
        <v>iOS पर ड्राइवर ऐप</v>
      </c>
      <c r="E1116" s="6" t="str">
        <f>IFERROR(__xludf.DUMMYFUNCTION("GOOGLETRANSLATE(B1116, ""en"", ""kn"")"),"iOS ನಲ್ಲಿ ಚಾಲಕ ಅಪ್ಲಿಕೇಶನ್")</f>
        <v>iOS ನಲ್ಲಿ ಚಾಲಕ ಅಪ್ಲಿಕೇಶನ್</v>
      </c>
      <c r="F1116" s="7" t="str">
        <f>IFERROR(__xludf.DUMMYFUNCTION("GOOGLETRANSLATE(B1116, ""en"", ""ml"")"),"iOS-ലെ ഡ്രൈവർ ആപ്പ്")</f>
        <v>iOS-ലെ ഡ്രൈവർ ആപ്പ്</v>
      </c>
      <c r="G1116" s="7" t="str">
        <f>IFERROR(__xludf.DUMMYFUNCTION("GOOGLETRANSLATE(B1116, ""en"", ""te"")"),"iOSలో డ్రైవర్ యాప్")</f>
        <v>iOSలో డ్రైవర్ యాప్</v>
      </c>
    </row>
    <row r="1117">
      <c r="A1117" s="12" t="s">
        <v>2712</v>
      </c>
      <c r="B1117" s="13" t="s">
        <v>2713</v>
      </c>
      <c r="C1117" s="6" t="str">
        <f>IFERROR(__xludf.DUMMYFUNCTION("GOOGLETRANSLATE(B1117, ""en"", ""ta"")"),"நம்ம ஊரு டாக்ஸி டிரைவர் செயலி தற்போது iOS-ல் கிடைக்கவில்லை. டிரைவர் செயலியை அணுக, ஆண்ட்ராய்டு சாதனத்தைப் பயன்படுத்தவும்.")</f>
        <v>நம்ம ஊரு டாக்ஸி டிரைவர் செயலி தற்போது iOS-ல் கிடைக்கவில்லை. டிரைவர் செயலியை அணுக, ஆண்ட்ராய்டு சாதனத்தைப் பயன்படுத்தவும்.</v>
      </c>
      <c r="D1117" s="6" t="str">
        <f>IFERROR(__xludf.DUMMYFUNCTION("GOOGLETRANSLATE(B1117, ""en"", ""hi"")"),"Namma Ooru Taxi Driver App फिलहाल iOS पर उपलब्ध नहीं है। कृपया ड्राइवर ऐप का उपयोग करने के लिए Android डिवाइस का इस्तेमाल करें।")</f>
        <v>Namma Ooru Taxi Driver App फिलहाल iOS पर उपलब्ध नहीं है। कृपया ड्राइवर ऐप का उपयोग करने के लिए Android डिवाइस का इस्तेमाल करें।</v>
      </c>
      <c r="E1117" s="6" t="str">
        <f>IFERROR(__xludf.DUMMYFUNCTION("GOOGLETRANSLATE(B1117, ""en"", ""kn"")"),"ನಮ್ಮ ಊರು ಟ್ಯಾಕ್ಸಿ ಡ್ರೈವರ್ ಆಪ್ ಸದ್ಯಕ್ಕೆ iOS ನಲ್ಲಿ ಲಭ್ಯವಿಲ್ಲ. ಡ್ರೈವರ್ ಆಪ್ ಪ್ರವೇಶಿಸಲು ದಯವಿಟ್ಟು Android ಸಾಧನವನ್ನು ಬಳಸಿ.")</f>
        <v>ನಮ್ಮ ಊರು ಟ್ಯಾಕ್ಸಿ ಡ್ರೈವರ್ ಆಪ್ ಸದ್ಯಕ್ಕೆ iOS ನಲ್ಲಿ ಲಭ್ಯವಿಲ್ಲ. ಡ್ರೈವರ್ ಆಪ್ ಪ್ರವೇಶಿಸಲು ದಯವಿಟ್ಟು Android ಸಾಧನವನ್ನು ಬಳಸಿ.</v>
      </c>
      <c r="F1117" s="7" t="str">
        <f>IFERROR(__xludf.DUMMYFUNCTION("GOOGLETRANSLATE(B1117, ""en"", ""ml"")"),"നമ്മ ഊരു ടാക്സി ഡ്രൈവർ ആപ്പ് ഇപ്പോൾ iOS-ൽ ലഭ്യമല്ല. ഡ്രൈവർ ആപ്പ് ആക്‌സസ് ചെയ്യാൻ ഒരു Android ഉപകരണം ഉപയോഗിക്കുക.")</f>
        <v>നമ്മ ഊരു ടാക്സി ഡ്രൈവർ ആപ്പ് ഇപ്പോൾ iOS-ൽ ലഭ്യമല്ല. ഡ്രൈവർ ആപ്പ് ആക്‌സസ് ചെയ്യാൻ ഒരു Android ഉപകരണം ഉപയോഗിക്കുക.</v>
      </c>
      <c r="G1117" s="7" t="str">
        <f>IFERROR(__xludf.DUMMYFUNCTION("GOOGLETRANSLATE(B1117, ""en"", ""te"")"),"నమ్మ ఊరు టాక్సీ డ్రైవర్ యాప్ ప్రస్తుతం iOSలో అందుబాటులో లేదు. డ్రైవర్ యాప్‌ను యాక్సెస్ చేయడానికి దయచేసి ఆండ్రాయిడ్ పరికరాన్ని ఉపయోగించండి.")</f>
        <v>నమ్మ ఊరు టాక్సీ డ్రైవర్ యాప్ ప్రస్తుతం iOSలో అందుబాటులో లేదు. డ్రైవర్ యాప్‌ను యాక్సెస్ చేయడానికి దయచేసి ఆండ్రాయిడ్ పరికరాన్ని ఉపయోగించండి.</v>
      </c>
    </row>
    <row r="1118">
      <c r="A1118" s="12" t="s">
        <v>2714</v>
      </c>
      <c r="B1118" s="13" t="s">
        <v>2715</v>
      </c>
      <c r="C1118" s="6" t="str">
        <f>IFERROR(__xludf.DUMMYFUNCTION("GOOGLETRANSLATE(B1118, ""en"", ""ta"")"),"ஓட்டுநராக ஆவதற்குப் பதிவு செய்யுங்கள்")</f>
        <v>ஓட்டுநராக ஆவதற்குப் பதிவு செய்யுங்கள்</v>
      </c>
      <c r="D1118" s="6" t="str">
        <f>IFERROR(__xludf.DUMMYFUNCTION("GOOGLETRANSLATE(B1118, ""en"", ""hi"")"),"ड्राइवर बनने के लिए साइन अप करें")</f>
        <v>ड्राइवर बनने के लिए साइन अप करें</v>
      </c>
      <c r="E1118" s="6" t="str">
        <f>IFERROR(__xludf.DUMMYFUNCTION("GOOGLETRANSLATE(B1118, ""en"", ""kn"")"),"ಚಾಲಕರಾಗಲು ಸೈನ್ ಅಪ್ ಮಾಡಿ")</f>
        <v>ಚಾಲಕರಾಗಲು ಸೈನ್ ಅಪ್ ಮಾಡಿ</v>
      </c>
      <c r="F1118" s="7" t="str">
        <f>IFERROR(__xludf.DUMMYFUNCTION("GOOGLETRANSLATE(B1118, ""en"", ""ml"")"),"ഡ്രൈവർ ആകാൻ സൈൻ അപ്പ് ചെയ്യുക")</f>
        <v>ഡ്രൈവർ ആകാൻ സൈൻ അപ്പ് ചെയ്യുക</v>
      </c>
      <c r="G1118" s="7" t="str">
        <f>IFERROR(__xludf.DUMMYFUNCTION("GOOGLETRANSLATE(B1118, ""en"", ""te"")"),"డ్రైవర్‌గా మారడానికి నమోదు చేసుకోండి")</f>
        <v>డ్రైవర్‌గా మారడానికి నమోదు చేసుకోండి</v>
      </c>
    </row>
    <row r="1119">
      <c r="A1119" s="12" t="s">
        <v>2716</v>
      </c>
      <c r="B1119" s="13" t="s">
        <v>2717</v>
      </c>
      <c r="C1119" s="6" t="str">
        <f>IFERROR(__xludf.DUMMYFUNCTION("GOOGLETRANSLATE(B1119, ""en"", ""ta"")"),"உங்கள் நண்பர்களைப் பரிந்துரைக்கவும்")</f>
        <v>உங்கள் நண்பர்களைப் பரிந்துரைக்கவும்</v>
      </c>
      <c r="D1119" s="6" t="str">
        <f>IFERROR(__xludf.DUMMYFUNCTION("GOOGLETRANSLATE(B1119, ""en"", ""hi"")"),"अपने दोस्तों को बताएं")</f>
        <v>अपने दोस्तों को बताएं</v>
      </c>
      <c r="E1119" s="6" t="str">
        <f>IFERROR(__xludf.DUMMYFUNCTION("GOOGLETRANSLATE(B1119, ""en"", ""kn"")"),"ನಿಮ್ಮ ಸ್ನೇಹಿತರನ್ನು ಉಲ್ಲೇಖಿಸಿ")</f>
        <v>ನಿಮ್ಮ ಸ್ನೇಹಿತರನ್ನು ಉಲ್ಲೇಖಿಸಿ</v>
      </c>
      <c r="F1119" s="7" t="str">
        <f>IFERROR(__xludf.DUMMYFUNCTION("GOOGLETRANSLATE(B1119, ""en"", ""ml"")"),"നിങ്ങളുടെ സുഹൃത്തുക്കളെ റഫർ ചെയ്യുക")</f>
        <v>നിങ്ങളുടെ സുഹൃത്തുക്കളെ റഫർ ചെയ്യുക</v>
      </c>
      <c r="G1119" s="7" t="str">
        <f>IFERROR(__xludf.DUMMYFUNCTION("GOOGLETRANSLATE(B1119, ""en"", ""te"")"),"మీ స్నేహితులను సిఫార్సు చేయండి")</f>
        <v>మీ స్నేహితులను సిఫార్సు చేయండి</v>
      </c>
    </row>
    <row r="1120">
      <c r="A1120" s="12" t="s">
        <v>2718</v>
      </c>
      <c r="B1120" s="13" t="s">
        <v>2719</v>
      </c>
      <c r="C1120" s="6" t="str">
        <f>IFERROR(__xludf.DUMMYFUNCTION("GOOGLETRANSLATE(B1120, ""en"", ""ta"")"),"பயணத்தைத் தொடங்க வாடிக்கையாளரைச் சரிபார்க்கவும்")</f>
        <v>பயணத்தைத் தொடங்க வாடிக்கையாளரைச் சரிபார்க்கவும்</v>
      </c>
      <c r="D1120" s="6" t="str">
        <f>IFERROR(__xludf.DUMMYFUNCTION("GOOGLETRANSLATE(B1120, ""en"", ""hi"")"),"यात्रा शुरू करने के लिए ग्राहक की पुष्टि करें")</f>
        <v>यात्रा शुरू करने के लिए ग्राहक की पुष्टि करें</v>
      </c>
      <c r="E1120" s="6" t="str">
        <f>IFERROR(__xludf.DUMMYFUNCTION("GOOGLETRANSLATE(B1120, ""en"", ""kn"")"),"ಪ್ರಯಾಣವನ್ನು ಪ್ರಾರಂಭಿಸಲು ಗ್ರಾಹಕರನ್ನು ಪರಿಶೀಲಿಸಿ.")</f>
        <v>ಪ್ರಯಾಣವನ್ನು ಪ್ರಾರಂಭಿಸಲು ಗ್ರಾಹಕರನ್ನು ಪರಿಶೀಲಿಸಿ.</v>
      </c>
      <c r="F1120" s="7" t="str">
        <f>IFERROR(__xludf.DUMMYFUNCTION("GOOGLETRANSLATE(B1120, ""en"", ""ml"")"),"യാത്ര ആരംഭിക്കാൻ ഉപഭോക്താവിനെ സ്ഥിരീകരിക്കുക.")</f>
        <v>യാത്ര ആരംഭിക്കാൻ ഉപഭോക്താവിനെ സ്ഥിരീകരിക്കുക.</v>
      </c>
      <c r="G1120" s="7" t="str">
        <f>IFERROR(__xludf.DUMMYFUNCTION("GOOGLETRANSLATE(B1120, ""en"", ""te"")"),"ప్రయాణం ప్రారంభించడానికి కస్టమర్‌ను ధృవీకరించండి")</f>
        <v>ప్రయాణం ప్రారంభించడానికి కస్టమర్‌ను ధృవీకరించండి</v>
      </c>
    </row>
    <row r="1121">
      <c r="A1121" s="23" t="s">
        <v>2720</v>
      </c>
      <c r="B1121" s="13" t="s">
        <v>2721</v>
      </c>
      <c r="C1121" s="6" t="str">
        <f>IFERROR(__xludf.DUMMYFUNCTION("GOOGLETRANSLATE(B1121, ""en"", ""ta"")"),"வாகன ஒப்புதல்")</f>
        <v>வாகன ஒப்புதல்</v>
      </c>
      <c r="D1121" s="6" t="str">
        <f>IFERROR(__xludf.DUMMYFUNCTION("GOOGLETRANSLATE(B1121, ""en"", ""hi"")"),"वाहन अनुमोदन")</f>
        <v>वाहन अनुमोदन</v>
      </c>
      <c r="E1121" s="6" t="str">
        <f>IFERROR(__xludf.DUMMYFUNCTION("GOOGLETRANSLATE(B1121, ""en"", ""kn"")"),"ವಾಹನ ಅನುಮೋದನೆ")</f>
        <v>ವಾಹನ ಅನುಮೋದನೆ</v>
      </c>
      <c r="F1121" s="7" t="str">
        <f>IFERROR(__xludf.DUMMYFUNCTION("GOOGLETRANSLATE(B1121, ""en"", ""ml"")"),"വാഹന അംഗീകാരം")</f>
        <v>വാഹന അംഗീകാരം</v>
      </c>
      <c r="G1121" s="7" t="str">
        <f>IFERROR(__xludf.DUMMYFUNCTION("GOOGLETRANSLATE(B1121, ""en"", ""te"")"),"వాహన ఆమోదం")</f>
        <v>వాహన ఆమోదం</v>
      </c>
    </row>
    <row r="1122">
      <c r="A1122" s="12" t="s">
        <v>2722</v>
      </c>
      <c r="B1122" s="13" t="s">
        <v>288</v>
      </c>
      <c r="C1122" s="6" t="str">
        <f>IFERROR(__xludf.DUMMYFUNCTION("GOOGLETRANSLATE(B1122, ""en"", ""ta"")"),"நாங்கள்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f>
        <v>நாங்கள் டாக்சிகளைச் சரிபார்த்து ஒப்புதல் அளிக்கக் கடுமையாக உழைத்து வருகிறோம். எனவே, ஒப்புதல் செயல்முறைக்குச் சிறிது காலம் ஆகும் என்பதைப் புரிந்துகொள்ளவும்.
உங்கள் பொறுமைக்கு நன்றி.</v>
      </c>
      <c r="D1122" s="6" t="str">
        <f>IFERROR(__xludf.DUMMYFUNCTION("GOOGLETRANSLATE(B1122,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122" s="6" t="str">
        <f>IFERROR(__xludf.DUMMYFUNCTION("GOOGLETRANSLATE(B1122,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122" s="7" t="str">
        <f>IFERROR(__xludf.DUMMYFUNCTION("GOOGLETRANSLATE(B1122,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122" s="7" t="str">
        <f>IFERROR(__xludf.DUMMYFUNCTION("GOOGLETRANSLATE(B1122, ""en"", ""te"")"),"మేము టాక్సీలను సరిచూసి, ఆమోదించడానికి తీవ్రంగా కృషి చేస్తున్నాము. కాబట్టి, ఆమోద ప్రక్రియకు కొంత సమయం పడుతుందని దయచేసి అర్థం చేసుకోండి.
మీ సహనానికి ధన్యవాదాలు.")</f>
        <v>మేము టాక్సీలను సరిచూసి, ఆమోదించడానికి తీవ్రంగా కృషి చేస్తున్నాము. కాబట్టి, ఆమోద ప్రక్రియకు కొంత సమయం పడుతుందని దయచేసి అర్థం చేసుకోండి.
మీ సహనానికి ధన్యవాదాలు.</v>
      </c>
    </row>
    <row r="1123">
      <c r="A1123" s="12" t="s">
        <v>2723</v>
      </c>
      <c r="B1123" s="13" t="s">
        <v>290</v>
      </c>
      <c r="C1123" s="6" t="str">
        <f>IFERROR(__xludf.DUMMYFUNCTION("GOOGLETRANSLATE(B1123, ""en"", ""ta"")"),"பதிவு அல்லது செயலி தொடர்பாக உங்களுக்கு ஏதேனும் கேள்விகள் இருந்தால், தயவுசெய்து")</f>
        <v>பதிவு அல்லது செயலி தொடர்பாக உங்களுக்கு ஏதேனும் கேள்விகள் இருந்தால், தயவுசெய்து</v>
      </c>
      <c r="D1123" s="6" t="str">
        <f>IFERROR(__xludf.DUMMYFUNCTION("GOOGLETRANSLATE(B1123, ""en"", ""hi"")"),"यदि पंजीकरण या ऐप से संबंधित आपके कोई प्रश्न हैं, तो कृपया")</f>
        <v>यदि पंजीकरण या ऐप से संबंधित आपके कोई प्रश्न हैं, तो कृपया</v>
      </c>
      <c r="E1123" s="6" t="str">
        <f>IFERROR(__xludf.DUMMYFUNCTION("GOOGLETRANSLATE(B1123, ""en"", ""kn"")"),"ನೋಂದಣಿ ಅಥವಾ ಅಪ್ಲಿಕೇಶನ್ ಕುರಿತು ನೀವು ಯಾವುದೇ ಪ್ರಶ್ನೆಗಳನ್ನು ಹೊಂದಿದ್ದರೆ, ದಯವಿಟ್ಟು")</f>
        <v>ನೋಂದಣಿ ಅಥವಾ ಅಪ್ಲಿಕೇಶನ್ ಕುರಿತು ನೀವು ಯಾವುದೇ ಪ್ರಶ್ನೆಗಳನ್ನು ಹೊಂದಿದ್ದರೆ, ದಯವಿಟ್ಟು</v>
      </c>
      <c r="F1123" s="7" t="str">
        <f>IFERROR(__xludf.DUMMYFUNCTION("GOOGLETRANSLATE(B1123,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123" s="7" t="str">
        <f>IFERROR(__xludf.DUMMYFUNCTION("GOOGLETRANSLATE(B1123, ""en"", ""te"")"),"రిజిస్ట్రేషన్ లేదా యాప్‌కు సంబంధించి మీకు ఏవైనా సందేహాలు ఉంటే, దయచేసి")</f>
        <v>రిజిస్ట్రేషన్ లేదా యాప్‌కు సంబంధించి మీకు ఏవైనా సందేహాలు ఉంటే, దయచేసి</v>
      </c>
    </row>
    <row r="1124">
      <c r="A1124" s="12" t="s">
        <v>2724</v>
      </c>
      <c r="B1124" s="13" t="s">
        <v>2725</v>
      </c>
      <c r="C1124" s="6" t="str">
        <f>IFERROR(__xludf.DUMMYFUNCTION("GOOGLETRANSLATE(B1124, ""en"", ""ta"")"),"சில காரணங்களால் உங்கள் வாகனம் தடுக்கப்பட்டுள்ளது.")</f>
        <v>சில காரணங்களால் உங்கள் வாகனம் தடுக்கப்பட்டுள்ளது.</v>
      </c>
      <c r="D1124" s="6" t="str">
        <f>IFERROR(__xludf.DUMMYFUNCTION("GOOGLETRANSLATE(B1124, ""en"", ""hi"")"),"कुछ कारणों से आपका वाहन अवरुद्ध हो गया है।")</f>
        <v>कुछ कारणों से आपका वाहन अवरुद्ध हो गया है।</v>
      </c>
      <c r="E1124" s="6" t="str">
        <f>IFERROR(__xludf.DUMMYFUNCTION("GOOGLETRANSLATE(B1124, ""en"", ""kn"")"),"ಕೆಲವು ಕಾರಣಗಳಿಂದ ನಿಮ್ಮ ವಾಹನವನ್ನು ನಿರ್ಬಂಧಿಸಲಾಗಿದೆ.")</f>
        <v>ಕೆಲವು ಕಾರಣಗಳಿಂದ ನಿಮ್ಮ ವಾಹನವನ್ನು ನಿರ್ಬಂಧಿಸಲಾಗಿದೆ.</v>
      </c>
      <c r="F1124" s="7" t="str">
        <f>IFERROR(__xludf.DUMMYFUNCTION("GOOGLETRANSLATE(B1124, ""en"", ""ml"")"),"ചില കാരണങ്ങളാൽ നിങ്ങളുടെ വാഹനം തടഞ്ഞിരിക്കുന്നു.")</f>
        <v>ചില കാരണങ്ങളാൽ നിങ്ങളുടെ വാഹനം തടഞ്ഞിരിക്കുന്നു.</v>
      </c>
      <c r="G1124" s="7" t="str">
        <f>IFERROR(__xludf.DUMMYFUNCTION("GOOGLETRANSLATE(B1124, ""en"", ""te"")"),"కొన్ని కారణాల వల్ల మీ వాహనం నిరోధించబడింది.")</f>
        <v>కొన్ని కారణాల వల్ల మీ వాహనం నిరోధించబడింది.</v>
      </c>
    </row>
    <row r="1125">
      <c r="A1125" s="12" t="s">
        <v>2726</v>
      </c>
      <c r="B1125" s="13" t="s">
        <v>2727</v>
      </c>
      <c r="C1125" s="6" t="str">
        <f>IFERROR(__xludf.DUMMYFUNCTION("GOOGLETRANSLATE(B1125, ""en"", ""ta"")"),"உங்கள் வாகனம் நீக்கப்பட்டுவிட்டது.")</f>
        <v>உங்கள் வாகனம் நீக்கப்பட்டுவிட்டது.</v>
      </c>
      <c r="D1125" s="6" t="str">
        <f>IFERROR(__xludf.DUMMYFUNCTION("GOOGLETRANSLATE(B1125, ""en"", ""hi"")"),"आपका वाहन हटा दिया गया है।")</f>
        <v>आपका वाहन हटा दिया गया है।</v>
      </c>
      <c r="E1125" s="6" t="str">
        <f>IFERROR(__xludf.DUMMYFUNCTION("GOOGLETRANSLATE(B1125, ""en"", ""kn"")"),"ನಿಮ್ಮ ವಾಹನವನ್ನು ಅಳಿಸಲಾಗಿದೆ.")</f>
        <v>ನಿಮ್ಮ ವಾಹನವನ್ನು ಅಳಿಸಲಾಗಿದೆ.</v>
      </c>
      <c r="F1125" s="7" t="str">
        <f>IFERROR(__xludf.DUMMYFUNCTION("GOOGLETRANSLATE(B1125, ""en"", ""ml"")"),"നിങ്ങളുടെ വാഹനം ഇല്ലാതാക്കി.")</f>
        <v>നിങ്ങളുടെ വാഹനം ഇല്ലാതാക്കി.</v>
      </c>
      <c r="G1125" s="7" t="str">
        <f>IFERROR(__xludf.DUMMYFUNCTION("GOOGLETRANSLATE(B1125, ""en"", ""te"")"),"మీ వాహనం తొలగించబడింది.")</f>
        <v>మీ వాహనం తొలగించబడింది.</v>
      </c>
    </row>
    <row r="1126">
      <c r="A1126" s="12" t="s">
        <v>2728</v>
      </c>
      <c r="B1126" s="13" t="s">
        <v>2729</v>
      </c>
      <c r="C1126" s="6" t="str">
        <f>IFERROR(__xludf.DUMMYFUNCTION("GOOGLETRANSLATE(B1126, ""en"", ""ta"")"),"உங்கள் வாகனம் இன்னும் ஒப்புதலுக்காகக் காத்திருக்கிறது.")</f>
        <v>உங்கள் வாகனம் இன்னும் ஒப்புதலுக்காகக் காத்திருக்கிறது.</v>
      </c>
      <c r="D1126" s="6" t="str">
        <f>IFERROR(__xludf.DUMMYFUNCTION("GOOGLETRANSLATE(B1126, ""en"", ""hi"")"),"आपका वाहन अभी भी अनुमोदन प्रक्रिया में है।")</f>
        <v>आपका वाहन अभी भी अनुमोदन प्रक्रिया में है।</v>
      </c>
      <c r="E1126" s="6" t="str">
        <f>IFERROR(__xludf.DUMMYFUNCTION("GOOGLETRANSLATE(B1126, ""en"", ""kn"")"),"ನಿಮ್ಮ ವಾಹನ ಇನ್ನೂ ಅನುಮೋದನೆ ಹಂತದಲ್ಲಿದೆ.")</f>
        <v>ನಿಮ್ಮ ವಾಹನ ಇನ್ನೂ ಅನುಮೋದನೆ ಹಂತದಲ್ಲಿದೆ.</v>
      </c>
      <c r="F1126" s="7" t="str">
        <f>IFERROR(__xludf.DUMMYFUNCTION("GOOGLETRANSLATE(B1126, ""en"", ""ml"")"),"നിങ്ങളുടെ വാഹനം ഇപ്പോഴും അംഗീകാരത്തിലാണ്.")</f>
        <v>നിങ്ങളുടെ വാഹനം ഇപ്പോഴും അംഗീകാരത്തിലാണ്.</v>
      </c>
      <c r="G1126" s="7" t="str">
        <f>IFERROR(__xludf.DUMMYFUNCTION("GOOGLETRANSLATE(B1126, ""en"", ""te"")"),"మీ వాహనం ఇంకా ఆమోదం ప్రక్రియలో ఉంది.")</f>
        <v>మీ వాహనం ఇంకా ఆమోదం ప్రక్రియలో ఉంది.</v>
      </c>
    </row>
    <row r="1127">
      <c r="A1127" s="12" t="s">
        <v>2730</v>
      </c>
      <c r="B1127" s="13" t="s">
        <v>2731</v>
      </c>
      <c r="C1127" s="6" t="str">
        <f>IFERROR(__xludf.DUMMYFUNCTION("GOOGLETRANSLATE(B1127, ""en"", ""ta"")"),"ஓட்டுநரால் பயணம் ரத்து செய்யப்பட்டது")</f>
        <v>ஓட்டுநரால் பயணம் ரத்து செய்யப்பட்டது</v>
      </c>
      <c r="D1127" s="6" t="str">
        <f>IFERROR(__xludf.DUMMYFUNCTION("GOOGLETRANSLATE(B1127, ""en"", ""hi"")"),"ड्राइवर द्वारा राइड रद्द कर दी गई")</f>
        <v>ड्राइवर द्वारा राइड रद्द कर दी गई</v>
      </c>
      <c r="E1127" s="6" t="str">
        <f>IFERROR(__xludf.DUMMYFUNCTION("GOOGLETRANSLATE(B1127, ""en"", ""kn"")"),"ಚಾಲಕನಿಂದ ಸವಾರಿ ರದ್ದುಗೊಂಡಿದೆ")</f>
        <v>ಚಾಲಕನಿಂದ ಸವಾರಿ ರದ್ದುಗೊಂಡಿದೆ</v>
      </c>
      <c r="F1127" s="7" t="str">
        <f>IFERROR(__xludf.DUMMYFUNCTION("GOOGLETRANSLATE(B1127, ""en"", ""ml"")"),"ഡ്രൈവർ റദ്ദാക്കിയ യാത്ര")</f>
        <v>ഡ്രൈവർ റദ്ദാക്കിയ യാത്ര</v>
      </c>
      <c r="G1127" s="7" t="str">
        <f>IFERROR(__xludf.DUMMYFUNCTION("GOOGLETRANSLATE(B1127, ""en"", ""te"")"),"డ్రైవర్ ద్వారా రైడ్ రద్దు చేయబడింది")</f>
        <v>డ్రైవర్ ద్వారా రైడ్ రద్దు చేయబడింది</v>
      </c>
    </row>
    <row r="1128">
      <c r="A1128" s="12" t="s">
        <v>2732</v>
      </c>
      <c r="B1128" s="13" t="s">
        <v>2733</v>
      </c>
      <c r="C1128" s="6" t="str">
        <f>IFERROR(__xludf.DUMMYFUNCTION("GOOGLETRANSLATE(B1128, ""en"", ""ta"")"),"பயணியால் பயணம் ரத்து செய்யப்பட்டது")</f>
        <v>பயணியால் பயணம் ரத்து செய்யப்பட்டது</v>
      </c>
      <c r="D1128" s="6" t="str">
        <f>IFERROR(__xludf.DUMMYFUNCTION("GOOGLETRANSLATE(B1128, ""en"", ""hi"")"),"यात्री द्वारा यात्रा रद्द कर दी गई")</f>
        <v>यात्री द्वारा यात्रा रद्द कर दी गई</v>
      </c>
      <c r="E1128" s="6" t="str">
        <f>IFERROR(__xludf.DUMMYFUNCTION("GOOGLETRANSLATE(B1128, ""en"", ""kn"")"),"ಪ್ರಯಾಣಿಕರಿಂದ ಸವಾರಿ ರದ್ದುಗೊಂಡಿದೆ")</f>
        <v>ಪ್ರಯಾಣಿಕರಿಂದ ಸವಾರಿ ರದ್ದುಗೊಂಡಿದೆ</v>
      </c>
      <c r="F1128" s="7" t="str">
        <f>IFERROR(__xludf.DUMMYFUNCTION("GOOGLETRANSLATE(B1128, ""en"", ""ml"")"),"യാത്രക്കാരൻ റദ്ദാക്കിയ യാത്ര")</f>
        <v>യാത്രക്കാരൻ റദ്ദാക്കിയ യാത്ര</v>
      </c>
      <c r="G1128" s="7" t="str">
        <f>IFERROR(__xludf.DUMMYFUNCTION("GOOGLETRANSLATE(B1128, ""en"", ""te"")"),"ప్రయాణికుడి వల్ల ప్రయాణం రద్దు చేయబడింది")</f>
        <v>ప్రయాణికుడి వల్ల ప్రయాణం రద్దు చేయబడింది</v>
      </c>
    </row>
    <row r="1129">
      <c r="A1129" s="12" t="s">
        <v>2734</v>
      </c>
      <c r="B1129" s="13" t="s">
        <v>2735</v>
      </c>
      <c r="C1129" s="6" t="str">
        <f>IFERROR(__xludf.DUMMYFUNCTION("GOOGLETRANSLATE(B1129, ""en"", ""ta"")"),"ஓட்டுநர் விவரங்களைப் பெற புதுப்பிக்கவும்")</f>
        <v>ஓட்டுநர் விவரங்களைப் பெற புதுப்பிக்கவும்</v>
      </c>
      <c r="D1129" s="6" t="str">
        <f>IFERROR(__xludf.DUMMYFUNCTION("GOOGLETRANSLATE(B1129, ""en"", ""hi"")"),"ड्राइवर की जानकारी प्राप्त करने के लिए पेज को रिफ्रेश करें।")</f>
        <v>ड्राइवर की जानकारी प्राप्त करने के लिए पेज को रिफ्रेश करें।</v>
      </c>
      <c r="E1129" s="6" t="str">
        <f>IFERROR(__xludf.DUMMYFUNCTION("GOOGLETRANSLATE(B1129, ""en"", ""kn"")"),"ಚಾಲಕ ವಿವರಗಳನ್ನು ಪಡೆಯಲು ರಿಫ್ರೆಶ್ ಮಾಡಿ")</f>
        <v>ಚಾಲಕ ವಿವರಗಳನ್ನು ಪಡೆಯಲು ರಿಫ್ರೆಶ್ ಮಾಡಿ</v>
      </c>
      <c r="F1129" s="7" t="str">
        <f>IFERROR(__xludf.DUMMYFUNCTION("GOOGLETRANSLATE(B1129, ""en"", ""ml"")"),"ഡ്രൈവർ വിശദാംശങ്ങൾ ലഭിക്കാൻ പുതുക്കുക")</f>
        <v>ഡ്രൈവർ വിശദാംശങ്ങൾ ലഭിക്കാൻ പുതുക്കുക</v>
      </c>
      <c r="G1129" s="7" t="str">
        <f>IFERROR(__xludf.DUMMYFUNCTION("GOOGLETRANSLATE(B1129, ""en"", ""te"")"),"డ్రైవర్ వివరాలు పొందడానికి రిఫ్రెష్ చేయండి")</f>
        <v>డ్రైవర్ వివరాలు పొందడానికి రిఫ్రెష్ చేయండి</v>
      </c>
    </row>
    <row r="1130">
      <c r="A1130" s="12" t="s">
        <v>2736</v>
      </c>
      <c r="B1130" s="13" t="s">
        <v>2737</v>
      </c>
      <c r="C1130" s="6" t="str">
        <f>IFERROR(__xludf.DUMMYFUNCTION("GOOGLETRANSLATE(B1130, ""en"", ""ta"")"),"ஓட்டுநர் உள்நுழைவை உறுதிப்படுத்தவும்")</f>
        <v>ஓட்டுநர் உள்நுழைவை உறுதிப்படுத்தவும்</v>
      </c>
      <c r="D1130" s="6" t="str">
        <f>IFERROR(__xludf.DUMMYFUNCTION("GOOGLETRANSLATE(B1130, ""en"", ""hi"")"),"ड्राइवर लॉगिन की पुष्टि करें")</f>
        <v>ड्राइवर लॉगिन की पुष्टि करें</v>
      </c>
      <c r="E1130" s="6" t="str">
        <f>IFERROR(__xludf.DUMMYFUNCTION("GOOGLETRANSLATE(B1130, ""en"", ""kn"")"),"ಚಾಲಕ ಲಾಗಿನ್ ಅನ್ನು ದೃಢೀಕರಿಸಿ")</f>
        <v>ಚಾಲಕ ಲಾಗಿನ್ ಅನ್ನು ದೃಢೀಕರಿಸಿ</v>
      </c>
      <c r="F1130" s="7" t="str">
        <f>IFERROR(__xludf.DUMMYFUNCTION("GOOGLETRANSLATE(B1130, ""en"", ""ml"")"),"ഡ്രൈവർ ലോഗിൻ സ്ഥിരീകരിക്കുക")</f>
        <v>ഡ്രൈവർ ലോഗിൻ സ്ഥിരീകരിക്കുക</v>
      </c>
      <c r="G1130" s="7" t="str">
        <f>IFERROR(__xludf.DUMMYFUNCTION("GOOGLETRANSLATE(B1130, ""en"", ""te"")"),"డ్రైవర్ లాగిన్‌ను నిర్ధారించండి")</f>
        <v>డ్రైవర్ లాగిన్‌ను నిర్ధారించండి</v>
      </c>
    </row>
    <row r="1131">
      <c r="A1131" s="12" t="s">
        <v>2738</v>
      </c>
      <c r="B1131" s="13" t="s">
        <v>2739</v>
      </c>
      <c r="C1131" s="6" t="str">
        <f>IFERROR(__xludf.DUMMYFUNCTION("GOOGLETRANSLATE(B1131, ""en"", ""ta"")"),"நீங்கள் ஓட்டுநராக உள்நுழைவதற்காக, நாங்கள் உங்களை வாடிக்கையாளர் செயலியில் இருந்து வெளியேற்றுவோம். தொடரவா?")</f>
        <v>நீங்கள் ஓட்டுநராக உள்நுழைவதற்காக, நாங்கள் உங்களை வாடிக்கையாளர் செயலியில் இருந்து வெளியேற்றுவோம். தொடரவா?</v>
      </c>
      <c r="D1131" s="6" t="str">
        <f>IFERROR(__xludf.DUMMYFUNCTION("GOOGLETRANSLATE(B1131, ""en"", ""hi"")"),"हम आपको ग्राहक ऐप से लॉग आउट कर देंगे ताकि आप ड्राइवर के रूप में साइन इन कर सकें। जारी रखें?")</f>
        <v>हम आपको ग्राहक ऐप से लॉग आउट कर देंगे ताकि आप ड्राइवर के रूप में साइन इन कर सकें। जारी रखें?</v>
      </c>
      <c r="E1131" s="6" t="str">
        <f>IFERROR(__xludf.DUMMYFUNCTION("GOOGLETRANSLATE(B1131, ""en"", ""kn"")"),"ನೀವು ಡ್ರೈವರ್ ಆಗಿ ಸೈನ್ ಇನ್ ಆಗುವಂತೆ ನಾವು ನಿಮ್ಮನ್ನು ಗ್ರಾಹಕ ಅಪ್ಲಿಕೇಶನ್‌ನಿಂದ ಲಾಗ್ ಔಟ್ ಮಾಡುತ್ತೇವೆ. ಮುಂದುವರಿಸುವುದೇ?")</f>
        <v>ನೀವು ಡ್ರೈವರ್ ಆಗಿ ಸೈನ್ ಇನ್ ಆಗುವಂತೆ ನಾವು ನಿಮ್ಮನ್ನು ಗ್ರಾಹಕ ಅಪ್ಲಿಕೇಶನ್‌ನಿಂದ ಲಾಗ್ ಔಟ್ ಮಾಡುತ್ತೇವೆ. ಮುಂದುವರಿಸುವುದೇ?</v>
      </c>
      <c r="F1131" s="7" t="str">
        <f>IFERROR(__xludf.DUMMYFUNCTION("GOOGLETRANSLATE(B1131, ""en"", ""ml"")"),"ഡ്രൈവറായി സൈൻ ഇൻ ചെയ്യാൻ നിങ്ങളെ ഉപഭോക്തൃ ആപ്പിൽ നിന്ന് ഞങ്ങൾ ലോഗ് ഔട്ട് ചെയ്യും. തുടരണോ?")</f>
        <v>ഡ്രൈവറായി സൈൻ ഇൻ ചെയ്യാൻ നിങ്ങളെ ഉപഭോക്തൃ ആപ്പിൽ നിന്ന് ഞങ്ങൾ ലോഗ് ഔട്ട് ചെയ്യും. തുടരണോ?</v>
      </c>
      <c r="G1131" s="7" t="str">
        <f>IFERROR(__xludf.DUMMYFUNCTION("GOOGLETRANSLATE(B1131, ""en"", ""te"")"),"మీరు డ్రైవర్‌గా సైన్ ఇన్ చేయడానికి వీలుగా మేము మిమ్మల్ని కస్టమర్ యాప్ నుండి లాగ్ అవుట్ చేస్తాము. కొనసాగించాలా?")</f>
        <v>మీరు డ్రైవర్‌గా సైన్ ఇన్ చేయడానికి వీలుగా మేము మిమ్మల్ని కస్టమర్ యాప్ నుండి లాగ్ అవుట్ చేస్తాము. కొనసాగించాలా?</v>
      </c>
    </row>
    <row r="1132">
      <c r="A1132" s="12" t="s">
        <v>2740</v>
      </c>
      <c r="B1132" s="13" t="s">
        <v>2741</v>
      </c>
      <c r="C1132" s="6" t="str">
        <f>IFERROR(__xludf.DUMMYFUNCTION("GOOGLETRANSLATE(B1132, ""en"", ""ta"")"),"வாடிக்கையாளர் செயலியில் தங்குங்கள்")</f>
        <v>வாடிக்கையாளர் செயலியில் தங்குங்கள்</v>
      </c>
      <c r="D1132" s="6" t="str">
        <f>IFERROR(__xludf.DUMMYFUNCTION("GOOGLETRANSLATE(B1132, ""en"", ""hi"")"),"ग्राहक ऐप में बने रहें")</f>
        <v>ग्राहक ऐप में बने रहें</v>
      </c>
      <c r="E1132" s="6" t="str">
        <f>IFERROR(__xludf.DUMMYFUNCTION("GOOGLETRANSLATE(B1132, ""en"", ""kn"")"),"ಗ್ರಾಹಕ ಅಪ್ಲಿಕೇಶನ್‌ನಲ್ಲಿ ಉಳಿಯಿರಿ")</f>
        <v>ಗ್ರಾಹಕ ಅಪ್ಲಿಕೇಶನ್‌ನಲ್ಲಿ ಉಳಿಯಿರಿ</v>
      </c>
      <c r="F1132" s="7" t="str">
        <f>IFERROR(__xludf.DUMMYFUNCTION("GOOGLETRANSLATE(B1132, ""en"", ""ml"")"),"ഉപഭോക്തൃ ആപ്പിൽ തുടരുക")</f>
        <v>ഉപഭോക്തൃ ആപ്പിൽ തുടരുക</v>
      </c>
      <c r="G1132" s="7" t="str">
        <f>IFERROR(__xludf.DUMMYFUNCTION("GOOGLETRANSLATE(B1132, ""en"", ""te"")"),"కస్టమర్ యాప్‌లోనే ఉండండి")</f>
        <v>కస్టమర్ యాప్‌లోనే ఉండండి</v>
      </c>
    </row>
    <row r="1133">
      <c r="A1133" s="12" t="s">
        <v>2742</v>
      </c>
      <c r="B1133" s="13" t="s">
        <v>2743</v>
      </c>
      <c r="C1133" s="6" t="str">
        <f>IFERROR(__xludf.DUMMYFUNCTION("GOOGLETRANSLATE(B1133, ""en"", ""ta"")"),"ஆம், வெளியேறு")</f>
        <v>ஆம், வெளியேறு</v>
      </c>
      <c r="D1133" s="6" t="str">
        <f>IFERROR(__xludf.DUMMYFUNCTION("GOOGLETRANSLATE(B1133, ""en"", ""hi"")"),"हां, लॉग आउट करें")</f>
        <v>हां, लॉग आउट करें</v>
      </c>
      <c r="E1133" s="6" t="str">
        <f>IFERROR(__xludf.DUMMYFUNCTION("GOOGLETRANSLATE(B1133, ""en"", ""kn"")"),"ಹೌದು, ಲಾಗ್ ಔಟ್ ಮಾಡಿ")</f>
        <v>ಹೌದು, ಲಾಗ್ ಔಟ್ ಮಾಡಿ</v>
      </c>
      <c r="F1133" s="7" t="str">
        <f>IFERROR(__xludf.DUMMYFUNCTION("GOOGLETRANSLATE(B1133, ""en"", ""ml"")"),"അതെ, ലോഗ് ഔട്ട് ചെയ്യുക")</f>
        <v>അതെ, ലോഗ് ഔട്ട് ചെയ്യുക</v>
      </c>
      <c r="G1133" s="7" t="str">
        <f>IFERROR(__xludf.DUMMYFUNCTION("GOOGLETRANSLATE(B1133, ""en"", ""te"")"),"అవును, లాగ్ అవుట్")</f>
        <v>అవును, లాగ్ అవుట్</v>
      </c>
    </row>
    <row r="1134">
      <c r="A1134" s="12" t="s">
        <v>2744</v>
      </c>
      <c r="B1134" s="13" t="s">
        <v>2745</v>
      </c>
      <c r="C1134" s="6" t="str">
        <f>IFERROR(__xludf.DUMMYFUNCTION("GOOGLETRANSLATE(B1134, ""en"", ""ta"")"),"அமர்வு காலாவதியானது")</f>
        <v>அமர்வு காலாவதியானது</v>
      </c>
      <c r="D1134" s="6" t="str">
        <f>IFERROR(__xludf.DUMMYFUNCTION("GOOGLETRANSLATE(B1134, ""en"", ""hi"")"),"सत्र समाप्त हुआ")</f>
        <v>सत्र समाप्त हुआ</v>
      </c>
      <c r="E1134" s="6" t="str">
        <f>IFERROR(__xludf.DUMMYFUNCTION("GOOGLETRANSLATE(B1134, ""en"", ""kn"")"),"ಅವಧಿ ಮುಗಿದಿದೆ")</f>
        <v>ಅವಧಿ ಮುಗಿದಿದೆ</v>
      </c>
      <c r="F1134" s="7" t="str">
        <f>IFERROR(__xludf.DUMMYFUNCTION("GOOGLETRANSLATE(B1134, ""en"", ""ml"")"),"സെഷൻ കാലഹരണപ്പെട്ടു")</f>
        <v>സെഷൻ കാലഹരണപ്പെട്ടു</v>
      </c>
      <c r="G1134" s="7" t="str">
        <f>IFERROR(__xludf.DUMMYFUNCTION("GOOGLETRANSLATE(B1134, ""en"", ""te"")"),"సెషన్ గడువు ముగిసింది")</f>
        <v>సెషన్ గడువు ముగిసింది</v>
      </c>
    </row>
    <row r="1135">
      <c r="A1135" s="12" t="s">
        <v>2746</v>
      </c>
      <c r="B1135" s="13" t="s">
        <v>2747</v>
      </c>
      <c r="C1135" s="6" t="str">
        <f>IFERROR(__xludf.DUMMYFUNCTION("GOOGLETRANSLATE(B1135, ""en"", ""ta"")"),"உங்கள் அமர்வு நேரம் முடிந்துவிட்டது. தயவுசெய்து மீண்டும் உள்நுழையவும்.")</f>
        <v>உங்கள் அமர்வு நேரம் முடிந்துவிட்டது. தயவுசெய்து மீண்டும் உள்நுழையவும்.</v>
      </c>
      <c r="D1135" s="6" t="str">
        <f>IFERROR(__xludf.DUMMYFUNCTION("GOOGLETRANSLATE(B1135, ""en"", ""hi"")"),"आपका सत्र समाप्त हो गया है। कृपया पुनः लॉग इन करें।")</f>
        <v>आपका सत्र समाप्त हो गया है। कृपया पुनः लॉग इन करें।</v>
      </c>
      <c r="E1135" s="6" t="str">
        <f>IFERROR(__xludf.DUMMYFUNCTION("GOOGLETRANSLATE(B1135, ""en"", ""kn"")"),"ನಿಮ್ಮ ಅವಧಿ ಮುಗಿದಿದೆ. ದಯವಿಟ್ಟು ಮತ್ತೆ ಲಾಗಿನ್ ಮಾಡಿ.")</f>
        <v>ನಿಮ್ಮ ಅವಧಿ ಮುಗಿದಿದೆ. ದಯವಿಟ್ಟು ಮತ್ತೆ ಲಾಗಿನ್ ಮಾಡಿ.</v>
      </c>
      <c r="F1135" s="7" t="str">
        <f>IFERROR(__xludf.DUMMYFUNCTION("GOOGLETRANSLATE(B1135, ""en"", ""ml"")"),"നിങ്ങളുടെ സെഷൻ കാലഹരണപ്പെട്ടു. വീണ്ടും ലോഗിൻ ചെയ്യുക.")</f>
        <v>നിങ്ങളുടെ സെഷൻ കാലഹരണപ്പെട്ടു. വീണ്ടും ലോഗിൻ ചെയ്യുക.</v>
      </c>
      <c r="G1135" s="7" t="str">
        <f>IFERROR(__xludf.DUMMYFUNCTION("GOOGLETRANSLATE(B1135, ""en"", ""te"")"),"మీ సెషన్ గడువు ముగిసింది. దయచేసి మళ్ళీ లాగిన్ అవ్వండి.")</f>
        <v>మీ సెషన్ గడువు ముగిసింది. దయచేసి మళ్ళీ లాగిన్ అవ్వండి.</v>
      </c>
    </row>
    <row r="1136">
      <c r="A1136" s="12" t="s">
        <v>2748</v>
      </c>
      <c r="B1136" s="13" t="s">
        <v>2749</v>
      </c>
      <c r="C1136" s="6" t="str">
        <f>IFERROR(__xludf.DUMMYFUNCTION("GOOGLETRANSLATE(B1136, ""en"", ""ta"")"),"நீங்கள் வெளியேறுவது உறுதியா?")</f>
        <v>நீங்கள் வெளியேறுவது உறுதியா?</v>
      </c>
      <c r="D1136" s="6" t="str">
        <f>IFERROR(__xludf.DUMMYFUNCTION("GOOGLETRANSLATE(B1136, ""en"", ""hi"")"),"क्या आप लॉगआउट करने के लिए निश्चित हैं?")</f>
        <v>क्या आप लॉगआउट करने के लिए निश्चित हैं?</v>
      </c>
      <c r="E1136" s="6" t="str">
        <f>IFERROR(__xludf.DUMMYFUNCTION("GOOGLETRANSLATE(B1136, ""en"", ""kn"")"),"ನೀವು ಲಾಗ್ ಔಟ್ ಮಾಡುವುದು ಖಚಿತವೇ?")</f>
        <v>ನೀವು ಲಾಗ್ ಔಟ್ ಮಾಡುವುದು ಖಚಿತವೇ?</v>
      </c>
      <c r="F1136" s="7" t="str">
        <f>IFERROR(__xludf.DUMMYFUNCTION("GOOGLETRANSLATE(B1136, ""en"", ""ml"")"),"ലോഗ് ഔട്ട് ചെയ്യണമെന്ന് ഉറപ്പാണോ?")</f>
        <v>ലോഗ് ഔട്ട് ചെയ്യണമെന്ന് ഉറപ്പാണോ?</v>
      </c>
      <c r="G1136" s="7" t="str">
        <f>IFERROR(__xludf.DUMMYFUNCTION("GOOGLETRANSLATE(B1136, ""en"", ""te"")"),"మీరు ఖచ్చితంగా లాగ్ అవుట్ చేస్తారా?")</f>
        <v>మీరు ఖచ్చితంగా లాగ్ అవుట్ చేస్తారా?</v>
      </c>
    </row>
    <row r="1137">
      <c r="A1137" s="12" t="s">
        <v>2750</v>
      </c>
      <c r="B1137" s="13" t="s">
        <v>2751</v>
      </c>
      <c r="C1137" s="6" t="str">
        <f>IFERROR(__xludf.DUMMYFUNCTION("GOOGLETRANSLATE(B1137, ""en"", ""ta"")"),"நீங்கள் இந்த வாகனத்திலிருந்து வெளியேறுவதை உறுதிசெய்கிறீர்களா? பயணங்களை மேற்கொள்ள, நீங்கள் கிடைக்கக்கூடிய மற்றொரு வாகனத்தில் உள்நுழைய வேண்டும்.")</f>
        <v>நீங்கள் இந்த வாகனத்திலிருந்து வெளியேறுவதை உறுதிசெய்கிறீர்களா? பயணங்களை மேற்கொள்ள, நீங்கள் கிடைக்கக்கூடிய மற்றொரு வாகனத்தில் உள்நுழைய வேண்டும்.</v>
      </c>
      <c r="D1137" s="6" t="str">
        <f>IFERROR(__xludf.DUMMYFUNCTION("GOOGLETRANSLATE(B1137, ""en"", ""hi"")"),"क्या आप वाकई इस वाहन से लॉगआउट करना चाहते हैं? यात्रा करने के लिए आपको किसी अन्य उपलब्ध वाहन में लॉग इन करना होगा।")</f>
        <v>क्या आप वाकई इस वाहन से लॉगआउट करना चाहते हैं? यात्रा करने के लिए आपको किसी अन्य उपलब्ध वाहन में लॉग इन करना होगा।</v>
      </c>
      <c r="E1137" s="6" t="str">
        <f>IFERROR(__xludf.DUMMYFUNCTION("GOOGLETRANSLATE(B1137, ""en"", ""kn"")"),"ನೀವು ಈ ವಾಹನದಿಂದ ಲಾಗ್ ಔಟ್ ಮಾಡಲು ಖಚಿತವಾಗಿ ಬಯಸುವಿರಾ? ಪ್ರವಾಸಗಳನ್ನು ಕೈಗೊಳ್ಳಲು ನೀವು ಲಭ್ಯವಿರುವ ಇನ್ನೊಂದು ವಾಹನಕ್ಕೆ ಲಾಗಿನ್ ಮಾಡಬೇಕು.")</f>
        <v>ನೀವು ಈ ವಾಹನದಿಂದ ಲಾಗ್ ಔಟ್ ಮಾಡಲು ಖಚಿತವಾಗಿ ಬಯಸುವಿರಾ? ಪ್ರವಾಸಗಳನ್ನು ಕೈಗೊಳ್ಳಲು ನೀವು ಲಭ್ಯವಿರುವ ಇನ್ನೊಂದು ವಾಹನಕ್ಕೆ ಲಾಗಿನ್ ಮಾಡಬೇಕು.</v>
      </c>
      <c r="F1137" s="7" t="str">
        <f>IFERROR(__xludf.DUMMYFUNCTION("GOOGLETRANSLATE(B1137, ""en"", ""ml"")"),"ഈ വാഹനത്തിൽ നിന്ന് ലോഗ് ഔട്ട് ചെയ്യണമെന്ന് നിങ്ങൾക്ക് ഉറപ്പാണോ? യാത്രകൾ നടത്താൻ ലഭ്യമായ മറ്റൊരു വാഹനത്തിൽ ലോഗിൻ ചെയ്യണം.")</f>
        <v>ഈ വാഹനത്തിൽ നിന്ന് ലോഗ് ഔട്ട് ചെയ്യണമെന്ന് നിങ്ങൾക്ക് ഉറപ്പാണോ? യാത്രകൾ നടത്താൻ ലഭ്യമായ മറ്റൊരു വാഹനത്തിൽ ലോഗിൻ ചെയ്യണം.</v>
      </c>
      <c r="G1137" s="7" t="str">
        <f>IFERROR(__xludf.DUMMYFUNCTION("GOOGLETRANSLATE(B1137, ""en"", ""te"")"),"మీరు నిజంగా ఈ వాహనం నుండి లాగ్ అవుట్ చేయాలనుకుంటున్నారా? ప్రయాణాలు చేయడానికి మీరు అందుబాటులో ఉన్న మరో వాహనంలోకి లాగిన్ అవ్వాలి.")</f>
        <v>మీరు నిజంగా ఈ వాహనం నుండి లాగ్ అవుట్ చేయాలనుకుంటున్నారా? ప్రయాణాలు చేయడానికి మీరు అందుబాటులో ఉన్న మరో వాహనంలోకి లాగిన్ అవ్వాలి.</v>
      </c>
    </row>
    <row r="1138">
      <c r="A1138" s="12" t="s">
        <v>2752</v>
      </c>
      <c r="B1138" s="13" t="s">
        <v>2753</v>
      </c>
      <c r="C1138" s="6" t="str">
        <f>IFERROR(__xludf.DUMMYFUNCTION("GOOGLETRANSLATE(B1138, ""en"", ""ta"")"),"பணம் செலுத்துதல்")</f>
        <v>பணம் செலுத்துதல்</v>
      </c>
      <c r="D1138" s="6" t="str">
        <f>IFERROR(__xludf.DUMMYFUNCTION("GOOGLETRANSLATE(B1138, ""en"", ""hi"")"),"भुगतान")</f>
        <v>भुगतान</v>
      </c>
      <c r="E1138" s="6" t="str">
        <f>IFERROR(__xludf.DUMMYFUNCTION("GOOGLETRANSLATE(B1138, ""en"", ""kn"")"),"ಪಾವತಿಗಳು")</f>
        <v>ಪಾವತಿಗಳು</v>
      </c>
      <c r="F1138" s="7" t="str">
        <f>IFERROR(__xludf.DUMMYFUNCTION("GOOGLETRANSLATE(B1138, ""en"", ""ml"")"),"പേയ്‌മെന്റുകൾ")</f>
        <v>പേയ്‌മെന്റുകൾ</v>
      </c>
      <c r="G1138" s="7" t="str">
        <f>IFERROR(__xludf.DUMMYFUNCTION("GOOGLETRANSLATE(B1138, ""en"", ""te"")"),"చెల్లింపులు")</f>
        <v>చెల్లింపులు</v>
      </c>
    </row>
    <row r="1139">
      <c r="A1139" s="12" t="s">
        <v>2754</v>
      </c>
      <c r="B1139" s="13" t="s">
        <v>2755</v>
      </c>
      <c r="C1139" s="6" t="str">
        <f>IFERROR(__xludf.DUMMYFUNCTION("GOOGLETRANSLATE(B1139, ""en"", ""ta"")"),"ஓட்டுநரால் சேகரிக்கப்பட்டது")</f>
        <v>ஓட்டுநரால் சேகரிக்கப்பட்டது</v>
      </c>
      <c r="D1139" s="6" t="str">
        <f>IFERROR(__xludf.DUMMYFUNCTION("GOOGLETRANSLATE(B1139, ""en"", ""hi"")"),"चालक द्वारा एकत्रित")</f>
        <v>चालक द्वारा एकत्रित</v>
      </c>
      <c r="E1139" s="6" t="str">
        <f>IFERROR(__xludf.DUMMYFUNCTION("GOOGLETRANSLATE(B1139, ""en"", ""kn"")"),"ಚಾಲಕರಿಂದ ಸಂಗ್ರಹಿಸಲಾಗಿದೆ")</f>
        <v>ಚಾಲಕರಿಂದ ಸಂಗ್ರಹಿಸಲಾಗಿದೆ</v>
      </c>
      <c r="F1139" s="7" t="str">
        <f>IFERROR(__xludf.DUMMYFUNCTION("GOOGLETRANSLATE(B1139, ""en"", ""ml"")"),"ഡ്രൈവർ ശേഖരിച്ചത്")</f>
        <v>ഡ്രൈവർ ശേഖരിച്ചത്</v>
      </c>
      <c r="G1139" s="7" t="str">
        <f>IFERROR(__xludf.DUMMYFUNCTION("GOOGLETRANSLATE(B1139, ""en"", ""te"")"),"డ్రైవర్ ద్వారా సేకరించబడింది")</f>
        <v>డ్రైవర్ ద్వారా సేకరించబడింది</v>
      </c>
    </row>
    <row r="1140">
      <c r="A1140" s="12" t="s">
        <v>2756</v>
      </c>
      <c r="B1140" s="13" t="s">
        <v>2757</v>
      </c>
      <c r="C1140" s="6" t="str">
        <f>IFERROR(__xludf.DUMMYFUNCTION("GOOGLETRANSLATE(B1140, ""en"", ""ta"")"),"விற்பனையாளருக்கு அனுப்பப்பட்டது")</f>
        <v>விற்பனையாளருக்கு அனுப்பப்பட்டது</v>
      </c>
      <c r="D1140" s="6" t="str">
        <f>IFERROR(__xludf.DUMMYFUNCTION("GOOGLETRANSLATE(B1140, ""en"", ""hi"")"),"विक्रेता को भेजा गया")</f>
        <v>विक्रेता को भेजा गया</v>
      </c>
      <c r="E1140" s="6" t="str">
        <f>IFERROR(__xludf.DUMMYFUNCTION("GOOGLETRANSLATE(B1140, ""en"", ""kn"")"),"ಮಾರಾಟಗಾರರಿಗೆ ಕಳುಹಿಸಲಾಗಿದೆ")</f>
        <v>ಮಾರಾಟಗಾರರಿಗೆ ಕಳುಹಿಸಲಾಗಿದೆ</v>
      </c>
      <c r="F1140" s="7" t="str">
        <f>IFERROR(__xludf.DUMMYFUNCTION("GOOGLETRANSLATE(B1140, ""en"", ""ml"")"),"വെണ്ടർക്ക് അയച്ചു")</f>
        <v>വെണ്ടർക്ക് അയച്ചു</v>
      </c>
      <c r="G1140" s="7" t="str">
        <f>IFERROR(__xludf.DUMMYFUNCTION("GOOGLETRANSLATE(B1140, ""en"", ""te"")"),"విక్రేతకు పంపబడింది")</f>
        <v>విక్రేతకు పంపబడింది</v>
      </c>
    </row>
    <row r="1141">
      <c r="A1141" s="12" t="s">
        <v>2758</v>
      </c>
      <c r="B1141" s="13" t="s">
        <v>2759</v>
      </c>
      <c r="C1141" s="6" t="str">
        <f>IFERROR(__xludf.DUMMYFUNCTION("GOOGLETRANSLATE(B1141, ""en"", ""ta"")"),"பணி வரலாறு எதுவும் காணப்படவில்லை")</f>
        <v>பணி வரலாறு எதுவும் காணப்படவில்லை</v>
      </c>
      <c r="D1141" s="6" t="str">
        <f>IFERROR(__xludf.DUMMYFUNCTION("GOOGLETRANSLATE(B1141, ""en"", ""hi"")"),"कोई कार्य अनुभव नहीं मिला")</f>
        <v>कोई कार्य अनुभव नहीं मिला</v>
      </c>
      <c r="E1141" s="6" t="str">
        <f>IFERROR(__xludf.DUMMYFUNCTION("GOOGLETRANSLATE(B1141, ""en"", ""kn"")"),"ಯಾವುದೇ ಕೆಲಸದ ಇತಿಹಾಸ ಕಂಡುಬಂದಿಲ್ಲ")</f>
        <v>ಯಾವುದೇ ಕೆಲಸದ ಇತಿಹಾಸ ಕಂಡುಬಂದಿಲ್ಲ</v>
      </c>
      <c r="F1141" s="7" t="str">
        <f>IFERROR(__xludf.DUMMYFUNCTION("GOOGLETRANSLATE(B1141, ""en"", ""ml"")"),"ജോലി ചരിത്രമൊന്നും കണ്ടെത്തിയില്ല")</f>
        <v>ജോലി ചരിത്രമൊന്നും കണ്ടെത്തിയില്ല</v>
      </c>
      <c r="G1141" s="7" t="str">
        <f>IFERROR(__xludf.DUMMYFUNCTION("GOOGLETRANSLATE(B1141, ""en"", ""te"")"),"పని చరిత్ర కనుగొనబడలేదు")</f>
        <v>పని చరిత్ర కనుగొనబడలేదు</v>
      </c>
    </row>
    <row r="1142">
      <c r="A1142" s="12" t="s">
        <v>2760</v>
      </c>
      <c r="B1142" s="13" t="s">
        <v>2761</v>
      </c>
      <c r="C1142" s="6" t="str">
        <f>IFERROR(__xludf.DUMMYFUNCTION("GOOGLETRANSLATE(B1142, ""en"", ""ta"")"),"சுறுசுறுப்பான நாட்கள்")</f>
        <v>சுறுசுறுப்பான நாட்கள்</v>
      </c>
      <c r="D1142" s="6" t="str">
        <f>IFERROR(__xludf.DUMMYFUNCTION("GOOGLETRANSLATE(B1142, ""en"", ""hi"")"),"सक्रिय दिन")</f>
        <v>सक्रिय दिन</v>
      </c>
      <c r="E1142" s="6" t="str">
        <f>IFERROR(__xludf.DUMMYFUNCTION("GOOGLETRANSLATE(B1142, ""en"", ""kn"")"),"ಸಕ್ರಿಯ ದಿನಗಳು")</f>
        <v>ಸಕ್ರಿಯ ದಿನಗಳು</v>
      </c>
      <c r="F1142" s="7" t="str">
        <f>IFERROR(__xludf.DUMMYFUNCTION("GOOGLETRANSLATE(B1142, ""en"", ""ml"")"),"സജീവ ദിവസങ്ങൾ")</f>
        <v>സജീവ ദിവസങ്ങൾ</v>
      </c>
      <c r="G1142" s="7" t="str">
        <f>IFERROR(__xludf.DUMMYFUNCTION("GOOGLETRANSLATE(B1142, ""en"", ""te"")"),"చురుకైన రోజులు")</f>
        <v>చురుకైన రోజులు</v>
      </c>
    </row>
    <row r="1143">
      <c r="A1143" s="12" t="s">
        <v>2762</v>
      </c>
      <c r="B1143" s="13" t="s">
        <v>2763</v>
      </c>
      <c r="C1143" s="6" t="str">
        <f>IFERROR(__xludf.DUMMYFUNCTION("GOOGLETRANSLATE(B1143, ""en"", ""ta"")"),"தேதியைத் தேர்ந்தெடுக்கவும்")</f>
        <v>தேதியைத் தேர்ந்தெடுக்கவும்</v>
      </c>
      <c r="D1143" s="6" t="str">
        <f>IFERROR(__xludf.DUMMYFUNCTION("GOOGLETRANSLATE(B1143, ""en"", ""hi"")"),"तारीख़ चुनें")</f>
        <v>तारीख़ चुनें</v>
      </c>
      <c r="E1143" s="6" t="str">
        <f>IFERROR(__xludf.DUMMYFUNCTION("GOOGLETRANSLATE(B1143, ""en"", ""kn"")"),"ದಿನಾಂಕ ಆಯ್ಕೆಮಾಡಿ")</f>
        <v>ದಿನಾಂಕ ಆಯ್ಕೆಮಾಡಿ</v>
      </c>
      <c r="F1143" s="7" t="str">
        <f>IFERROR(__xludf.DUMMYFUNCTION("GOOGLETRANSLATE(B1143, ""en"", ""ml"")"),"തീയതി തിരഞ്ഞെടുക്കുക")</f>
        <v>തീയതി തിരഞ്ഞെടുക്കുക</v>
      </c>
      <c r="G1143" s="7" t="str">
        <f>IFERROR(__xludf.DUMMYFUNCTION("GOOGLETRANSLATE(B1143, ""en"", ""te"")"),"తేదీని ఎంచుకోండి")</f>
        <v>తేదీని ఎంచుకోండి</v>
      </c>
    </row>
    <row r="1144">
      <c r="A1144" s="12" t="s">
        <v>2764</v>
      </c>
      <c r="B1144" s="13" t="s">
        <v>2765</v>
      </c>
      <c r="C1144" s="6" t="str">
        <f>IFERROR(__xludf.DUMMYFUNCTION("GOOGLETRANSLATE(B1144, ""en"", ""ta"")"),"ஒருவராக ஆகுங்கள்")</f>
        <v>ஒருவராக ஆகுங்கள்</v>
      </c>
      <c r="D1144" s="6" t="str">
        <f>IFERROR(__xludf.DUMMYFUNCTION("GOOGLETRANSLATE(B1144, ""en"", ""hi"")"),"एक बनें")</f>
        <v>एक बनें</v>
      </c>
      <c r="E1144" s="6" t="str">
        <f>IFERROR(__xludf.DUMMYFUNCTION("GOOGLETRANSLATE(B1144, ""en"", ""kn"")"),"ಆಗಿ")</f>
        <v>ಆಗಿ</v>
      </c>
      <c r="F1144" s="7" t="str">
        <f>IFERROR(__xludf.DUMMYFUNCTION("GOOGLETRANSLATE(B1144, ""en"", ""ml"")"),"ഒരു ആകുക")</f>
        <v>ഒരു ആകുക</v>
      </c>
      <c r="G1144" s="7" t="str">
        <f>IFERROR(__xludf.DUMMYFUNCTION("GOOGLETRANSLATE(B1144, ""en"", ""te"")"),"అవ్వండి")</f>
        <v>అవ్వండి</v>
      </c>
    </row>
    <row r="1145">
      <c r="A1145" s="12" t="s">
        <v>2766</v>
      </c>
      <c r="B1145" s="13" t="s">
        <v>2767</v>
      </c>
      <c r="C1145" s="8" t="s">
        <v>2768</v>
      </c>
      <c r="D1145" s="6" t="str">
        <f>IFERROR(__xludf.DUMMYFUNCTION("GOOGLETRANSLATE(B1145, ""en"", ""hi"")"),"कार्यवाहक चालक")</f>
        <v>कार्यवाहक चालक</v>
      </c>
      <c r="E1145" s="6" t="str">
        <f>IFERROR(__xludf.DUMMYFUNCTION("GOOGLETRANSLATE(B1145, ""en"", ""kn"")"),"ನಟನಾ ಚಾಲಕ")</f>
        <v>ನಟನಾ ಚಾಲಕ</v>
      </c>
      <c r="F1145" s="7" t="str">
        <f>IFERROR(__xludf.DUMMYFUNCTION("GOOGLETRANSLATE(B1145, ""en"", ""ml"")"),"ആക്ടിംഗ് ഡ്രൈവർ")</f>
        <v>ആക്ടിംഗ് ഡ്രൈവർ</v>
      </c>
      <c r="G1145" s="7" t="str">
        <f>IFERROR(__xludf.DUMMYFUNCTION("GOOGLETRANSLATE(B1145, ""en"", ""te"")"),"యాక్టింగ్ డ్రైవర్")</f>
        <v>యాక్టింగ్ డ్రైవర్</v>
      </c>
    </row>
    <row r="1146">
      <c r="A1146" s="12" t="s">
        <v>2769</v>
      </c>
      <c r="B1146" s="13" t="s">
        <v>2770</v>
      </c>
      <c r="C1146" s="6" t="str">
        <f>IFERROR(__xludf.DUMMYFUNCTION("GOOGLETRANSLATE(B1146, ""en"", ""ta"")"),"மற்றும் எந்த வாகனத்தையும் ஓட்டவும்")</f>
        <v>மற்றும் எந்த வாகனத்தையும் ஓட்டவும்</v>
      </c>
      <c r="D1146" s="6" t="str">
        <f>IFERROR(__xludf.DUMMYFUNCTION("GOOGLETRANSLATE(B1146, ""en"", ""hi"")"),"और कोई भी वाहन चला सकते हैं")</f>
        <v>और कोई भी वाहन चला सकते हैं</v>
      </c>
      <c r="E1146" s="6" t="str">
        <f>IFERROR(__xludf.DUMMYFUNCTION("GOOGLETRANSLATE(B1146, ""en"", ""kn"")"),"ಮತ್ತು ಯಾವುದೇ ವಾಹನವನ್ನು ಚಾಲನೆ ಮಾಡಿ")</f>
        <v>ಮತ್ತು ಯಾವುದೇ ವಾಹನವನ್ನು ಚಾಲನೆ ಮಾಡಿ</v>
      </c>
      <c r="F1146" s="7" t="str">
        <f>IFERROR(__xludf.DUMMYFUNCTION("GOOGLETRANSLATE(B1146, ""en"", ""ml"")"),"ഏതെങ്കിലും വാഹനം ഓടിക്കുക")</f>
        <v>ഏതെങ്കിലും വാഹനം ഓടിക്കുക</v>
      </c>
      <c r="G1146" s="7" t="str">
        <f>IFERROR(__xludf.DUMMYFUNCTION("GOOGLETRANSLATE(B1146, ""en"", ""te"")"),"మరియు ఏదైనా వాహనాన్ని నడపండి")</f>
        <v>మరియు ఏదైనా వాహనాన్ని నడపండి</v>
      </c>
    </row>
    <row r="1147">
      <c r="A1147" s="12" t="s">
        <v>2771</v>
      </c>
      <c r="B1147" s="13" t="s">
        <v>2772</v>
      </c>
      <c r="C1147" s="8" t="str">
        <f>IFERROR(__xludf.DUMMYFUNCTION("GOOGLETRANSLATE(B1147, ""en"", ""ta"")"),"செயல்படும் ஓட்டுநர் உள்நுழைவு")</f>
        <v>செயல்படும் ஓட்டுநர் உள்நுழைவு</v>
      </c>
      <c r="D1147" s="6" t="str">
        <f>IFERROR(__xludf.DUMMYFUNCTION("GOOGLETRANSLATE(B1147, ""en"", ""hi"")"),"कार्यवाहक ड्राइवर लॉगिन")</f>
        <v>कार्यवाहक ड्राइवर लॉगिन</v>
      </c>
      <c r="E1147" s="6" t="str">
        <f>IFERROR(__xludf.DUMMYFUNCTION("GOOGLETRANSLATE(B1147, ""en"", ""kn"")"),"ನಟನಾ ಚಾಲಕ ಲಾಗಿನ್")</f>
        <v>ನಟನಾ ಚಾಲಕ ಲಾಗಿನ್</v>
      </c>
      <c r="F1147" s="7" t="str">
        <f>IFERROR(__xludf.DUMMYFUNCTION("GOOGLETRANSLATE(B1147, ""en"", ""ml"")"),"ആക്ടിംഗ് ഡ്രൈവർ ലോഗിൻ")</f>
        <v>ആക്ടിംഗ് ഡ്രൈവർ ലോഗിൻ</v>
      </c>
      <c r="G1147" s="7" t="str">
        <f>IFERROR(__xludf.DUMMYFUNCTION("GOOGLETRANSLATE(B1147, ""en"", ""te"")"),"యాక్టింగ్ డ్రైవర్ లాగిన్")</f>
        <v>యాక్టింగ్ డ్రైవర్ లాగిన్</v>
      </c>
    </row>
    <row r="1148">
      <c r="A1148" s="12" t="s">
        <v>2773</v>
      </c>
      <c r="B1148" s="13" t="s">
        <v>2774</v>
      </c>
      <c r="C1148" s="8" t="str">
        <f>IFERROR(__xludf.DUMMYFUNCTION("GOOGLETRANSLATE(B1148, ""en"", ""ta"")"),"ஓட்டுநர் அனுபவம்")</f>
        <v>ஓட்டுநர் அனுபவம்</v>
      </c>
      <c r="D1148" s="6" t="str">
        <f>IFERROR(__xludf.DUMMYFUNCTION("GOOGLETRANSLATE(B1148, ""en"", ""hi"")"),"ड्राइविंग अनुभव")</f>
        <v>ड्राइविंग अनुभव</v>
      </c>
      <c r="E1148" s="6" t="str">
        <f>IFERROR(__xludf.DUMMYFUNCTION("GOOGLETRANSLATE(B1148, ""en"", ""kn"")"),"ಚಾಲನಾ ಅನುಭವ")</f>
        <v>ಚಾಲನಾ ಅನುಭವ</v>
      </c>
      <c r="F1148" s="7" t="str">
        <f>IFERROR(__xludf.DUMMYFUNCTION("GOOGLETRANSLATE(B1148, ""en"", ""ml"")"),"ഡ്രൈവിംഗ് അനുഭവം")</f>
        <v>ഡ്രൈവിംഗ് അനുഭവം</v>
      </c>
      <c r="G1148" s="7" t="str">
        <f>IFERROR(__xludf.DUMMYFUNCTION("GOOGLETRANSLATE(B1148, ""en"", ""te"")"),"డ్రైవింగ్ అనుభవం")</f>
        <v>డ్రైవింగ్ అనుభవం</v>
      </c>
    </row>
    <row r="1149">
      <c r="A1149" s="12" t="s">
        <v>2775</v>
      </c>
      <c r="B1149" s="13" t="s">
        <v>2776</v>
      </c>
      <c r="C1149" s="8" t="str">
        <f>IFERROR(__xludf.DUMMYFUNCTION("GOOGLETRANSLATE(B1149, ""en"", ""ta"")"),"மொத்த ஓட்டுநர் அனுபவம்")</f>
        <v>மொத்த ஓட்டுநர் அனுபவம்</v>
      </c>
      <c r="D1149" s="6" t="str">
        <f>IFERROR(__xludf.DUMMYFUNCTION("GOOGLETRANSLATE(B1149, ""en"", ""hi"")"),"संपूर्ण ड्राइविंग अनुभव")</f>
        <v>संपूर्ण ड्राइविंग अनुभव</v>
      </c>
      <c r="E1149" s="6" t="str">
        <f>IFERROR(__xludf.DUMMYFUNCTION("GOOGLETRANSLATE(B1149, ""en"", ""kn"")"),"ಒಟ್ಟು ಚಾಲನಾ ಅನುಭವ")</f>
        <v>ಒಟ್ಟು ಚಾಲನಾ ಅನುಭವ</v>
      </c>
      <c r="F1149" s="7" t="str">
        <f>IFERROR(__xludf.DUMMYFUNCTION("GOOGLETRANSLATE(B1149, ""en"", ""ml"")"),"ആകെ ഡ്രൈവിംഗ് അനുഭവം")</f>
        <v>ആകെ ഡ്രൈവിംഗ് അനുഭവം</v>
      </c>
      <c r="G1149" s="7" t="str">
        <f>IFERROR(__xludf.DUMMYFUNCTION("GOOGLETRANSLATE(B1149, ""en"", ""te"")"),"మొత్తం డ్రైవింగ్ అనుభవం")</f>
        <v>మొత్తం డ్రైవింగ్ అనుభవం</v>
      </c>
    </row>
    <row r="1150">
      <c r="A1150" s="12" t="s">
        <v>2777</v>
      </c>
      <c r="B1150" s="13" t="s">
        <v>2778</v>
      </c>
      <c r="C1150" s="8" t="str">
        <f>IFERROR(__xludf.DUMMYFUNCTION("GOOGLETRANSLATE(B1150, ""en"", ""ta"")"),"வணிக ஓட்டுநர் அனுபவம்")</f>
        <v>வணிக ஓட்டுநர் அனுபவம்</v>
      </c>
      <c r="D1150" s="6" t="str">
        <f>IFERROR(__xludf.DUMMYFUNCTION("GOOGLETRANSLATE(B1150, ""en"", ""hi"")"),"वाणिज्यिक ड्राइविंग अनुभव")</f>
        <v>वाणिज्यिक ड्राइविंग अनुभव</v>
      </c>
      <c r="E1150" s="6" t="str">
        <f>IFERROR(__xludf.DUMMYFUNCTION("GOOGLETRANSLATE(B1150, ""en"", ""kn"")"),"ವಾಣಿಜ್ಯ ಚಾಲನಾ ಅನುಭವ")</f>
        <v>ವಾಣಿಜ್ಯ ಚಾಲನಾ ಅನುಭವ</v>
      </c>
      <c r="F1150" s="7" t="str">
        <f>IFERROR(__xludf.DUMMYFUNCTION("GOOGLETRANSLATE(B1150, ""en"", ""ml"")"),"വാണിജ്യ ഡ്രൈവിംഗ് അനുഭവം")</f>
        <v>വാണിജ്യ ഡ്രൈവിംഗ് അനുഭവം</v>
      </c>
      <c r="G1150" s="7" t="str">
        <f>IFERROR(__xludf.DUMMYFUNCTION("GOOGLETRANSLATE(B1150, ""en"", ""te"")"),"వాణిజ్య డ్రైవింగ్ అనుభవం")</f>
        <v>వాణిజ్య డ్రైవింగ్ అనుభవం</v>
      </c>
    </row>
    <row r="1151">
      <c r="A1151" s="12" t="s">
        <v>2779</v>
      </c>
      <c r="B1151" s="13" t="s">
        <v>2780</v>
      </c>
      <c r="C1151" s="8" t="str">
        <f>IFERROR(__xludf.DUMMYFUNCTION("GOOGLETRANSLATE(B1151, ""en"", ""ta"")"),"சவாரி முன்பதிவு தள அனுபவம்")</f>
        <v>சவாரி முன்பதிவு தள அனுபவம்</v>
      </c>
      <c r="D1151" s="6" t="str">
        <f>IFERROR(__xludf.DUMMYFUNCTION("GOOGLETRANSLATE(B1151, ""en"", ""hi"")"),"राइड-हेलिंग प्लेटफॉर्म का अनुभव")</f>
        <v>राइड-हेलिंग प्लेटफॉर्म का अनुभव</v>
      </c>
      <c r="E1151" s="6" t="str">
        <f>IFERROR(__xludf.DUMMYFUNCTION("GOOGLETRANSLATE(B1151, ""en"", ""kn"")"),"ರೈಡ್-ಹೇಲಿಂಗ್ ಪ್ಲಾಟ್‌ಫಾರ್ಮ್ ಅನುಭವ")</f>
        <v>ರೈಡ್-ಹೇಲಿಂಗ್ ಪ್ಲಾಟ್‌ಫಾರ್ಮ್ ಅನುಭವ</v>
      </c>
      <c r="F1151" s="7" t="str">
        <f>IFERROR(__xludf.DUMMYFUNCTION("GOOGLETRANSLATE(B1151, ""en"", ""ml"")"),"റൈഡ്-ഹെയ്‌ലിംഗ് പ്ലാറ്റ്‌ഫോം അനുഭവം")</f>
        <v>റൈഡ്-ഹെയ്‌ലിംഗ് പ്ലാറ്റ്‌ഫോം അനുഭവം</v>
      </c>
      <c r="G1151" s="7" t="str">
        <f>IFERROR(__xludf.DUMMYFUNCTION("GOOGLETRANSLATE(B1151, ""en"", ""te"")"),"రైడ్-హెయిలింగ్ ప్లాట్‌ఫారమ్ అనుభవం")</f>
        <v>రైడ్-హెయిలింగ్ ప్లాట్‌ఫారమ్ అనుభవం</v>
      </c>
    </row>
    <row r="1152">
      <c r="A1152" s="12" t="s">
        <v>2781</v>
      </c>
      <c r="B1152" s="13" t="s">
        <v>2782</v>
      </c>
      <c r="C1152" s="8" t="str">
        <f>IFERROR(__xludf.DUMMYFUNCTION("GOOGLETRANSLATE(B1152, ""en"", ""ta"")"),"பணிபுரிந்த தளங்கள்")</f>
        <v>பணிபுரிந்த தளங்கள்</v>
      </c>
      <c r="D1152" s="6" t="str">
        <f>IFERROR(__xludf.DUMMYFUNCTION("GOOGLETRANSLATE(B1152, ""en"", ""hi"")"),"जिन प्लेटफॉर्मों के साथ काम किया गया")</f>
        <v>जिन प्लेटफॉर्मों के साथ काम किया गया</v>
      </c>
      <c r="E1152" s="6" t="str">
        <f>IFERROR(__xludf.DUMMYFUNCTION("GOOGLETRANSLATE(B1152, ""en"", ""kn"")"),"ಕೆಲಸ ಮಾಡಿದ ವೇದಿಕೆಗಳು")</f>
        <v>ಕೆಲಸ ಮಾಡಿದ ವೇದಿಕೆಗಳು</v>
      </c>
      <c r="F1152" s="7" t="str">
        <f>IFERROR(__xludf.DUMMYFUNCTION("GOOGLETRANSLATE(B1152, ""en"", ""ml"")"),"ഉപയോഗിച്ച പ്ലാറ്റ്‌ഫോമുകൾ")</f>
        <v>ഉപയോഗിച്ച പ്ലാറ്റ്‌ഫോമുകൾ</v>
      </c>
      <c r="G1152" s="7" t="str">
        <f>IFERROR(__xludf.DUMMYFUNCTION("GOOGLETRANSLATE(B1152, ""en"", ""te"")"),"ప్లాట్‌ఫారమ్‌లు కలిసి పనిచేశాయి")</f>
        <v>ప్లాట్‌ఫారమ్‌లు కలిసి పనిచేశాయి</v>
      </c>
    </row>
    <row r="1153">
      <c r="A1153" s="12" t="s">
        <v>2783</v>
      </c>
      <c r="B1153" s="13" t="s">
        <v>2784</v>
      </c>
      <c r="C1153" s="8" t="str">
        <f>IFERROR(__xludf.DUMMYFUNCTION("GOOGLETRANSLATE(B1153, ""en"", ""ta"")"),"தோராயமாக முடிக்கப்பட்ட பயணங்கள்")</f>
        <v>தோராயமாக முடிக்கப்பட்ட பயணங்கள்</v>
      </c>
      <c r="D1153" s="6" t="str">
        <f>IFERROR(__xludf.DUMMYFUNCTION("GOOGLETRANSLATE(B1153, ""en"", ""hi"")"),"लगभग पूर्ण यात्राएँ")</f>
        <v>लगभग पूर्ण यात्राएँ</v>
      </c>
      <c r="E1153" s="6" t="str">
        <f>IFERROR(__xludf.DUMMYFUNCTION("GOOGLETRANSLATE(B1153, ""en"", ""kn"")"),"ಸರಿಸುಮಾರು ಪೂರ್ಣಗೊಂಡ ಪ್ರವಾಸಗಳು")</f>
        <v>ಸರಿಸುಮಾರು ಪೂರ್ಣಗೊಂಡ ಪ್ರವಾಸಗಳು</v>
      </c>
      <c r="F1153" s="7" t="str">
        <f>IFERROR(__xludf.DUMMYFUNCTION("GOOGLETRANSLATE(B1153, ""en"", ""ml"")"),"ഏകദേശം പൂർത്തിയാക്കിയ യാത്രകൾ")</f>
        <v>ഏകദേശം പൂർത്തിയാക്കിയ യാത്രകൾ</v>
      </c>
      <c r="G1153" s="7" t="str">
        <f>IFERROR(__xludf.DUMMYFUNCTION("GOOGLETRANSLATE(B1153, ""en"", ""te"")"),"సుమారుగా పూర్తి చేసిన పర్యటనలు")</f>
        <v>సుమారుగా పూర్తి చేసిన పర్యటనలు</v>
      </c>
    </row>
    <row r="1154">
      <c r="A1154" s="12" t="s">
        <v>2785</v>
      </c>
      <c r="B1154" s="13" t="s">
        <v>2786</v>
      </c>
      <c r="C1154" s="8" t="str">
        <f>IFERROR(__xludf.DUMMYFUNCTION("GOOGLETRANSLATE(B1154, ""en"", ""ta"")"),"ஓட்டுநர் மதிப்பீடு")</f>
        <v>ஓட்டுநர் மதிப்பீடு</v>
      </c>
      <c r="D1154" s="6" t="str">
        <f>IFERROR(__xludf.DUMMYFUNCTION("GOOGLETRANSLATE(B1154, ""en"", ""hi"")"),"ड्राइवर रेटिंग")</f>
        <v>ड्राइवर रेटिंग</v>
      </c>
      <c r="E1154" s="6" t="str">
        <f>IFERROR(__xludf.DUMMYFUNCTION("GOOGLETRANSLATE(B1154, ""en"", ""kn"")"),"ಚಾಲಕ ರೇಟಿಂಗ್")</f>
        <v>ಚಾಲಕ ರೇಟಿಂಗ್</v>
      </c>
      <c r="F1154" s="7" t="str">
        <f>IFERROR(__xludf.DUMMYFUNCTION("GOOGLETRANSLATE(B1154, ""en"", ""ml"")"),"ഡ്രൈവർ റേറ്റിംഗ്")</f>
        <v>ഡ്രൈവർ റേറ്റിംഗ്</v>
      </c>
      <c r="G1154" s="7" t="str">
        <f>IFERROR(__xludf.DUMMYFUNCTION("GOOGLETRANSLATE(B1154, ""en"", ""te"")"),"డ్రైవర్ రేటింగ్")</f>
        <v>డ్రైవర్ రేటింగ్</v>
      </c>
    </row>
    <row r="1155">
      <c r="A1155" s="12" t="s">
        <v>2787</v>
      </c>
      <c r="B1155" s="13" t="s">
        <v>2788</v>
      </c>
      <c r="C1155" s="8" t="str">
        <f>IFERROR(__xludf.DUMMYFUNCTION("GOOGLETRANSLATE(B1155, ""en"", ""ta"")"),"தயவுசெய்து பரிமாற்ற வகையைத் தேர்ந்தெடுக்கவும்")</f>
        <v>தயவுசெய்து பரிமாற்ற வகையைத் தேர்ந்தெடுக்கவும்</v>
      </c>
      <c r="D1155" s="6" t="str">
        <f>IFERROR(__xludf.DUMMYFUNCTION("GOOGLETRANSLATE(B1155, ""en"", ""hi"")"),"कृपया संचरण प्रकार का चयन करें")</f>
        <v>कृपया संचरण प्रकार का चयन करें</v>
      </c>
      <c r="E1155" s="6" t="str">
        <f>IFERROR(__xludf.DUMMYFUNCTION("GOOGLETRANSLATE(B1155, ""en"", ""kn"")"),"ದಯವಿಟ್ಟು ಪ್ರಸರಣ ಪ್ರಕಾರವನ್ನು ಆಯ್ಕೆಮಾಡಿ")</f>
        <v>ದಯವಿಟ್ಟು ಪ್ರಸರಣ ಪ್ರಕಾರವನ್ನು ಆಯ್ಕೆಮಾಡಿ</v>
      </c>
      <c r="F1155" s="7" t="str">
        <f>IFERROR(__xludf.DUMMYFUNCTION("GOOGLETRANSLATE(B1155, ""en"", ""ml"")"),"ദയവായി ട്രാൻസ്മിഷൻ തരം തിരഞ്ഞെടുക്കുക.")</f>
        <v>ദയവായി ട്രാൻസ്മിഷൻ തരം തിരഞ്ഞെടുക്കുക.</v>
      </c>
      <c r="G1155" s="7" t="str">
        <f>IFERROR(__xludf.DUMMYFUNCTION("GOOGLETRANSLATE(B1155, ""en"", ""te"")"),"దయచేసి ప్రసార రకాన్ని ఎంచుకోండి")</f>
        <v>దయచేసి ప్రసార రకాన్ని ఎంచుకోండి</v>
      </c>
    </row>
    <row r="1156">
      <c r="A1156" s="12" t="s">
        <v>2789</v>
      </c>
      <c r="B1156" s="13" t="s">
        <v>2790</v>
      </c>
      <c r="C1156" s="8" t="str">
        <f>IFERROR(__xludf.DUMMYFUNCTION("GOOGLETRANSLATE(B1156, ""en"", ""ta"")"),"தயவுசெய்து குறைந்தபட்சம் ஒரு வாகன வகையைத் தேர்ந்தெடுக்கவும்.")</f>
        <v>தயவுசெய்து குறைந்தபட்சம் ஒரு வாகன வகையைத் தேர்ந்தெடுக்கவும்.</v>
      </c>
      <c r="D1156" s="6" t="str">
        <f>IFERROR(__xludf.DUMMYFUNCTION("GOOGLETRANSLATE(B1156, ""en"", ""hi"")"),"कृपया कम से कम एक वाहन प्रकार का चयन करें")</f>
        <v>कृपया कम से कम एक वाहन प्रकार का चयन करें</v>
      </c>
      <c r="E1156" s="6" t="str">
        <f>IFERROR(__xludf.DUMMYFUNCTION("GOOGLETRANSLATE(B1156, ""en"", ""kn"")"),"ದಯವಿಟ್ಟು ಕನಿಷ್ಠ ಒಂದು ವಾಹನ ಪ್ರಕಾರವನ್ನು ಆಯ್ಕೆಮಾಡಿ.")</f>
        <v>ದಯವಿಟ್ಟು ಕನಿಷ್ಠ ಒಂದು ವಾಹನ ಪ್ರಕಾರವನ್ನು ಆಯ್ಕೆಮಾಡಿ.</v>
      </c>
      <c r="F1156" s="7" t="str">
        <f>IFERROR(__xludf.DUMMYFUNCTION("GOOGLETRANSLATE(B1156, ""en"", ""ml"")"),"കുറഞ്ഞത് ഒരു വാഹന തരമെങ്കിലും തിരഞ്ഞെടുക്കുക.")</f>
        <v>കുറഞ്ഞത് ഒരു വാഹന തരമെങ്കിലും തിരഞ്ഞെടുക്കുക.</v>
      </c>
      <c r="G1156" s="7" t="str">
        <f>IFERROR(__xludf.DUMMYFUNCTION("GOOGLETRANSLATE(B1156, ""en"", ""te"")"),"దయచేసి కనీసం ఒక వాహన రకాన్ని ఎంచుకోండి")</f>
        <v>దయచేసి కనీసం ఒక వాహన రకాన్ని ఎంచుకోండి</v>
      </c>
    </row>
    <row r="1157">
      <c r="A1157" s="12" t="s">
        <v>2791</v>
      </c>
      <c r="B1157" s="13" t="s">
        <v>2792</v>
      </c>
      <c r="C1157" s="8" t="str">
        <f>IFERROR(__xludf.DUMMYFUNCTION("GOOGLETRANSLATE(B1157, ""en"", ""ta"")"),"வாகன கையாளுதல்")</f>
        <v>வாகன கையாளுதல்</v>
      </c>
      <c r="D1157" s="6" t="str">
        <f>IFERROR(__xludf.DUMMYFUNCTION("GOOGLETRANSLATE(B1157, ""en"", ""hi"")"),"वाहन संचालन")</f>
        <v>वाहन संचालन</v>
      </c>
      <c r="E1157" s="6" t="str">
        <f>IFERROR(__xludf.DUMMYFUNCTION("GOOGLETRANSLATE(B1157, ""en"", ""kn"")"),"ವಾಹನ ನಿರ್ವಹಣೆ")</f>
        <v>ವಾಹನ ನಿರ್ವಹಣೆ</v>
      </c>
      <c r="F1157" s="7" t="str">
        <f>IFERROR(__xludf.DUMMYFUNCTION("GOOGLETRANSLATE(B1157, ""en"", ""ml"")"),"വാഹന കൈകാര്യം ചെയ്യൽ")</f>
        <v>വാഹന കൈകാര്യം ചെയ്യൽ</v>
      </c>
      <c r="G1157" s="7" t="str">
        <f>IFERROR(__xludf.DUMMYFUNCTION("GOOGLETRANSLATE(B1157, ""en"", ""te"")"),"వాహన నిర్వహణ")</f>
        <v>వాహన నిర్వహణ</v>
      </c>
    </row>
    <row r="1158">
      <c r="A1158" s="12" t="s">
        <v>2793</v>
      </c>
      <c r="B1158" s="13" t="s">
        <v>2794</v>
      </c>
      <c r="C1158" s="8" t="str">
        <f>IFERROR(__xludf.DUMMYFUNCTION("GOOGLETRANSLATE(B1158, ""en"", ""ta"")"),"இயக்கப்படும் வாகன வகைகள்")</f>
        <v>இயக்கப்படும் வாகன வகைகள்</v>
      </c>
      <c r="D1158" s="6" t="str">
        <f>IFERROR(__xludf.DUMMYFUNCTION("GOOGLETRANSLATE(B1158, ""en"", ""hi"")"),"वाहन के प्रकार जो चलाए जाते हैं")</f>
        <v>वाहन के प्रकार जो चलाए जाते हैं</v>
      </c>
      <c r="E1158" s="6" t="str">
        <f>IFERROR(__xludf.DUMMYFUNCTION("GOOGLETRANSLATE(B1158, ""en"", ""kn"")"),"ಚಾಲನೆ ಮಾಡುವ ವಾಹನಗಳ ವಿಧಗಳು")</f>
        <v>ಚಾಲನೆ ಮಾಡುವ ವಾಹನಗಳ ವಿಧಗಳು</v>
      </c>
      <c r="F1158" s="7" t="str">
        <f>IFERROR(__xludf.DUMMYFUNCTION("GOOGLETRANSLATE(B1158, ""en"", ""ml"")"),"ഓടിക്കുന്ന വാഹന തരങ്ങൾ")</f>
        <v>ഓടിക്കുന്ന വാഹന തരങ്ങൾ</v>
      </c>
      <c r="G1158" s="7" t="str">
        <f>IFERROR(__xludf.DUMMYFUNCTION("GOOGLETRANSLATE(B1158, ""en"", ""te"")"),"నడపబడే వాహన రకాలు")</f>
        <v>నడపబడే వాహన రకాలు</v>
      </c>
    </row>
    <row r="1159">
      <c r="A1159" s="12" t="s">
        <v>2795</v>
      </c>
      <c r="B1159" s="13" t="s">
        <v>2796</v>
      </c>
      <c r="C1159" s="8" t="str">
        <f>IFERROR(__xludf.DUMMYFUNCTION("GOOGLETRANSLATE(B1159, ""en"", ""ta"")"),"பொருந்தக்கூடிய அனைத்தையும் தேர்ந்தெடுக்கவும்")</f>
        <v>பொருந்தக்கூடிய அனைத்தையும் தேர்ந்தெடுக்கவும்</v>
      </c>
      <c r="D1159" s="6" t="str">
        <f>IFERROR(__xludf.DUMMYFUNCTION("GOOGLETRANSLATE(B1159, ""en"", ""hi"")"),"उन सभी विकल्पों का चयन करें जो लागू होते हैं।")</f>
        <v>उन सभी विकल्पों का चयन करें जो लागू होते हैं।</v>
      </c>
      <c r="E1159" s="6" t="str">
        <f>IFERROR(__xludf.DUMMYFUNCTION("GOOGLETRANSLATE(B1159, ""en"", ""kn"")"),"ಅನ್ವಯವಾಗುವ ಎಲ್ಲವನ್ನೂ ಆಯ್ಕೆಮಾಡಿ")</f>
        <v>ಅನ್ವಯವಾಗುವ ಎಲ್ಲವನ್ನೂ ಆಯ್ಕೆಮಾಡಿ</v>
      </c>
      <c r="F1159" s="7" t="str">
        <f>IFERROR(__xludf.DUMMYFUNCTION("GOOGLETRANSLATE(B1159, ""en"", ""ml"")"),"ബാധകമായതെല്ലാം തിരഞ്ഞെടുക്കുക")</f>
        <v>ബാധകമായതെല്ലാം തിരഞ്ഞെടുക്കുക</v>
      </c>
      <c r="G1159" s="7" t="str">
        <f>IFERROR(__xludf.DUMMYFUNCTION("GOOGLETRANSLATE(B1159, ""en"", ""te"")"),"వర్తించేవన్నీ ఎంచుకోండి")</f>
        <v>వర్తించేవన్నీ ఎంచుకోండి</v>
      </c>
    </row>
    <row r="1160">
      <c r="A1160" s="12" t="s">
        <v>2797</v>
      </c>
      <c r="B1160" s="13" t="s">
        <v>2798</v>
      </c>
      <c r="C1160" s="8" t="str">
        <f>IFERROR(__xludf.DUMMYFUNCTION("GOOGLETRANSLATE(B1160, ""en"", ""ta"")"),"பரிமாற்ற வகை")</f>
        <v>பரிமாற்ற வகை</v>
      </c>
      <c r="D1160" s="6" t="str">
        <f>IFERROR(__xludf.DUMMYFUNCTION("GOOGLETRANSLATE(B1160, ""en"", ""hi"")"),"संचरण प्रकार")</f>
        <v>संचरण प्रकार</v>
      </c>
      <c r="E1160" s="6" t="str">
        <f>IFERROR(__xludf.DUMMYFUNCTION("GOOGLETRANSLATE(B1160, ""en"", ""kn"")"),"ಪ್ರಸರಣ ಪ್ರಕಾರ")</f>
        <v>ಪ್ರಸರಣ ಪ್ರಕಾರ</v>
      </c>
      <c r="F1160" s="7" t="str">
        <f>IFERROR(__xludf.DUMMYFUNCTION("GOOGLETRANSLATE(B1160, ""en"", ""ml"")"),"ട്രാൻസ്മിഷൻ തരം")</f>
        <v>ട്രാൻസ്മിഷൻ തരം</v>
      </c>
      <c r="G1160" s="7" t="str">
        <f>IFERROR(__xludf.DUMMYFUNCTION("GOOGLETRANSLATE(B1160, ""en"", ""te"")"),"ప్రసార రకం")</f>
        <v>ప్రసార రకం</v>
      </c>
    </row>
    <row r="1161">
      <c r="A1161" s="12" t="s">
        <v>2799</v>
      </c>
      <c r="B1161" s="13" t="s">
        <v>2800</v>
      </c>
      <c r="C1161" s="8" t="str">
        <f>IFERROR(__xludf.DUMMYFUNCTION("GOOGLETRANSLATE(B1161, ""en"", ""ta"")"),"கையாளப்படும் எரிபொருள் வகைகள்")</f>
        <v>கையாளப்படும் எரிபொருள் வகைகள்</v>
      </c>
      <c r="D1161" s="6" t="str">
        <f>IFERROR(__xludf.DUMMYFUNCTION("GOOGLETRANSLATE(B1161, ""en"", ""hi"")"),"संभाले जाने वाले ईंधन के प्रकार")</f>
        <v>संभाले जाने वाले ईंधन के प्रकार</v>
      </c>
      <c r="E1161" s="6" t="str">
        <f>IFERROR(__xludf.DUMMYFUNCTION("GOOGLETRANSLATE(B1161, ""en"", ""kn"")"),"ನಿರ್ವಹಿಸಲಾದ ಇಂಧನ ವಿಧಗಳು")</f>
        <v>ನಿರ್ವಹಿಸಲಾದ ಇಂಧನ ವಿಧಗಳು</v>
      </c>
      <c r="F1161" s="7" t="str">
        <f>IFERROR(__xludf.DUMMYFUNCTION("GOOGLETRANSLATE(B1161, ""en"", ""ml"")"),"കൈകാര്യം ചെയ്യുന്ന ഇന്ധന തരങ്ങൾ")</f>
        <v>കൈകാര്യം ചെയ്യുന്ന ഇന്ധന തരങ്ങൾ</v>
      </c>
      <c r="G1161" s="7" t="str">
        <f>IFERROR(__xludf.DUMMYFUNCTION("GOOGLETRANSLATE(B1161, ""en"", ""te"")"),"నిర్వహించబడే ఇంధన రకాలు")</f>
        <v>నిర్వహించబడే ఇంధన రకాలు</v>
      </c>
    </row>
    <row r="1162">
      <c r="A1162" s="12" t="s">
        <v>2801</v>
      </c>
      <c r="B1162" s="13" t="s">
        <v>2802</v>
      </c>
      <c r="C1162" s="8" t="str">
        <f>IFERROR(__xludf.DUMMYFUNCTION("GOOGLETRANSLATE(B1162, ""en"", ""ta"")"),"இரவு நேர ஓட்டுநர் அனுபவம்")</f>
        <v>இரவு நேர ஓட்டுநர் அனுபவம்</v>
      </c>
      <c r="D1162" s="6" t="str">
        <f>IFERROR(__xludf.DUMMYFUNCTION("GOOGLETRANSLATE(B1162, ""en"", ""hi"")"),"रात्रि ड्राइविंग अनुभव")</f>
        <v>रात्रि ड्राइविंग अनुभव</v>
      </c>
      <c r="E1162" s="6" t="str">
        <f>IFERROR(__xludf.DUMMYFUNCTION("GOOGLETRANSLATE(B1162, ""en"", ""kn"")"),"ರಾತ್ರಿ ಚಾಲನಾ ಅನುಭವ")</f>
        <v>ರಾತ್ರಿ ಚಾಲನಾ ಅನುಭವ</v>
      </c>
      <c r="F1162" s="7" t="str">
        <f>IFERROR(__xludf.DUMMYFUNCTION("GOOGLETRANSLATE(B1162, ""en"", ""ml"")"),"രാത്രി ഡ്രൈവിംഗ് അനുഭവം")</f>
        <v>രാത്രി ഡ്രൈവിംഗ് അനുഭവം</v>
      </c>
      <c r="G1162" s="7" t="str">
        <f>IFERROR(__xludf.DUMMYFUNCTION("GOOGLETRANSLATE(B1162, ""en"", ""te"")"),"రాత్రి డ్రైవింగ్ అనుభవం")</f>
        <v>రాత్రి డ్రైవింగ్ అనుభవం</v>
      </c>
    </row>
    <row r="1163">
      <c r="A1163" s="12" t="s">
        <v>2803</v>
      </c>
      <c r="B1163" s="13" t="s">
        <v>2804</v>
      </c>
      <c r="C1163" s="8" t="str">
        <f>IFERROR(__xludf.DUMMYFUNCTION("GOOGLETRANSLATE(B1163, ""en"", ""ta"")"),"நீண்ட தூர பயண அனுபவம்")</f>
        <v>நீண்ட தூர பயண அனுபவம்</v>
      </c>
      <c r="D1163" s="6" t="str">
        <f>IFERROR(__xludf.DUMMYFUNCTION("GOOGLETRANSLATE(B1163, ""en"", ""hi"")"),"लंबी दूरी की यात्रा का अनुभव")</f>
        <v>लंबी दूरी की यात्रा का अनुभव</v>
      </c>
      <c r="E1163" s="6" t="str">
        <f>IFERROR(__xludf.DUMMYFUNCTION("GOOGLETRANSLATE(B1163, ""en"", ""kn"")"),"ದೂರದ ಪ್ರಯಾಣದ ಅನುಭವ")</f>
        <v>ದೂರದ ಪ್ರಯಾಣದ ಅನುಭವ</v>
      </c>
      <c r="F1163" s="7" t="str">
        <f>IFERROR(__xludf.DUMMYFUNCTION("GOOGLETRANSLATE(B1163, ""en"", ""ml"")"),"ദീർഘദൂര യാത്രാനുഭവം")</f>
        <v>ദീർഘദൂര യാത്രാനുഭവം</v>
      </c>
      <c r="G1163" s="7" t="str">
        <f>IFERROR(__xludf.DUMMYFUNCTION("GOOGLETRANSLATE(B1163, ""en"", ""te"")"),"సుదూర ప్రయాణ అనుభవం")</f>
        <v>సుదూర ప్రయాణ అనుభవం</v>
      </c>
    </row>
    <row r="1164">
      <c r="A1164" s="12" t="s">
        <v>2805</v>
      </c>
      <c r="B1164" s="13" t="s">
        <v>2806</v>
      </c>
      <c r="C1164" s="8" t="str">
        <f>IFERROR(__xludf.DUMMYFUNCTION("GOOGLETRANSLATE(B1164, ""en"", ""ta"")"),"உங்கள் மொத்த ஓட்டுநர் அனுபவத்தைத் தேர்ந்தெடுக்கவும்.")</f>
        <v>உங்கள் மொத்த ஓட்டுநர் அனுபவத்தைத் தேர்ந்தெடுக்கவும்.</v>
      </c>
      <c r="D1164" s="6" t="str">
        <f>IFERROR(__xludf.DUMMYFUNCTION("GOOGLETRANSLATE(B1164, ""en"", ""hi"")"),"कृपया अपने संपूर्ण ड्राइविंग अनुभव का चयन करें।")</f>
        <v>कृपया अपने संपूर्ण ड्राइविंग अनुभव का चयन करें।</v>
      </c>
      <c r="E1164" s="6" t="str">
        <f>IFERROR(__xludf.DUMMYFUNCTION("GOOGLETRANSLATE(B1164, ""en"", ""kn"")"),"ದಯವಿಟ್ಟು ನಿಮ್ಮ ಒಟ್ಟು ಚಾಲನಾ ಅನುಭವವನ್ನು ಆಯ್ಕೆಮಾಡಿ.")</f>
        <v>ದಯವಿಟ್ಟು ನಿಮ್ಮ ಒಟ್ಟು ಚಾಲನಾ ಅನುಭವವನ್ನು ಆಯ್ಕೆಮಾಡಿ.</v>
      </c>
      <c r="F1164" s="7" t="str">
        <f>IFERROR(__xludf.DUMMYFUNCTION("GOOGLETRANSLATE(B1164, ""en"", ""ml"")"),"നിങ്ങളുടെ മൊത്തം ഡ്രൈവിംഗ് അനുഭവം തിരഞ്ഞെടുക്കുക.")</f>
        <v>നിങ്ങളുടെ മൊത്തം ഡ്രൈവിംഗ് അനുഭവം തിരഞ്ഞെടുക്കുക.</v>
      </c>
      <c r="G1164" s="7" t="str">
        <f>IFERROR(__xludf.DUMMYFUNCTION("GOOGLETRANSLATE(B1164, ""en"", ""te"")"),"దయచేసి మీ మొత్తం డ్రైవింగ్ అనుభవాన్ని ఎంచుకోండి")</f>
        <v>దయచేసి మీ మొత్తం డ్రైవింగ్ అనుభవాన్ని ఎంచుకోండి</v>
      </c>
    </row>
    <row r="1165">
      <c r="A1165" s="12" t="s">
        <v>2773</v>
      </c>
      <c r="B1165" s="13" t="s">
        <v>2774</v>
      </c>
      <c r="C1165" s="8" t="str">
        <f>IFERROR(__xludf.DUMMYFUNCTION("GOOGLETRANSLATE(B1165, ""en"", ""ta"")"),"ஓட்டுநர் அனுபவம்")</f>
        <v>ஓட்டுநர் அனுபவம்</v>
      </c>
      <c r="D1165" s="6" t="str">
        <f>IFERROR(__xludf.DUMMYFUNCTION("GOOGLETRANSLATE(B1165, ""en"", ""hi"")"),"ड्राइविंग अनुभव")</f>
        <v>ड्राइविंग अनुभव</v>
      </c>
      <c r="E1165" s="6" t="str">
        <f>IFERROR(__xludf.DUMMYFUNCTION("GOOGLETRANSLATE(B1165, ""en"", ""kn"")"),"ಚಾಲನಾ ಅನುಭವ")</f>
        <v>ಚಾಲನಾ ಅನುಭವ</v>
      </c>
      <c r="F1165" s="7" t="str">
        <f>IFERROR(__xludf.DUMMYFUNCTION("GOOGLETRANSLATE(B1165, ""en"", ""ml"")"),"ഡ്രൈവിംഗ് അനുഭവം")</f>
        <v>ഡ്രൈവിംഗ് അനുഭവം</v>
      </c>
      <c r="G1165" s="7" t="str">
        <f>IFERROR(__xludf.DUMMYFUNCTION("GOOGLETRANSLATE(B1165, ""en"", ""te"")"),"డ్రైవింగ్ అనుభవం")</f>
        <v>డ్రైవింగ్ అనుభవం</v>
      </c>
    </row>
    <row r="1166">
      <c r="A1166" s="12" t="s">
        <v>2791</v>
      </c>
      <c r="B1166" s="13" t="s">
        <v>2792</v>
      </c>
      <c r="C1166" s="8" t="str">
        <f>IFERROR(__xludf.DUMMYFUNCTION("GOOGLETRANSLATE(B1166, ""en"", ""ta"")"),"வாகன கையாளுதல்")</f>
        <v>வாகன கையாளுதல்</v>
      </c>
      <c r="D1166" s="6" t="str">
        <f>IFERROR(__xludf.DUMMYFUNCTION("GOOGLETRANSLATE(B1166, ""en"", ""hi"")"),"वाहन संचालन")</f>
        <v>वाहन संचालन</v>
      </c>
      <c r="E1166" s="6" t="str">
        <f>IFERROR(__xludf.DUMMYFUNCTION("GOOGLETRANSLATE(B1166, ""en"", ""kn"")"),"ವಾಹನ ನಿರ್ವಹಣೆ")</f>
        <v>ವಾಹನ ನಿರ್ವಹಣೆ</v>
      </c>
      <c r="F1166" s="7" t="str">
        <f>IFERROR(__xludf.DUMMYFUNCTION("GOOGLETRANSLATE(B1166, ""en"", ""ml"")"),"വാഹന കൈകാര്യം ചെയ്യൽ")</f>
        <v>വാഹന കൈകാര്യം ചെയ്യൽ</v>
      </c>
      <c r="G1166" s="7" t="str">
        <f>IFERROR(__xludf.DUMMYFUNCTION("GOOGLETRANSLATE(B1166, ""en"", ""te"")"),"వాహన నిర్వహణ")</f>
        <v>వాహన నిర్వహణ</v>
      </c>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ataValidations>
    <dataValidation type="list" allowBlank="1" showErrorMessage="1" sqref="B566">
      <formula1>"We’re here to help. Contact us anytime."</formula1>
    </dataValidation>
  </dataValidations>
  <drawing r:id="rId1"/>
</worksheet>
</file>