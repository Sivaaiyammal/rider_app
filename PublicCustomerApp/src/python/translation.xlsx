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<sst xmlns="http://schemas.openxmlformats.org/spreadsheetml/2006/main" count="2883" uniqueCount="2764">
  <si>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</si>
  <si>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</si>
  <si>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</si>
  <si>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</si>
  <si>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</si>
  <si>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</si>
  <si>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</si>
  <si>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</si>
  <si>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</si>
  <si>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</si>
  <si>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</si>
  <si>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</si>
  <si>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</si>
  <si>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</si>
  <si>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</si>
  <si>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</si>
  <si>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</si>
  <si>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</si>
  <si>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</si>
  <si>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</si>
  <si>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</si>
  <si>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</si>
  <si>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</si>
  <si>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</si>
  <si>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</si>
  <si>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</si>
  <si>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</si>
  <si>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</si>
  <si>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</si>
  <si>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</si>
  <si>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</si>
  <si>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</si>
  <si>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</si>
  <si>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</si>
  <si>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</si>
  <si>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</si>
  <si>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</si>
  <si>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</si>
  <si>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</si>
  <si>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</si>
  <si>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</si>
  <si>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</si>
  <si>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</si>
  <si>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</si>
  <si>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</si>
  <si>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</si>
  <si>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</si>
  <si>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</si>
  <si>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</si>
  <si>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</si>
  <si>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</si>
  <si>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</si>
  <si>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</si>
  <si>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</si>
  <si>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</si>
  <si>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</si>
  <si>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</si>
  <si>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</si>
  <si>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</si>
  <si>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</si>
  <si>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</si>
  <si>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</si>
  <si>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</si>
  <si>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</si>
  <si>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</si>
  <si>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</si>
  <si>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</si>
  <si>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</si>
  <si>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</si>
  <si>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</si>
  <si>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</si>
  <si>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</si>
  <si>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</si>
  <si>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</si>
  <si>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</si>
  <si>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</si>
  <si>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</si>
  <si>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</si>
  <si>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</si>
  <si>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</si>
  <si>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</si>
  <si>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</si>
  <si>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</si>
  <si>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</si>
  <si>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</si>
  <si>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</si>
  <si>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</si>
  <si>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</si>
  <si>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</si>
  <si>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</si>
  <si>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</si>
  <si>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</si>
  <si>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</si>
  <si>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</si>
  <si>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</si>
  <si>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</si>
  <si>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</si>
  <si>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</si>
  <si>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</si>
  <si>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</si>
  <si>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</si>
  <si>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</si>
  <si>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</si>
  <si>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</si>
  <si>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</si>
  <si>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</si>
  <si>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</si>
  <si>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</si>
  <si>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</si>
  <si>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</si>
  <si>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</si>
  <si>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</si>
  <si>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</si>
  <si>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</si>
  <si>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</si>
  <si>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</si>
  <si>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</si>
  <si>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</si>
  <si>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</si>
  <si>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</si>
  <si>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</si>
  <si>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</si>
  <si>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</si>
  <si>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</si>
  <si>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</si>
  <si>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</si>
  <si>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</si>
  <si>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</si>
  <si>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</si>
  <si>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</si>
  <si>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</si>
  <si>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</si>
  <si>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</si>
  <si>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</si>
  <si>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</si>
  <si>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</si>
  <si>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</si>
  <si>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</si>
  <si>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</si>
  <si>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</si>
  <si>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</si>
  <si>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</si>
  <si>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</si>
  <si>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</si>
  <si>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</si>
  <si>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</si>
  <si>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</si>
  <si>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</si>
  <si>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</si>
  <si>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</si>
  <si>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</si>
  <si>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</si>
  <si>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</si>
  <si>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</si>
  <si>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</si>
  <si>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</si>
  <si>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</si>
  <si>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</si>
  <si>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</si>
  <si>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</si>
  <si>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</si>
  <si>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</si>
  <si>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</si>
  <si>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</si>
  <si>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</si>
  <si>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</si>
  <si>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</si>
  <si>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</si>
  <si>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</si>
  <si>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</si>
  <si>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</si>
  <si>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</si>
  <si>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</si>
  <si>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</si>
  <si>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</si>
  <si>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</si>
  <si>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</si>
  <si>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</si>
  <si>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</si>
  <si>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</si>
  <si>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</si>
  <si>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</si>
  <si>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</si>
  <si>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</si>
  <si>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</si>
  <si>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</si>
  <si>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</si>
  <si>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</si>
  <si>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</si>
  <si>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</si>
  <si>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</si>
  <si>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</si>
  <si>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</si>
  <si>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</si>
  <si>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</si>
  <si>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</si>
  <si>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</si>
  <si>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</si>
  <si>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</si>
  <si>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</si>
  <si>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</si>
  <si>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</si>
  <si>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</si>
  <si>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</si>
  <si>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</si>
  <si>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</si>
  <si>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</si>
  <si>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</si>
  <si>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</si>
  <si>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</si>
  <si>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</si>
  <si>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</si>
  <si>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</si>
  <si>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</si>
  <si>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</si>
  <si>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</si>
  <si>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</si>
  <si>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</si>
  <si>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</si>
  <si>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</si>
  <si>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</si>
  <si>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</si>
  <si>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</si>
  <si>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</si>
  <si>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</si>
  <si>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</si>
  <si>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</si>
  <si>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</si>
  <si>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</si>
  <si>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</si>
  <si>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</si>
  <si>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</si>
  <si>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</si>
  <si>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</si>
  <si>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</si>
  <si>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</si>
  <si>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</si>
  <si>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</si>
  <si>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</si>
  <si>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</si>
  <si>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</si>
  <si>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</si>
  <si>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</si>
  <si>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</si>
  <si>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</si>
  <si>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</si>
  <si>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</si>
  <si>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</si>
  <si>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</si>
  <si>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</si>
  <si>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</si>
  <si>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</si>
  <si>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</si>
  <si>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</si>
  <si>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</si>
  <si>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</si>
  <si>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</si>
  <si>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</si>
  <si>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</si>
  <si>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</si>
  <si>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</si>
  <si>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</si>
  <si>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</si>
  <si>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</si>
  <si>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</si>
  <si>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</si>
  <si>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</si>
  <si>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</si>
  <si>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</si>
  <si>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</si>
  <si>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</si>
  <si>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</si>
  <si>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</si>
  <si>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</si>
  <si>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</si>
  <si>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</si>
  <si>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</si>
  <si>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</si>
  <si>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</si>
  <si>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</si>
  <si>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</si>
  <si>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</si>
  <si>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</si>
  <si>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</si>
  <si>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</si>
  <si>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</si>
  <si>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</si>
  <si>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</si>
  <si>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</si>
  <si>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</si>
  <si>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</si>
  <si>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</si>
  <si>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</si>
  <si>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</si>
  <si>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</si>
  <si>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</si>
  <si>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</si>
  <si>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</si>
  <si>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</si>
  <si>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</si>
  <si>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</si>
  <si>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</si>
  <si>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</si>
  <si>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</si>
  <si>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</si>
  <si>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</si>
  <si>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</si>
  <si>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</si>
  <si>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</si>
  <si>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</si>
  <si>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</si>
  <si>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</si>
  <si>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</si>
  <si>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</si>
  <si>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</si>
  <si>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</si>
  <si>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</si>
  <si>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</si>
  <si>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</si>
  <si>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</si>
  <si>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</si>
  <si>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</si>
  <si>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</si>
  <si>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</si>
  <si>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</si>
  <si>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</si>
  <si>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</si>
  <si>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</si>
  <si>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</si>
  <si>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</si>
  <si>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</si>
  <si>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</si>
  <si>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</si>
  <si>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</si>
  <si>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</si>
  <si>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</si>
  <si>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</si>
  <si>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</si>
  <si>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</si>
  <si>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</si>
  <si>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</si>
  <si>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</si>
  <si>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</si>
  <si>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</si>
  <si>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</si>
  <si>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</si>
  <si>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</si>
  <si>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</si>
  <si>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</si>
  <si>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</si>
  <si>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</si>
  <si>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</si>
  <si>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</si>
  <si>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</si>
  <si>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</si>
  <si>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</si>
  <si>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</si>
  <si>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</si>
  <si>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</si>
  <si>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</si>
  <si>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</si>
  <si>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</si>
  <si>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</si>
  <si>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</si>
  <si>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</si>
  <si>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</si>
  <si>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</si>
  <si>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</si>
  <si>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</si>
  <si>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</si>
  <si>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</si>
  <si>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</si>
  <si>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</si>
  <si>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</si>
  <si>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</si>
  <si>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</si>
  <si>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</si>
  <si>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</si>
  <si>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</si>
  <si>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</si>
  <si>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</si>
  <si>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</si>
  <si>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</si>
  <si>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</si>
  <si>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</si>
  <si>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</si>
  <si>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</si>
  <si>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</si>
  <si>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</si>
  <si>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</si>
  <si>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</si>
  <si>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</si>
  <si>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</si>
  <si>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</si>
  <si>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</si>
  <si>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</si>
  <si>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</si>
  <si>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</si>
  <si>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</si>
  <si>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</si>
  <si>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</si>
  <si>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</si>
  <si>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</si>
  <si>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</si>
  <si>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</si>
  <si>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</si>
  <si>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</si>
  <si>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</si>
  <si>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</si>
  <si>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</si>
  <si>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</si>
  <si>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</si>
  <si>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</si>
  <si>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</si>
  <si>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</si>
  <si>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</si>
  <si>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</si>
  <si>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</si>
  <si>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</si>
  <si>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</si>
  <si>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</si>
  <si>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</si>
  <si>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</si>
  <si>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</si>
  <si>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</si>
  <si>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</si>
  <si>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</si>
  <si>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</si>
  <si>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</si>
  <si>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</si>
  <si>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</si>
  <si>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</si>
  <si>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</si>
  <si>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</si>
  <si>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</si>
  <si>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</si>
  <si>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</si>
  <si>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</si>
  <si>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</si>
  <si>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</si>
  <si>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</si>
  <si>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</si>
  <si>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</si>
  <si>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</si>
  <si>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</si>
  <si>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</si>
  <si>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</si>
  <si>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</si>
  <si>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</si>
  <si>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</si>
  <si>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</si>
  <si>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</si>
  <si>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</si>
  <si>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</si>
  <si>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</si>
  <si>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</si>
  <si>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</si>
  <si>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</si>
  <si>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</si>
  <si>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</si>
  <si>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</si>
  <si>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</si>
  <si>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</si>
  <si>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</si>
  <si>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</si>
  <si>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</si>
  <si>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</si>
  <si>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</si>
  <si>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</si>
  <si>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</si>
  <si>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</si>
  <si>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</si>
  <si>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</si>
  <si>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</si>
  <si>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</si>
  <si>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</si>
  <si>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</si>
  <si>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</si>
  <si>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</si>
  <si>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</si>
  <si>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</si>
  <si>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</si>
  <si>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</si>
  <si>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</si>
  <si>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</si>
  <si>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</si>
  <si>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</si>
  <si>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</si>
  <si>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</si>
  <si>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</si>
  <si>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</si>
  <si>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</si>
  <si>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</si>
  <si>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</si>
  <si>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</si>
  <si>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</si>
  <si>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</si>
  <si>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</si>
  <si>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</si>
  <si>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</si>
  <si>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</si>
  <si>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</si>
  <si>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</si>
  <si>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</si>
  <si>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</si>
  <si>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</si>
  <si>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</si>
  <si>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</si>
  <si>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</si>
  <si>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</si>
  <si>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</si>
  <si>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</si>
  <si>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</si>
  <si>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</si>
  <si>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</si>
  <si>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</si>
  <si>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</si>
  <si>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</si>
  <si>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</si>
  <si>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</si>
  <si>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</si>
  <si>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</si>
  <si>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</si>
  <si>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</si>
  <si>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</si>
  <si>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</si>
  <si>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</si>
  <si>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</si>
  <si>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</si>
  <si>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</si>
  <si>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</si>
  <si>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</si>
  <si>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</si>
  <si>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</si>
  <si>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</si>
  <si>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</si>
  <si>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</si>
  <si>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</si>
  <si>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</si>
  <si>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</si>
  <si>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</si>
  <si>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</si>
  <si>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</si>
  <si>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</si>
  <si>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</si>
  <si>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</si>
  <si>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</si>
  <si>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</si>
  <si>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</si>
  <si>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</si>
  <si>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</si>
  <si>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</si>
  <si>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</si>
  <si>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</si>
  <si>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</si>
  <si>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</si>
  <si>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</si>
  <si>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</si>
  <si>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</si>
  <si>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</si>
  <si>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</si>
  <si>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</si>
  <si>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</si>
  <si>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</si>
  <si>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</si>
  <si>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</si>
  <si>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</si>
  <si>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</si>
  <si>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</si>
  <si>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</si>
  <si>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</si>
  <si>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</si>
  <si>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</si>
  <si>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</si>
  <si>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</si>
  <si>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</si>
  <si>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</si>
  <si>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</si>
  <si>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</si>
  <si>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</si>
  <si>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</si>
  <si>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</si>
  <si>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</si>
  <si>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</si>
  <si>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</si>
  <si>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</si>
  <si>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</si>
  <si>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</si>
  <si>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</si>
  <si>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</si>
  <si>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</si>
  <si>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</si>
  <si>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</si>
  <si>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</si>
  <si>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</si>
  <si>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</si>
  <si>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</si>
  <si>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</si>
  <si>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</si>
  <si>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</si>
  <si>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</si>
  <si>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</si>
  <si>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</si>
  <si>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</si>
  <si>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</si>
  <si>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</si>
  <si>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</si>
  <si>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</si>
  <si>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</si>
  <si>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</si>
  <si>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</si>
  <si>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</si>
  <si>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</si>
  <si>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</si>
  <si>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</si>
  <si>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</si>
  <si>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</si>
  <si>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</si>
  <si>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</si>
  <si>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</si>
  <si>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</si>
  <si>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</si>
  <si>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</si>
  <si>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</si>
  <si>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</si>
  <si>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</si>
  <si>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</si>
  <si>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</si>
  <si>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</si>
  <si>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</si>
  <si>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</si>
  <si>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</si>
  <si>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</si>
  <si>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</si>
  <si>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</si>
  <si>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</si>
  <si>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</si>
  <si>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</si>
  <si>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</si>
  <si>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</si>
  <si>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</si>
  <si>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</si>
  <si>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</si>
  <si>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</si>
  <si>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</si>
  <si>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</si>
  <si>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</si>
  <si>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</si>
  <si>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</si>
  <si>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</si>
  <si>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</si>
  <si>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</si>
  <si>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</si>
  <si>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</si>
  <si>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</si>
  <si>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</si>
  <si>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</si>
  <si>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</si>
  <si>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</si>
  <si>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</si>
  <si>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</si>
  <si>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</si>
  <si>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</si>
  <si>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</si>
  <si>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</si>
  <si>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</si>
  <si>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</si>
  <si>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</si>
  <si>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</si>
  <si>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</si>
  <si>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</si>
  <si>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</si>
  <si>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</si>
  <si>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</si>
  <si>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</si>
  <si>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</si>
  <si>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</si>
  <si>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</si>
  <si>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</si>
  <si>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</si>
  <si>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</si>
  <si>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</si>
  <si>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</si>
  <si>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</si>
  <si>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</si>
  <si>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</si>
  <si>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</si>
  <si>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</si>
  <si>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</si>
  <si>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</si>
  <si>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</si>
  <si>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</si>
  <si>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</si>
  <si>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</si>
  <si>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</si>
  <si>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</si>
  <si>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</si>
  <si>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</si>
  <si>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</si>
  <si>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</si>
  <si>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</si>
  <si>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</si>
  <si>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</si>
  <si>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</si>
  <si>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</si>
  <si>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</si>
  <si>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</si>
  <si>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</si>
  <si>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</si>
  <si>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</si>
  <si>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</si>
  <si>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</si>
  <si>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</si>
  <si>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</si>
  <si>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</si>
  <si>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</si>
  <si>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</si>
  <si>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</si>
  <si>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</si>
  <si>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</si>
  <si>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</si>
  <si>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</si>
  <si>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</si>
  <si>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</si>
  <si>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</si>
  <si>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</si>
  <si>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</si>
  <si>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</si>
  <si>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</si>
  <si>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</si>
  <si>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</si>
  <si>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</si>
  <si>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</si>
  <si>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</si>
  <si>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</si>
  <si>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</si>
  <si>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</si>
  <si>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</si>
  <si>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</si>
  <si>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</si>
  <si>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</si>
  <si>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</si>
  <si>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</si>
  <si>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</si>
  <si>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</si>
  <si>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</si>
  <si>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</si>
  <si>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</si>
  <si>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</si>
  <si>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</si>
  <si>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</si>
  <si>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</si>
  <si>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</si>
  <si>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</si>
  <si>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</si>
  <si>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</si>
  <si>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</si>
  <si>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</si>
  <si>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</si>
  <si>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</si>
  <si>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</si>
  <si>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</si>
  <si>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</si>
  <si>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</si>
  <si>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</si>
  <si>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</si>
  <si>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</si>
  <si>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</si>
  <si>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</si>
  <si>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</si>
  <si>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</si>
  <si>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</si>
  <si>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</si>
  <si>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</si>
  <si>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</si>
  <si>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</si>
  <si>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</si>
  <si>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</si>
  <si>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</si>
  <si>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</si>
  <si>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</si>
  <si>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</si>
  <si>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</si>
  <si>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</si>
  <si>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</si>
  <si>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</si>
  <si>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</si>
  <si>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</si>
  <si>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</si>
  <si>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</si>
  <si>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</si>
  <si>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</si>
  <si>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</si>
  <si>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</si>
  <si>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</si>
  <si>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</si>
  <si>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</si>
  <si>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</si>
  <si>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</si>
  <si>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</si>
  <si>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</si>
  <si>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</si>
  <si>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</si>
  <si>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</si>
  <si>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</si>
  <si>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</si>
  <si>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</si>
  <si>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</si>
  <si>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</si>
  <si>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</si>
  <si>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</si>
  <si>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</si>
  <si>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</si>
  <si>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</si>
  <si>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</si>
  <si>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</si>
  <si>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</si>
  <si>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</si>
  <si>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</si>
  <si>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</si>
  <si>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</si>
  <si>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</si>
  <si>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</si>
  <si>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</si>
  <si>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</si>
  <si>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</si>
  <si>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</si>
  <si>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</si>
  <si>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</si>
  <si>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</si>
  <si>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</si>
  <si>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</si>
  <si>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</si>
  <si>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</si>
  <si>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</si>
  <si>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</si>
  <si>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</si>
  <si>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</si>
  <si>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</si>
  <si>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</si>
  <si>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</si>
  <si>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</si>
  <si>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</si>
  <si>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</si>
  <si>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</si>
  <si>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</si>
  <si>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</si>
  <si>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</si>
  <si>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</si>
  <si>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</si>
  <si>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</si>
  <si>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</si>
  <si>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</si>
  <si>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</si>
  <si>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</si>
  <si>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</si>
  <si>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</si>
  <si>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</si>
  <si>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</si>
  <si>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</si>
  <si>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</si>
  <si>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</si>
  <si>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</si>
  <si>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</si>
  <si>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</si>
  <si>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</si>
  <si>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</si>
  <si>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</si>
  <si>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</si>
  <si>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</si>
  <si>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</si>
  <si>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</si>
  <si>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</si>
  <si>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</si>
  <si>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</si>
  <si>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</si>
  <si>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</si>
  <si>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</si>
  <si>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</si>
  <si>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</si>
  <si>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</si>
  <si>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</si>
  <si>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</si>
  <si>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</si>
  <si>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</si>
  <si>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</si>
  <si>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</si>
  <si>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</si>
  <si>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</si>
  <si>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</si>
  <si>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</si>
  <si>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</si>
  <si>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</si>
  <si>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</si>
  <si>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</si>
  <si>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</si>
  <si>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</si>
  <si>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</si>
  <si>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</si>
  <si>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</si>
  <si>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</si>
  <si>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</si>
  <si>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</si>
  <si>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</si>
  <si>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</si>
  <si>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</si>
  <si>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</si>
  <si>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</si>
  <si>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</si>
  <si>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</si>
  <si>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</si>
  <si>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</si>
  <si>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</si>
  <si>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</si>
  <si>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</si>
  <si>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</si>
  <si>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</si>
  <si>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</si>
  <si>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</si>
  <si>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</si>
  <si>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</si>
  <si>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</si>
  <si>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</si>
  <si>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</si>
  <si>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</si>
  <si>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</si>
  <si>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</si>
  <si>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</si>
  <si>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</si>
  <si>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</si>
  <si>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</si>
  <si>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</si>
  <si>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</si>
  <si>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</si>
  <si>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</si>
  <si>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</si>
  <si>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</si>
  <si>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</si>
  <si>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</si>
  <si>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</si>
  <si>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</si>
  <si>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</si>
  <si>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</si>
  <si>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</si>
  <si>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</si>
  <si>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</si>
  <si>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</si>
  <si>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</si>
  <si>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</si>
  <si>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</si>
  <si>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</si>
  <si>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</si>
  <si>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</si>
  <si>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</si>
  <si>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</si>
  <si>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</si>
  <si>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</si>
  <si>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</si>
  <si>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</si>
  <si>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</si>
  <si>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</si>
  <si>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</si>
  <si>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</si>
  <si>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</si>
  <si>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</si>
  <si>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</si>
  <si>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</si>
  <si>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</si>
  <si>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</si>
  <si>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</si>
  <si>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</si>
  <si>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</si>
  <si>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</si>
  <si>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</si>
  <si>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</si>
  <si>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</si>
  <si>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</si>
  <si>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</si>
  <si>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</si>
  <si>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</si>
  <si>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</si>
  <si>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</si>
  <si>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</si>
  <si>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</si>
  <si>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</si>
  <si>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</si>
  <si>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</si>
  <si>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</si>
  <si>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</si>
  <si>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</si>
  <si>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</si>
  <si>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</si>
  <si>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</si>
  <si>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</si>
  <si>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</si>
  <si>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</si>
  <si>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</si>
  <si>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</si>
  <si>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</si>
  <si>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</si>
  <si>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</si>
  <si>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</si>
  <si>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</si>
  <si>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</si>
  <si>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</si>
  <si>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</si>
  <si>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</si>
  <si>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</si>
  <si>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</si>
  <si>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</si>
  <si>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</si>
  <si>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</si>
  <si>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</si>
  <si>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</si>
  <si>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</si>
  <si>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</si>
  <si>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</si>
  <si>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</si>
  <si>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</si>
  <si>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</si>
  <si>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</si>
  <si>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</si>
  <si>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</si>
  <si>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</si>
  <si>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</si>
  <si>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</si>
  <si>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</si>
  <si>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</si>
  <si>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</si>
  <si>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</si>
  <si>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</si>
  <si>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</si>
  <si>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</si>
  <si>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</si>
  <si>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</si>
  <si>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</si>
  <si>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</si>
  <si>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</si>
  <si>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</si>
  <si>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</si>
  <si>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</si>
  <si>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</si>
  <si>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</si>
  <si>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</si>
  <si>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</si>
  <si>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</si>
  <si>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</si>
  <si>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</si>
  <si>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</si>
  <si>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</si>
  <si>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</si>
  <si>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</si>
  <si>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</si>
  <si>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</si>
  <si>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</si>
  <si>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</si>
  <si>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</si>
  <si>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</si>
  <si>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</si>
  <si>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</si>
  <si>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</si>
  <si>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</si>
  <si>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</si>
  <si>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</si>
  <si>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</si>
  <si>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</si>
  <si>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</si>
  <si>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</si>
  <si>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</si>
  <si>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</si>
  <si>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</si>
  <si>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</si>
  <si>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</si>
  <si>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</si>
  <si>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</si>
  <si>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</si>
  <si>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</si>
  <si>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</si>
  <si>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</si>
  <si>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</si>
  <si>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</si>
  <si>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</si>
  <si>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</si>
  <si>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</si>
  <si>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</si>
  <si>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</si>
  <si>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</si>
  <si>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</si>
  <si>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</si>
  <si>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</si>
  <si>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</si>
  <si>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</si>
  <si>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</si>
  <si>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</si>
  <si>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</si>
  <si>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</si>
  <si>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</si>
  <si>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</si>
  <si>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</si>
  <si>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</si>
  <si>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</si>
  <si>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</si>
  <si>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</si>
  <si>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</si>
  <si>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</si>
  <si>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</si>
  <si>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</si>
  <si>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</si>
  <si>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</si>
  <si>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</si>
  <si>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</si>
  <si>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</si>
  <si>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</si>
  <si>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</si>
  <si>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</si>
  <si>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</si>
  <si>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</si>
  <si>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</si>
  <si>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</si>
  <si>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</si>
  <si>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</si>
  <si>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</si>
  <si>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</si>
  <si>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</si>
  <si>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</si>
  <si>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</si>
  <si>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</si>
  <si>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</si>
  <si>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</si>
  <si>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</si>
  <si>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</si>
  <si>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</si>
  <si>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</si>
  <si>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</si>
  <si>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</si>
  <si>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</si>
  <si>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</si>
  <si>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</si>
  <si>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</si>
  <si>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</si>
  <si>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</si>
  <si>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</si>
  <si>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</si>
  <si>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</si>
  <si>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</si>
  <si>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</si>
  <si>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</si>
  <si>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</si>
  <si>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</si>
  <si>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</si>
  <si>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</si>
  <si>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</si>
  <si>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</si>
  <si>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</si>
  <si>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</si>
  <si>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</si>
  <si>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</si>
  <si>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</si>
  <si>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</si>
  <si>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</si>
  <si>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</si>
  <si>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</si>
  <si>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</si>
  <si>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</si>
  <si>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</si>
  <si>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</si>
  <si>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</si>
  <si>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</si>
  <si>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</si>
  <si>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</si>
  <si>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</si>
  <si>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</si>
  <si>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</si>
  <si>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</si>
  <si>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</si>
  <si>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</si>
  <si>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</si>
  <si>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</si>
  <si>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</si>
  <si>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</si>
  <si>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</si>
  <si>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</si>
  <si>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</si>
  <si>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</si>
  <si>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</si>
  <si>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</si>
  <si>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</si>
  <si>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</si>
  <si>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</si>
  <si>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</si>
  <si>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Namma Ooru Taxi</t>
  </si>
  <si>
    <t>VMtracker உடன் ஓட்டுங்கள்</t>
  </si>
  <si>
    <t>driver_access_download_driver_app</t>
  </si>
  <si>
    <t>SignUp Namma Ooru Taxi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</si>
  <si>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</si>
  <si>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</si>
  <si>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</si>
  <si>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</si>
  <si>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</si>
  <si>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</si>
  <si>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</si>
  <si>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</si>
  <si>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</si>
  <si>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</si>
  <si>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</si>
  <si>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</si>
  <si>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</si>
  <si>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</si>
  <si>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</si>
  <si>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</si>
  <si>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</si>
  <si>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</si>
  <si>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</si>
  <si>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</si>
  <si>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</si>
  <si>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</si>
  <si>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</si>
  <si>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Signup as a Driver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</si>
  <si>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</si>
  <si>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</si>
  <si>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</si>
  <si>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</si>
  <si>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</si>
  <si>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</si>
  <si>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</si>
  <si>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</si>
  <si>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</si>
  <si>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</si>
  <si>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</si>
  <si>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</si>
  <si>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</si>
  <si>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</si>
  <si>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</si>
  <si>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</si>
  <si>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</si>
  <si>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</si>
  <si>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</si>
  <si>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</si>
  <si>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</si>
  <si>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</si>
  <si>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</si>
  <si>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</si>
  <si>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</si>
  <si>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</si>
  <si>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</si>
  <si>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</si>
  <si>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</si>
  <si>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</si>
  <si>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</si>
  <si>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</si>
  <si>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</si>
  <si>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</si>
  <si>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</si>
  <si>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</si>
  <si>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</si>
  <si>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</si>
  <si>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</si>
  <si>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</si>
  <si>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</si>
  <si>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</si>
  <si>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</si>
  <si>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</si>
  <si>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</si>
  <si>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</si>
  <si>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</si>
  <si>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</si>
  <si>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</si>
  <si>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</si>
  <si>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</si>
  <si>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</si>
  <si>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</si>
  <si>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</si>
  <si>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</si>
  <si>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</si>
  <si>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</si>
  <si>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</si>
  <si>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</si>
  <si>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</si>
  <si>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</si>
  <si>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</si>
  <si>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</si>
  <si>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</si>
  <si>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</si>
  <si>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</si>
  <si>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</si>
  <si>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</si>
  <si>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</si>
  <si>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</si>
  <si>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</si>
  <si>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</si>
  <si>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</si>
  <si>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</si>
  <si>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</si>
  <si>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</si>
  <si>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</si>
  <si>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</si>
  <si>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</si>
  <si>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</si>
  <si>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</si>
  <si>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</si>
  <si>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</si>
  <si>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</si>
  <si>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</si>
  <si>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</si>
  <si>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</si>
  <si>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</si>
  <si>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</si>
  <si>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</si>
  <si>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</si>
  <si>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</si>
  <si>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</si>
  <si>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</si>
  <si>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</si>
  <si>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</si>
  <si>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</si>
  <si>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</si>
  <si>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</si>
  <si>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</si>
  <si>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</si>
  <si>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</si>
  <si>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</si>
  <si>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</si>
  <si>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</si>
  <si>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</si>
  <si>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</si>
  <si>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</si>
  <si>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</si>
  <si>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</si>
  <si>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</si>
  <si>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</si>
  <si>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</si>
  <si>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</si>
  <si>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</si>
  <si>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</si>
  <si>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</si>
  <si>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</si>
  <si>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</si>
  <si>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</si>
  <si>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</si>
  <si>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</si>
  <si>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</si>
  <si>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</si>
  <si>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</si>
  <si>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</si>
  <si>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</si>
  <si>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</si>
  <si>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</si>
  <si>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</si>
  <si>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</si>
  <si>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</si>
  <si>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</si>
  <si>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</si>
  <si>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</si>
  <si>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</si>
  <si>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</si>
  <si>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</si>
  <si>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</si>
  <si>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</si>
  <si>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</si>
  <si>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</si>
  <si>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</si>
  <si>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</si>
  <si>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</si>
  <si>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</si>
  <si>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</si>
  <si>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</si>
  <si>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</si>
  <si>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</si>
  <si>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</si>
  <si>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</si>
  <si>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</si>
  <si>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</si>
  <si>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</si>
  <si>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</si>
  <si>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</si>
  <si>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</si>
  <si>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</si>
  <si>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</si>
  <si>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</si>
  <si>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</si>
  <si>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</si>
  <si>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</si>
  <si>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</si>
  <si>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</si>
  <si>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</si>
  <si>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</si>
  <si>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</si>
  <si>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</si>
  <si>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</si>
  <si>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</si>
  <si>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</si>
  <si>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</si>
  <si>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</si>
  <si>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</si>
  <si>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</si>
  <si>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</si>
  <si>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</si>
  <si>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</si>
  <si>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</si>
  <si>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</si>
  <si>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</si>
  <si>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</si>
  <si>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</si>
  <si>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</si>
  <si>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</si>
  <si>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</si>
  <si>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</si>
  <si>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</si>
  <si>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</si>
  <si>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</si>
  <si>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</si>
  <si>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</si>
  <si>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</si>
  <si>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</si>
  <si>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</si>
  <si>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</si>
  <si>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</si>
  <si>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</si>
  <si>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</si>
  <si>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</si>
  <si>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</si>
  <si>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</si>
  <si>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</si>
  <si>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</si>
  <si>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</si>
  <si>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</si>
  <si>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</si>
  <si>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</si>
  <si>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</si>
  <si>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</si>
  <si>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</si>
  <si>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</si>
  <si>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</si>
  <si>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</si>
  <si>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</si>
  <si>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</si>
  <si>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</si>
  <si>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</si>
  <si>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</si>
  <si>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</si>
  <si>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</si>
  <si>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</si>
  <si>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</si>
  <si>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</si>
  <si>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</si>
  <si>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</si>
  <si>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</si>
  <si>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</si>
  <si>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</si>
  <si>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</si>
  <si>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</si>
  <si>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</si>
  <si>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</si>
  <si>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</si>
  <si>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</si>
  <si>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</si>
  <si>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</si>
  <si>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</si>
  <si>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</si>
  <si>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</si>
  <si>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</si>
  <si>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</si>
  <si>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</si>
  <si>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</si>
  <si>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</si>
  <si>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</si>
  <si>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</si>
  <si>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</si>
  <si>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</si>
  <si>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</si>
  <si>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</si>
  <si>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</si>
  <si>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</si>
  <si>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</si>
  <si>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</si>
  <si>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</si>
  <si>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</si>
  <si>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</si>
  <si>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</si>
  <si>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</si>
  <si>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</si>
  <si>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</si>
  <si>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</si>
  <si>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</si>
  <si>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</si>
  <si>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</si>
  <si>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</si>
  <si>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</si>
  <si>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</si>
  <si>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</si>
  <si>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</si>
  <si>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</si>
  <si>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</si>
  <si>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</si>
  <si>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</si>
  <si>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</si>
  <si>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</si>
  <si>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</si>
  <si>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</si>
  <si>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</si>
  <si>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</si>
  <si>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</si>
  <si>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</si>
  <si>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</si>
  <si>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</si>
  <si>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</si>
  <si>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</si>
  <si>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</si>
  <si>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</si>
  <si>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</si>
  <si>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</si>
  <si>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</si>
  <si>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</si>
  <si>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</si>
  <si>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</si>
  <si>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</si>
  <si>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</si>
  <si>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</si>
  <si>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</si>
  <si>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</si>
  <si>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</si>
  <si>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</si>
  <si>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</si>
  <si>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</si>
  <si>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</si>
  <si>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</si>
  <si>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</si>
  <si>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</si>
  <si>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</si>
  <si>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</si>
  <si>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</si>
  <si>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</si>
  <si>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</si>
  <si>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</si>
  <si>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</si>
  <si>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</si>
  <si>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</si>
  <si>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</si>
  <si>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</si>
  <si>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</si>
  <si>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</si>
  <si>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</si>
  <si>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</si>
  <si>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</si>
  <si>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</si>
  <si>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</si>
  <si>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</si>
  <si>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</si>
  <si>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</si>
  <si>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</si>
  <si>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</si>
  <si>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</si>
  <si>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</si>
  <si>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</si>
  <si>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</si>
  <si>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</si>
  <si>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</si>
  <si>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</si>
  <si>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</si>
  <si>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</si>
  <si>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</si>
  <si>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</si>
  <si>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</si>
  <si>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</si>
  <si>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</si>
  <si>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</si>
  <si>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</si>
  <si>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</si>
  <si>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</si>
  <si>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</si>
  <si>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</si>
  <si>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</si>
  <si>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</si>
  <si>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</si>
  <si>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</si>
  <si>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</si>
  <si>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</si>
  <si>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</si>
  <si>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</si>
  <si>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</si>
  <si>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</si>
  <si>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</si>
  <si>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</si>
  <si>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</si>
  <si>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</si>
  <si>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</si>
  <si>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</si>
  <si>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</si>
  <si>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</si>
  <si>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</si>
  <si>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</si>
  <si>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</si>
  <si>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</si>
  <si>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</si>
  <si>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</si>
  <si>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</si>
  <si>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</si>
  <si>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</si>
  <si>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</si>
  <si>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</si>
  <si>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</si>
  <si>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</si>
  <si>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</si>
  <si>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</si>
  <si>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</si>
  <si>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</si>
  <si>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</si>
  <si>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</si>
  <si>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</si>
  <si>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</si>
  <si>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</si>
  <si>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</si>
  <si>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</si>
  <si>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</si>
  <si>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</si>
  <si>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</si>
  <si>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</si>
  <si>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</si>
  <si>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</si>
  <si>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</si>
  <si>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</si>
  <si>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</si>
  <si>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</si>
  <si>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</si>
  <si>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</si>
  <si>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</si>
  <si>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</si>
  <si>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</si>
  <si>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</si>
  <si>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</si>
  <si>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</si>
  <si>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</si>
  <si>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</si>
  <si>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</si>
  <si>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</si>
  <si>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</si>
  <si>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</si>
  <si>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</si>
  <si>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</si>
  <si>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</si>
  <si>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</si>
  <si>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</si>
  <si>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</si>
  <si>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</si>
  <si>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</si>
  <si>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</si>
  <si>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</si>
  <si>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</si>
  <si>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</si>
  <si>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</si>
  <si>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</si>
  <si>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</si>
  <si>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</si>
  <si>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</si>
  <si>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</si>
  <si>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</si>
  <si>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</si>
  <si>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</si>
  <si>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</si>
  <si>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</si>
  <si>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</si>
  <si>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</si>
  <si>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</si>
  <si>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</si>
  <si>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</si>
  <si>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</si>
  <si>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</si>
  <si>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</si>
  <si>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</si>
  <si>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</si>
  <si>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</si>
  <si>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</si>
  <si>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</si>
  <si>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</si>
  <si>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</si>
  <si>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</si>
  <si>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</si>
  <si>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</si>
  <si>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</si>
  <si>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</si>
  <si>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</si>
  <si>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</si>
  <si>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</si>
  <si>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</si>
  <si>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</si>
  <si>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</si>
  <si>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</si>
  <si>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</si>
  <si>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</si>
  <si>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</si>
  <si>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</si>
  <si>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</si>
  <si>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</si>
  <si>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</si>
  <si>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</si>
  <si>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</si>
  <si>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</si>
  <si>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</si>
  <si>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</si>
  <si>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</si>
  <si>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</si>
  <si>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</si>
  <si>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</si>
  <si>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</si>
  <si>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</si>
  <si>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</si>
  <si>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</si>
  <si>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</si>
  <si>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</si>
  <si>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</si>
  <si>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</si>
  <si>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</si>
  <si>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</si>
  <si>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</si>
  <si>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</si>
  <si>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</si>
  <si>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</si>
  <si>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</si>
  <si>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</si>
  <si>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</si>
  <si>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</si>
  <si>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</si>
  <si>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</si>
  <si>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</si>
  <si>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</si>
  <si>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</si>
  <si>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</si>
  <si>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</si>
  <si>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</si>
  <si>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</si>
  <si>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</si>
  <si>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</si>
  <si>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</si>
  <si>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</si>
  <si>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</si>
  <si>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</si>
  <si>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</si>
  <si>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</si>
  <si>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</si>
  <si>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</si>
  <si>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</si>
  <si>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</si>
  <si>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</si>
  <si>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</si>
  <si>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</si>
  <si>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</si>
  <si>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</si>
  <si>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</si>
  <si>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</si>
  <si>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</si>
  <si>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</si>
  <si>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</si>
  <si>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</si>
  <si>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</si>
  <si>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</si>
  <si>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</si>
  <si>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</si>
  <si>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</si>
  <si>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</si>
  <si>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</si>
  <si>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</si>
  <si>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</si>
  <si>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</si>
  <si>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</si>
  <si>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</si>
  <si>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</si>
  <si>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</si>
  <si>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</si>
  <si>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</si>
  <si>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</si>
  <si>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</si>
  <si>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</si>
  <si>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</si>
  <si>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</si>
  <si>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</si>
  <si>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</si>
  <si>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</si>
  <si>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</si>
  <si>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</si>
  <si>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</si>
  <si>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</si>
  <si>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</si>
  <si>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</si>
  <si>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</si>
  <si>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</si>
  <si>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</si>
  <si>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</si>
  <si>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</si>
  <si>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</si>
  <si>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</si>
  <si>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</si>
  <si>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</si>
  <si>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</si>
  <si>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</si>
  <si>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</si>
  <si>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</si>
  <si>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</si>
  <si>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</si>
  <si>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</si>
  <si>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</si>
  <si>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</si>
  <si>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</si>
  <si>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</si>
  <si>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</si>
  <si>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</si>
  <si>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</si>
  <si>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</si>
  <si>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</si>
  <si>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</si>
  <si>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</si>
  <si>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</si>
  <si>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</si>
  <si>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</si>
  <si>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</si>
  <si>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</si>
  <si>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</si>
  <si>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</si>
  <si>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</si>
  <si>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</si>
  <si>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</si>
  <si>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</si>
  <si>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</si>
  <si>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</si>
  <si>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</si>
  <si>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</si>
  <si>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</si>
  <si>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</si>
  <si>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</si>
  <si>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</si>
  <si>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</si>
  <si>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</si>
  <si>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</si>
  <si>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</si>
  <si>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</si>
  <si>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</si>
  <si>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</si>
  <si>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</si>
  <si>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</si>
  <si>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</si>
  <si>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</si>
  <si>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</si>
  <si>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</si>
  <si>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</si>
  <si>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</si>
  <si>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</si>
  <si>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</si>
  <si>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</si>
  <si>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</si>
  <si>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</si>
  <si>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</si>
  <si>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</si>
  <si>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</si>
  <si>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</si>
  <si>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</si>
  <si>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</si>
  <si>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</si>
  <si>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</si>
  <si>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</si>
  <si>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</si>
  <si>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</si>
  <si>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</si>
  <si>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</si>
  <si>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</si>
  <si>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</si>
  <si>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</si>
  <si>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</si>
  <si>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</si>
  <si>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</si>
  <si>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</si>
  <si>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</si>
  <si>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</si>
  <si>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</si>
  <si>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</si>
  <si>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</si>
  <si>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</si>
  <si>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</si>
  <si>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</si>
  <si>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</si>
  <si>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</si>
  <si>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</si>
  <si>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</si>
  <si>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</si>
  <si>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</si>
  <si>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</si>
  <si>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</si>
  <si>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</si>
  <si>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</si>
  <si>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</si>
  <si>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</si>
  <si>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</si>
  <si>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</si>
  <si>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</si>
  <si>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</si>
  <si>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</si>
  <si>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</si>
  <si>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</si>
  <si>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</si>
  <si>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</si>
  <si>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</si>
  <si>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</si>
  <si>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</si>
  <si>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</si>
  <si>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</si>
  <si>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</si>
  <si>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</si>
  <si>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</si>
  <si>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</si>
  <si>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</si>
  <si>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</si>
  <si>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</si>
  <si>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</si>
  <si>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</si>
  <si>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</si>
  <si>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</si>
  <si>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</si>
  <si>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</si>
  <si>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</si>
  <si>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</si>
  <si>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</si>
  <si>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</si>
  <si>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</si>
  <si>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</si>
  <si>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</si>
  <si>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</si>
  <si>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</si>
  <si>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</si>
  <si>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</si>
  <si>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</si>
  <si>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</si>
  <si>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</si>
  <si>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</si>
  <si>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</si>
  <si>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</si>
  <si>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</si>
  <si>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</si>
  <si>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</si>
  <si>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</si>
  <si>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</si>
  <si>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</si>
  <si>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</si>
  <si>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</si>
  <si>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</si>
  <si>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</si>
  <si>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</si>
  <si>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</si>
  <si>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</si>
  <si>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</si>
  <si>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</si>
  <si>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</si>
  <si>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</si>
  <si>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</si>
  <si>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</si>
  <si>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</si>
  <si>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</si>
  <si>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</si>
  <si>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</si>
  <si>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</si>
  <si>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</si>
  <si>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</si>
  <si>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</si>
  <si>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</si>
  <si>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</si>
  <si>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</si>
  <si>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</si>
  <si>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</si>
  <si>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</si>
  <si>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</si>
  <si>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</si>
  <si>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</si>
  <si>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</si>
  <si>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</si>
  <si>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</si>
  <si>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</si>
  <si>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</si>
  <si>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</si>
  <si>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</si>
  <si>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</si>
  <si>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</si>
  <si>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</si>
  <si>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</si>
  <si>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</si>
  <si>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</si>
  <si>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</si>
  <si>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</si>
  <si>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</si>
  <si>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</si>
  <si>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</si>
  <si>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</si>
  <si>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</si>
  <si>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</si>
  <si>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</si>
  <si>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</si>
  <si>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</si>
  <si>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</si>
  <si>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</si>
  <si>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</si>
  <si>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</si>
  <si>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</si>
  <si>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</si>
  <si>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</si>
  <si>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</si>
  <si>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</si>
  <si>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</si>
  <si>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</si>
  <si>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</si>
  <si>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</si>
  <si>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</si>
  <si>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</si>
  <si>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</si>
  <si>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</si>
  <si>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</si>
  <si>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</si>
  <si>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</si>
  <si>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</si>
  <si>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</si>
  <si>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</si>
  <si>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</si>
  <si>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</si>
  <si>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</si>
  <si>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</si>
  <si>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</si>
  <si>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</si>
  <si>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</si>
  <si>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</si>
  <si>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</si>
  <si>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</si>
  <si>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</si>
  <si>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</si>
  <si>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</si>
  <si>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</si>
  <si>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</si>
  <si>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</si>
  <si>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</si>
  <si>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</si>
  <si>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</si>
  <si>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</si>
  <si>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</si>
  <si>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</si>
  <si>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</si>
  <si>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</si>
  <si>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</si>
  <si>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</si>
  <si>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</si>
  <si>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</si>
  <si>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</si>
  <si>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</si>
  <si>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</si>
  <si>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</si>
  <si>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</si>
  <si>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</si>
  <si>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</si>
  <si>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</si>
  <si>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</si>
  <si>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</si>
  <si>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</si>
  <si>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</si>
  <si>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</si>
  <si>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</si>
  <si>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</si>
  <si>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</si>
  <si>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</si>
  <si>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</si>
  <si>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</si>
  <si>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</si>
  <si>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</si>
  <si>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</si>
  <si>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</si>
  <si>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</si>
  <si>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</si>
  <si>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</si>
  <si>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</si>
  <si>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</si>
  <si>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</si>
  <si>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</si>
  <si>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</si>
  <si>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</si>
  <si>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</si>
  <si>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</si>
  <si>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</si>
  <si>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</si>
  <si>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</si>
  <si>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</si>
  <si>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</si>
  <si>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</si>
  <si>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</si>
  <si>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</si>
  <si>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</si>
  <si>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</si>
  <si>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</si>
  <si>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</si>
  <si>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</si>
  <si>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</si>
  <si>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</si>
  <si>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</si>
  <si>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</si>
  <si>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</si>
  <si>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</si>
  <si>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</si>
  <si>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</si>
  <si>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</si>
  <si>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</si>
  <si>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</si>
  <si>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</si>
  <si>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</si>
  <si>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</si>
  <si>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</si>
  <si>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</si>
  <si>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</si>
  <si>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</si>
  <si>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</si>
  <si>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</si>
  <si>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</si>
  <si>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</si>
  <si>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</si>
  <si>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</si>
  <si>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</si>
  <si>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</si>
  <si>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</si>
  <si>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</si>
  <si>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</si>
  <si>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</si>
  <si>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</si>
  <si>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</si>
  <si>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</si>
  <si>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</si>
  <si>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</si>
  <si>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</si>
  <si>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</si>
  <si>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</si>
  <si>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</si>
  <si>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</si>
  <si>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</si>
  <si>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</si>
  <si>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</si>
  <si>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</si>
  <si>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</si>
  <si>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</si>
  <si>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</si>
  <si>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</si>
  <si>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</si>
  <si>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</si>
  <si>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</si>
  <si>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</si>
  <si>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</si>
  <si>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</si>
  <si>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</si>
  <si>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</si>
  <si>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</si>
  <si>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</si>
  <si>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</si>
  <si>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</si>
  <si>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</si>
  <si>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</si>
  <si>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</si>
  <si>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</si>
  <si>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</si>
  <si>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</si>
  <si>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</si>
  <si>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</si>
  <si>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</si>
  <si>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</si>
  <si>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</si>
  <si>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</si>
  <si>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</si>
  <si>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</si>
  <si>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</si>
  <si>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</si>
  <si>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</si>
  <si>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</si>
  <si>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</si>
  <si>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</si>
  <si>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</si>
  <si>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</si>
  <si>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</si>
  <si>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</si>
  <si>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</si>
  <si>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</si>
  <si>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</si>
  <si>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</si>
  <si>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</si>
  <si>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</si>
  <si>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</si>
  <si>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</si>
  <si>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</si>
  <si>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</si>
  <si>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</si>
  <si>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</si>
  <si>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</si>
  <si>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</si>
  <si>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</si>
  <si>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</si>
  <si>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</si>
  <si>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</si>
  <si>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</si>
  <si>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</si>
  <si>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</si>
  <si>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</si>
  <si>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</si>
  <si>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</si>
  <si>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</si>
  <si>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</si>
  <si>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</si>
  <si>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</si>
  <si>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</si>
  <si>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</si>
  <si>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</si>
  <si>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</si>
  <si>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</si>
  <si>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</si>
  <si>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</si>
  <si>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</si>
  <si>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</si>
  <si>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</si>
  <si>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</si>
  <si>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</si>
  <si>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</si>
  <si>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</si>
  <si>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</si>
  <si>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</si>
  <si>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</si>
  <si>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</si>
  <si>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</si>
  <si>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</si>
  <si>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</si>
  <si>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</si>
  <si>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</si>
  <si>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</si>
  <si>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</si>
  <si>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</si>
  <si>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</si>
  <si>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</si>
  <si>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</si>
  <si>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</si>
  <si>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</si>
  <si>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</si>
  <si>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</si>
  <si>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</si>
  <si>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</si>
  <si>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</si>
  <si>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</si>
  <si>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</si>
  <si>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</si>
  <si>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</si>
  <si>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</si>
  <si>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</si>
  <si>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</si>
  <si>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</si>
  <si>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</si>
  <si>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</si>
  <si>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</si>
  <si>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</si>
  <si>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</si>
  <si>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</si>
  <si>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</si>
  <si>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</si>
  <si>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</si>
  <si>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</si>
  <si>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</si>
  <si>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</si>
  <si>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</si>
  <si>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</si>
  <si>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</si>
  <si>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</si>
  <si>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</si>
  <si>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</si>
  <si>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</si>
  <si>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</si>
  <si>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</si>
  <si>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</si>
  <si>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</si>
  <si>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</si>
  <si>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</si>
  <si>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</si>
  <si>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</si>
  <si>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</si>
  <si>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</si>
  <si>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</si>
  <si>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</si>
  <si>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</si>
  <si>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</si>
  <si>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</si>
  <si>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</si>
  <si>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</si>
  <si>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</si>
  <si>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</si>
  <si>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</si>
  <si>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</si>
  <si>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</si>
  <si>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</si>
  <si>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</si>
  <si>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</si>
  <si>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</si>
  <si>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</si>
  <si>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</si>
  <si>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</si>
  <si>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</si>
  <si>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</si>
  <si>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</si>
  <si>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</si>
  <si>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</si>
  <si>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</si>
  <si>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</si>
  <si>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</si>
  <si>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</si>
  <si>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</si>
  <si>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</si>
  <si>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</si>
  <si>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</si>
  <si>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</si>
  <si>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</si>
  <si>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</si>
  <si>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</si>
  <si>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</si>
  <si>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</si>
  <si>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</si>
  <si>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</si>
  <si>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</si>
  <si>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</si>
  <si>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</si>
  <si>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</si>
  <si>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</si>
  <si>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</si>
  <si>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</si>
  <si>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</si>
  <si>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</si>
  <si>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</si>
  <si>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</si>
  <si>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</si>
  <si>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</si>
  <si>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</si>
  <si>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</si>
  <si>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</si>
  <si>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</si>
  <si>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</si>
  <si>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</si>
  <si>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</si>
  <si>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</si>
  <si>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</si>
  <si>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</si>
  <si>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</si>
  <si>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</si>
  <si>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</si>
  <si>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</si>
  <si>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</si>
  <si>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</si>
  <si>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</si>
  <si>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</si>
  <si>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</si>
  <si>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</si>
  <si>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</si>
  <si>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</si>
  <si>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</si>
  <si>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</si>
  <si>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</si>
  <si>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</si>
  <si>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</si>
  <si>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</si>
  <si>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</si>
  <si>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</si>
  <si>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</si>
  <si>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</si>
  <si>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</si>
  <si>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</si>
  <si>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</si>
  <si>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</si>
  <si>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</si>
  <si>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</si>
  <si>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</si>
  <si>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</si>
  <si>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</si>
  <si>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</si>
  <si>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</si>
  <si>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</si>
  <si>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</si>
  <si>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</si>
  <si>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</si>
  <si>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</si>
  <si>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</si>
  <si>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</si>
  <si>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</si>
  <si>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</si>
  <si>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</si>
  <si>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</si>
  <si>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</si>
  <si>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</si>
  <si>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</si>
  <si>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</si>
  <si>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</si>
  <si>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</si>
  <si>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</si>
  <si>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</si>
  <si>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</si>
  <si>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</si>
  <si>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</si>
  <si>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</si>
  <si>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</si>
  <si>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</si>
  <si>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</si>
  <si>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</si>
  <si>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</si>
  <si>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</si>
  <si>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</si>
  <si>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</si>
  <si>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</si>
  <si>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</si>
  <si>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</si>
  <si>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</si>
  <si>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</si>
  <si>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</si>
  <si>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</si>
  <si>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</si>
  <si>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</si>
  <si>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</si>
  <si>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</si>
  <si>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</si>
  <si>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</si>
  <si>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</si>
  <si>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</si>
  <si>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</si>
  <si>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</si>
  <si>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</si>
  <si>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</si>
  <si>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</si>
  <si>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</si>
  <si>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</si>
  <si>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</si>
  <si>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</si>
  <si>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</si>
  <si>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</si>
  <si>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</si>
  <si>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</si>
  <si>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</si>
  <si>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</si>
  <si>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</si>
  <si>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</si>
  <si>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</si>
  <si>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</si>
  <si>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</si>
  <si>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</si>
  <si>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</si>
  <si>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</si>
  <si>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</si>
  <si>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</si>
  <si>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</si>
  <si>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</si>
  <si>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</si>
  <si>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</si>
  <si>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</si>
  <si>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</si>
  <si>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</si>
  <si>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</si>
  <si>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</si>
  <si>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</si>
  <si>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</si>
  <si>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</si>
  <si>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</si>
  <si>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</si>
  <si>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</si>
  <si>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</si>
  <si>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</si>
  <si>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</si>
  <si>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</si>
  <si>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</si>
  <si>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</si>
  <si>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</si>
  <si>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</si>
  <si>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</si>
  <si>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</si>
  <si>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</si>
  <si>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</si>
  <si>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</si>
  <si>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</si>
  <si>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</si>
  <si>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</si>
  <si>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</si>
  <si>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</si>
  <si>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</si>
  <si>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</si>
  <si>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</si>
  <si>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</si>
  <si>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</si>
  <si>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</si>
  <si>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</si>
  <si>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</si>
  <si>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</si>
  <si>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</si>
  <si>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</si>
  <si>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</si>
  <si>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</si>
  <si>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</si>
  <si>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</si>
  <si>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</si>
  <si>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</si>
  <si>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</si>
  <si>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</si>
  <si>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</si>
  <si>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</si>
  <si>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</si>
  <si>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</si>
  <si>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</si>
  <si>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</si>
  <si>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</si>
  <si>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</si>
  <si>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</si>
  <si>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</si>
  <si>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</si>
  <si>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</si>
  <si>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</si>
  <si>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</si>
  <si>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</si>
  <si>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</si>
  <si>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</si>
  <si>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</si>
  <si>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</si>
  <si>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</si>
  <si>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</si>
  <si>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</si>
  <si>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</si>
  <si>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</si>
  <si>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</si>
  <si>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</si>
  <si>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</si>
  <si>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</si>
  <si>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</si>
  <si>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</si>
  <si>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</si>
  <si>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</si>
  <si>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</si>
  <si>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</si>
  <si>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</si>
  <si>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</si>
  <si>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</si>
  <si>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</si>
  <si>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</si>
  <si>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</si>
  <si>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</si>
  <si>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</si>
  <si>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</si>
  <si>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</si>
  <si>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</si>
  <si>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</si>
  <si>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</si>
  <si>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</si>
  <si>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</si>
  <si>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</si>
  <si>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</si>
  <si>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</si>
  <si>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</si>
  <si>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</si>
  <si>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</si>
  <si>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</si>
  <si>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</si>
  <si>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</si>
  <si>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</si>
  <si>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</si>
  <si>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</si>
  <si>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</si>
  <si>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</si>
  <si>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</si>
  <si>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</si>
  <si>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</si>
  <si>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</si>
  <si>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</si>
  <si>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</si>
  <si>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</si>
  <si>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</si>
  <si>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</si>
  <si>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</si>
  <si>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</si>
  <si>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</si>
  <si>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</si>
  <si>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</si>
  <si>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</si>
  <si>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</si>
  <si>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</si>
  <si>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</si>
  <si>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</si>
  <si>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</si>
  <si>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</si>
  <si>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</si>
  <si>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</si>
  <si>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</si>
  <si>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</si>
  <si>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</si>
  <si>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</si>
  <si>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</si>
  <si>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</si>
  <si>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</si>
  <si>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</si>
  <si>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</si>
  <si>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</si>
  <si>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</si>
  <si>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</si>
  <si>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</si>
  <si>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</si>
  <si>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</si>
  <si>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</si>
  <si>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</si>
  <si>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</si>
  <si>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</si>
  <si>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</si>
  <si>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</si>
  <si>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</si>
  <si>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</si>
  <si>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</si>
  <si>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</si>
  <si>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</si>
  <si>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</si>
  <si>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</si>
  <si>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</si>
  <si>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</si>
  <si>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</si>
  <si>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</si>
  <si>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</si>
  <si>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</si>
  <si>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</si>
  <si>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</si>
  <si>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</si>
  <si>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</si>
  <si>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</si>
  <si>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</si>
  <si>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</si>
  <si>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</si>
  <si>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</si>
  <si>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</si>
  <si>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</si>
  <si>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</si>
  <si>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</si>
  <si>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</si>
  <si>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</si>
  <si>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</si>
  <si>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</si>
  <si>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</si>
  <si>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</si>
  <si>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</si>
  <si>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</si>
  <si>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</si>
  <si>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</si>
  <si>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</si>
  <si>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</si>
  <si>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</si>
  <si>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</si>
  <si>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</si>
  <si>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</si>
  <si>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</si>
  <si>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</si>
  <si>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</si>
  <si>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</si>
  <si>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</si>
  <si>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</si>
  <si>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</si>
  <si>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</si>
  <si>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</si>
  <si>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</si>
  <si>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</si>
  <si>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</si>
  <si>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</si>
  <si>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</si>
  <si>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</si>
  <si>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</si>
  <si>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</si>
  <si>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</si>
  <si>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</si>
  <si>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</si>
  <si>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</si>
  <si>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</si>
  <si>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</si>
  <si>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</si>
  <si>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</si>
  <si>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</si>
  <si>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</si>
  <si>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</si>
  <si>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</si>
  <si>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</si>
  <si>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</si>
  <si>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</si>
  <si>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</si>
  <si>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</si>
  <si>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</si>
  <si>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</si>
  <si>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</si>
  <si>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</si>
  <si>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</si>
  <si>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</si>
  <si>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</si>
  <si>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</si>
  <si>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</si>
  <si>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</si>
  <si>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</si>
  <si>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</si>
  <si>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</si>
  <si>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</si>
  <si>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</si>
  <si>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</si>
  <si>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</si>
  <si>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</si>
  <si>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</si>
  <si>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</si>
  <si>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</si>
  <si>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</si>
  <si>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</si>
  <si>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</si>
  <si>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</si>
  <si>
    <t>maximum_wait_time</t>
  </si>
  <si>
    <t>Maximum wait time is {maxwaitingTime} minutes</t>
  </si>
  <si>
    <t>cancel_trip_warning_title</t>
  </si>
  <si>
    <t>cancel_trip_warning_message</t>
  </si>
  <si>
    <t>Are you sure you want to cancel this trip? A cancellation penalty may apply.</t>
  </si>
  <si>
    <t>cancel_anyway</t>
  </si>
  <si>
    <t>Cancel anyway</t>
  </si>
  <si>
    <t>driver_access_ios_alert_title</t>
  </si>
  <si>
    <t>Driver App on iOS</t>
  </si>
  <si>
    <t>driver_access_ios_alert_message</t>
  </si>
  <si>
    <t>The Namma Ooru Taxi Driver App is not available on iOS at the moment. Please use an Android device to access the Driver App</t>
  </si>
  <si>
    <t>Sign_Up_to_Become_a_Driver</t>
  </si>
  <si>
    <t>Sign Up to Become a Driver</t>
  </si>
  <si>
    <t>refer_your_friends</t>
  </si>
  <si>
    <t>Refer Your Friends</t>
  </si>
  <si>
    <t>verify_customer_to_start_trip</t>
  </si>
  <si>
    <t>Verify customer to start trip</t>
  </si>
  <si>
    <t>vehicle_approval</t>
  </si>
  <si>
    <t>Vehicle Approval</t>
  </si>
  <si>
    <t>vehicle_approval_desc</t>
  </si>
  <si>
    <t>vehicle_approval_desc_info</t>
  </si>
  <si>
    <t>vehicle_blocked</t>
  </si>
  <si>
    <t>Your vehicle has been blocked due to some reasons.</t>
  </si>
  <si>
    <t>vehicle_deleted</t>
  </si>
  <si>
    <t>Your vehicle has been deleted.</t>
  </si>
  <si>
    <t>vehicle_approval_info</t>
  </si>
  <si>
    <t>Your vehicle is still under approval.</t>
  </si>
  <si>
    <t>ride_cancelled_by_driver</t>
  </si>
  <si>
    <t>Ride Cancelled By Driver</t>
  </si>
  <si>
    <t>ride_cancelled_by_passenger</t>
  </si>
  <si>
    <t>Ride Cancelled By Passenger</t>
  </si>
  <si>
    <t>refresh_to_get_driver_details</t>
  </si>
  <si>
    <t>Refresh to get driver details</t>
  </si>
  <si>
    <t>driver_access_logout_confirm_title</t>
  </si>
  <si>
    <t>Confirm Driver Login</t>
  </si>
  <si>
    <t>driver_access_logout_confirm_message</t>
  </si>
  <si>
    <t>We'll log you out of the customer app so you can sign in as a driver. Continue?</t>
  </si>
  <si>
    <t>driver_access_logout_confirm_cancel_button</t>
  </si>
  <si>
    <t>Stay in Customer App</t>
  </si>
  <si>
    <t>driver_access_logout_confirm_confirm_button</t>
  </si>
  <si>
    <t>Yes, Log Out</t>
  </si>
  <si>
    <t>session_expired</t>
  </si>
  <si>
    <t>Session Expired</t>
  </si>
  <si>
    <t>session_expired_message</t>
  </si>
  <si>
    <t>Your session has expired. Please log in again.</t>
  </si>
  <si>
    <t>are_you_sure</t>
  </si>
  <si>
    <t>Are You Sure To Logout ?</t>
  </si>
  <si>
    <t>are_you_sure_logout</t>
  </si>
  <si>
    <t>Are you sure you want to logout from this vehicle? You must login to another available vehicle to take trips.</t>
  </si>
  <si>
    <t>payments</t>
  </si>
  <si>
    <t>Payments</t>
  </si>
  <si>
    <t>collected_by_driver</t>
  </si>
  <si>
    <t>Collected By Driver</t>
  </si>
  <si>
    <t>sent_to_vendor</t>
  </si>
  <si>
    <t>Sent To Vendor</t>
  </si>
  <si>
    <t>no_work_history_found</t>
  </si>
  <si>
    <t>No Work History Found</t>
  </si>
  <si>
    <t>active_days</t>
  </si>
  <si>
    <t>Active Days</t>
  </si>
  <si>
    <t>select_date</t>
  </si>
  <si>
    <t>Select Date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</si>
</sst>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
      <sz val="9.0"/>
      <color rgb="FF000000"/>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xf borderId="0" fillId="3" fontId="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और उनसे Namma Ooru Taxi ® ऐप के ज़रिए पिकअप लोकेशन शेयर करने के लिए कहें। नोटिफिकेशन के ज़रिए पिकअप लोकेशन मिलने पर उसे स्वीकार करके यात्रा शुरू करें।")</f>
        <v>किराया तय करें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పొందేలా చూసుకోండి.")</f>
        <v>మరింత నిబద్ధతకు రేటింగ్‌లు కీలకం. మీరు మంచి రేటింగ్ పొందేలా చూసుకోండి.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""ta"")"),"தயவுசெய்து செல்லுபடியாகும் உரிம எண்ணை உள்ளிடவும் (TN01 20110012345)")</f>
        <v>தயவுசெய்து செல்லுபடியாகும் உரிம எண்ணை உள்ளிடவும் (TN01 20110012345)</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61</v>
      </c>
      <c r="B28" s="5" t="s">
        <v>62</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71</v>
      </c>
      <c r="B33" s="5" t="s">
        <v>72</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73</v>
      </c>
      <c r="B34" s="5" t="s">
        <v>74</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85</v>
      </c>
      <c r="B40" s="5" t="s">
        <v>86</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91</v>
      </c>
      <c r="B43" s="5" t="s">
        <v>92</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""ml"")"),"വാഹന മോഡൽ നൽകുക.")</f>
        <v>വാഹന മോഡൽ നൽകുക.</v>
      </c>
      <c r="G45" s="7" t="str">
        <f>IFERROR(__xludf.DUMMYFUNCTION("GOOGLETRANSLATE(B45, ""en"", ""te"")"),"దయచేసి వాహన నమూనాను నమోదు చేయండి.")</f>
        <v>దయచేసి వాహన నమూనాను నమోదు చేయండి.</v>
      </c>
    </row>
    <row r="46">
      <c r="A46" s="4" t="s">
        <v>97</v>
      </c>
      <c r="B46" s="5" t="s">
        <v>98</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121</v>
      </c>
      <c r="B58" s="5" t="s">
        <v>122</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127</v>
      </c>
      <c r="B61" s="5" t="s">
        <v>128</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129</v>
      </c>
      <c r="B62" s="5" t="s">
        <v>130</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141</v>
      </c>
      <c r="B68" s="5" t="s">
        <v>142</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215</v>
      </c>
      <c r="B105" s="5" t="s">
        <v>216</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219</v>
      </c>
      <c r="B107" s="5" t="s">
        <v>220</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221</v>
      </c>
      <c r="B108" s="5" t="s">
        <v>222</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223</v>
      </c>
      <c r="B109" s="5" t="s">
        <v>224</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225</v>
      </c>
      <c r="B110" s="5" t="s">
        <v>226</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- 99999999999@upi")</f>
        <v>దయచేసి చెల్లుబాటు అయ్యే UPI IDని నమోదు చేయండి - 99999999999@upi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233</v>
      </c>
      <c r="B114" s="5" t="s">
        <v>234</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241</v>
      </c>
      <c r="B118" s="5" t="s">
        <v>242</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243</v>
      </c>
      <c r="B119" s="5" t="s">
        <v>244</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పత్రం")</f>
        <v>ఫిట్‌నెస్ పత్రం</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1" t="s">
        <v>275</v>
      </c>
      <c r="B135" s="5" t="s">
        <v>276</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1" t="s">
        <v>281</v>
      </c>
      <c r="B138" s="5" t="s">
        <v>282</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1" t="s">
        <v>289</v>
      </c>
      <c r="B142" s="5" t="s">
        <v>290</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321</v>
      </c>
      <c r="B158" s="5" t="s">
        <v>322</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വീണ്ടും അയച്ചു.")</f>
        <v>രജിസ്റ്റർ ചെയ്ത ഫോൺ നമ്പറിലേക്ക് OTP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327</v>
      </c>
      <c r="B161" s="5" t="s">
        <v>328</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329</v>
      </c>
      <c r="B162" s="5" t="s">
        <v>330</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283</v>
      </c>
      <c r="B164" s="5" t="s">
        <v>284</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277</v>
      </c>
      <c r="B167" s="5" t="s">
        <v>278</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275</v>
      </c>
      <c r="B168" s="5" t="s">
        <v>333</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334</v>
      </c>
      <c r="B170" s="5" t="s">
        <v>335</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337</v>
      </c>
      <c r="B172" s="5" t="s">
        <v>338</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339</v>
      </c>
      <c r="B173" s="5" t="s">
        <v>340</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341</v>
      </c>
      <c r="B174" s="5" t="s">
        <v>342</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343</v>
      </c>
      <c r="B175" s="5" t="s">
        <v>344</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ഓൺലൈനിൽ ആയിരിക്കൂ")</f>
        <v>വേണ്ട, ഓൺലൈനിൽ ആയിരിക്കൂ</v>
      </c>
      <c r="G175" s="7" t="str">
        <f>IFERROR(__xludf.DUMMYFUNCTION("GOOGLETRANSLATE(B175, ""en"", ""te"")"),"వద్దు, ఆన్‌లైన్‌లో ఉండు")</f>
        <v>వద్దు, ఆన్‌లైన్‌లో ఉండు</v>
      </c>
    </row>
    <row r="176">
      <c r="A176" s="4" t="s">
        <v>345</v>
      </c>
      <c r="B176" s="5" t="s">
        <v>346</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351</v>
      </c>
      <c r="B179" s="5" t="s">
        <v>352</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355</v>
      </c>
      <c r="B181" s="5" t="s">
        <v>356</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357</v>
      </c>
      <c r="B182" s="5" t="s">
        <v>358</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359</v>
      </c>
      <c r="B183" s="5" t="s">
        <v>360</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369</v>
      </c>
      <c r="B188" s="5" t="s">
        <v>370</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379</v>
      </c>
      <c r="B193" s="5" t="s">
        <v>380</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381</v>
      </c>
      <c r="B194" s="5" t="s">
        <v>382</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385</v>
      </c>
      <c r="B196" s="5" t="s">
        <v>386</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""ml"")"),"ഓൺലൈനിൽ പോകുക")</f>
        <v>ഓൺലൈനിൽ പോകുക</v>
      </c>
      <c r="G199" s="7" t="str">
        <f>IFERROR(__xludf.DUMMYFUNCTION("GOOGLETRANSLATE(B199, ""en"", ""te"")"),"ఆన్‌లైన్‌లోకి వెళ్లండి")</f>
        <v>ఆన్‌లైన్‌లోకి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409</v>
      </c>
      <c r="B208" s="5" t="s">
        <v>410</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243</v>
      </c>
      <c r="B212" s="5" t="s">
        <v>244</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419</v>
      </c>
      <c r="B214" s="5" t="s">
        <v>420</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421</v>
      </c>
      <c r="B215" s="5" t="s">
        <v>422</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425</v>
      </c>
      <c r="B217" s="5" t="s">
        <v>426</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427</v>
      </c>
      <c r="B218" s="5" t="s">
        <v>428</v>
      </c>
      <c r="C218" s="6" t="str">
        <f>IFERROR(__xludf.DUMMYFUNCTION("GOOGLETRANSLATE(B218, ""en"", ""ta"")"),"முடிவு இடம்")</f>
        <v>முடிவு இடம்</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437</v>
      </c>
      <c r="B223" s="5" t="s">
        <v>438</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443</v>
      </c>
      <c r="B226" s="5" t="s">
        <v>444</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445</v>
      </c>
      <c r="B227" s="5" t="s">
        <v>446</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447</v>
      </c>
      <c r="B228" s="5" t="s">
        <v>448</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455</v>
      </c>
      <c r="B234" s="5" t="s">
        <v>456</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473</v>
      </c>
      <c r="B243" s="5" t="s">
        <v>474</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477</v>
      </c>
      <c r="B245" s="5" t="s">
        <v>478</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479</v>
      </c>
      <c r="B246" s="5" t="s">
        <v>480</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507</v>
      </c>
      <c r="B260" s="5" t="s">
        <v>508</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532</v>
      </c>
      <c r="B274" s="5" t="s">
        <v>533</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538</v>
      </c>
      <c r="B277" s="5" t="s">
        <v>539</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548</v>
      </c>
      <c r="B282" s="5" t="s">
        <v>549</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""ml"")"),"കുടിശ്ശിക തുക ബാക്കിയുണ്ടെങ്കിൽ ദയവായി എല്ലാ കുടിശ്ശികയും മുൻകൂട്ടി തീർക്കുക.")</f>
        <v>കുടിശ്ശിക തുക ബാക്കിയുണ്ടെങ്കിൽ ദയവായി എല്ലാ കുടിശ്ശികയും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563</v>
      </c>
      <c r="B290" s="5" t="s">
        <v>564</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569</v>
      </c>
      <c r="B293" s="5" t="s">
        <v>570</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573</v>
      </c>
      <c r="B295" s="5" t="s">
        <v>574</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583</v>
      </c>
      <c r="B300" s="5" t="s">
        <v>584</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589</v>
      </c>
      <c r="B304" s="5" t="s">
        <v>590</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595</v>
      </c>
      <c r="B307" s="5" t="s">
        <v>596</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597</v>
      </c>
      <c r="B308" s="5" t="s">
        <v>598</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599</v>
      </c>
      <c r="B309" s="5" t="s">
        <v>600</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603</v>
      </c>
      <c r="B311" s="5" t="s">
        <v>604</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611</v>
      </c>
      <c r="B315" s="5" t="s">
        <v>612</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613</v>
      </c>
      <c r="B316" s="10" t="s">
        <v>614</v>
      </c>
      <c r="C316" s="6" t="str">
        <f>IFERROR(__xludf.DUMMYFUNCTION("GOOGLETRANSLATE(B316, ""en"", ""ta"")"),"பயணியை அணுக முடியவில்லை அல்லது பிக்அப் இடத்தில் இல்லை.")</f>
        <v>பயணியை அணுக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1" t="s">
        <v>615</v>
      </c>
      <c r="B317" s="10" t="s">
        <v>616</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1" t="s">
        <v>617</v>
      </c>
      <c r="B318" s="10" t="s">
        <v>618</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1" t="s">
        <v>619</v>
      </c>
      <c r="B319" s="10" t="s">
        <v>620</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1" t="s">
        <v>621</v>
      </c>
      <c r="B320" s="10" t="s">
        <v>622</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639</v>
      </c>
      <c r="B329" s="5" t="s">
        <v>640</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649</v>
      </c>
      <c r="B334" s="5" t="s">
        <v>650</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655</v>
      </c>
      <c r="B337" s="5" t="s">
        <v>656</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661</v>
      </c>
      <c r="B340" s="5" t="s">
        <v>662</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और हम इसे हल करने में आपकी सहायता करेंगे।")</f>
        <v>अपनी समस्या का वर्णन करें और हम इसे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""te"")"),"సంబంధిత యాప్")</f>
        <v>సంబంధిత యాప్</v>
      </c>
    </row>
    <row r="343">
      <c r="A343" s="4" t="s">
        <v>667</v>
      </c>
      <c r="B343" s="5" t="s">
        <v>668</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671</v>
      </c>
      <c r="B345" s="5" t="s">
        <v>672</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691</v>
      </c>
      <c r="B355" s="5" t="s">
        <v>692</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699</v>
      </c>
      <c r="B359" s="5" t="s">
        <v>700</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419</v>
      </c>
      <c r="B360" s="5" t="s">
        <v>420</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701</v>
      </c>
      <c r="B361" s="5" t="s">
        <v>702</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703</v>
      </c>
      <c r="B363" s="5" t="s">
        <v>704</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709</v>
      </c>
      <c r="B366" s="5" t="s">
        <v>710</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చేయడం సాధ్యం కాదు - తొలగించబడిన డేటాను తిరిగి పొందడం సాధ్యం కాదు.")</f>
        <v>ఈ చర్యను రద్దు చేయడం సాధ్యం కాదు - తొలగించబడిన డేటాను తిరిగి పొందడం సాధ్యం కాదు.</v>
      </c>
    </row>
    <row r="368">
      <c r="A368" s="4" t="s">
        <v>713</v>
      </c>
      <c r="B368" s="5" t="s">
        <v>714</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715</v>
      </c>
      <c r="B369" s="5" t="s">
        <v>716</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717</v>
      </c>
      <c r="B370" s="5" t="s">
        <v>718</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723</v>
      </c>
      <c r="B373" s="5" t="s">
        <v>724</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725</v>
      </c>
      <c r="B374" s="5" t="s">
        <v>726</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ஆர்.சி. ஆவண பின்புறம்")</f>
        <v>வாகன ஆர்.சி. ஆவண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733</v>
      </c>
      <c r="B378" s="5" t="s">
        <v>734</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747</v>
      </c>
      <c r="B385" s="5" t="s">
        <v>748</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759</v>
      </c>
      <c r="B391" s="5" t="s">
        <v>760</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 ಇಮೇಲ್ ವಿಳಾಸವನ್ನು ನಮೂದಿಸಿ.")</f>
        <v>ದಯವಿಟ್ಟು ಮಾನ್ಯ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""te"")"),"గమ్యస్థానానికి చేరుకున్నారు")</f>
        <v>గమ్యస్థానానికి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f>
        <v>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2" t="s">
        <v>793</v>
      </c>
      <c r="B408" s="13" t="s">
        <v>794</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2" t="s">
        <v>795</v>
      </c>
      <c r="B409" s="13" t="s">
        <v>796</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797</v>
      </c>
      <c r="B410" s="5" t="s">
        <v>798</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801</v>
      </c>
      <c r="B412" s="5" t="s">
        <v>802</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823</v>
      </c>
      <c r="B423" s="5" t="s">
        <v>824</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2" t="s">
        <v>847</v>
      </c>
      <c r="B437" s="13" t="s">
        <v>848</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4" t="s">
        <v>849</v>
      </c>
      <c r="B438" s="13" t="s">
        <v>850</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4" t="s">
        <v>855</v>
      </c>
      <c r="B441" s="13" t="s">
        <v>856</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""ml"")"),"വാര്ത്താവിനിമയം")</f>
        <v>വാര്ത്താവിനിമയം</v>
      </c>
      <c r="G445" s="7" t="str">
        <f>IFERROR(__xludf.DUMMYFUNCTION("GOOGLETRANSLATE(B445, ""en"", ""te"")"),"సంప్రదించండి")</f>
        <v>సంప్రదించండి</v>
      </c>
    </row>
    <row r="446">
      <c r="A446" s="12" t="s">
        <v>863</v>
      </c>
      <c r="B446" s="13" t="s">
        <v>864</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995</v>
      </c>
      <c r="B495" s="5" t="s">
        <v>996</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1008</v>
      </c>
      <c r="B500" s="5" t="s">
        <v>1009</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1088</v>
      </c>
      <c r="B528" s="5" t="s">
        <v>1089</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1189</v>
      </c>
      <c r="B563" s="13" t="s">
        <v>1190</v>
      </c>
      <c r="C563" s="6" t="s">
        <v>1191</v>
      </c>
      <c r="D563" s="6" t="str">
        <f>IFERROR(__xludf.DUMMYFUNCTION("GOOGLETRANSLATE(B563, ""en"", ""hi"")"),"नम्मा ऊरु टैक्सी के साथ ड्राइव करें")</f>
        <v>नम्मा ऊरु टैक्सी के साथ ड्राइव करें</v>
      </c>
      <c r="E563" s="6" t="str">
        <f>IFERROR(__xludf.DUMMYFUNCTION("GOOGLETRANSLATE(B563, ""en"", ""kn"")"),"ನಮ್ಮ ಊರು ಟ್ಯಾಕ್ಸಿಯೊಂದಿಗೆ ಚಾಲನೆ ಮಾಡಿ")</f>
        <v>ನಮ್ಮ ಊರು ಟ್ಯಾಕ್ಸಿಯೊಂದಿಗೆ ಚಾಲನೆ ಮಾಡಿ</v>
      </c>
      <c r="F563" s="7" t="str">
        <f>IFERROR(__xludf.DUMMYFUNCTION("GOOGLETRANSLATE(B563, ""en"", ""ml"")"),"നമ്മ ഊരു ടാക്സിയിൽ യാത്ര ചെയ്യൂ")</f>
        <v>നമ്മ ഊരു ടാക്സിയിൽ യാത്ര ചെയ്യൂ</v>
      </c>
      <c r="G563" s="7" t="str">
        <f>IFERROR(__xludf.DUMMYFUNCTION("GOOGLETRANSLATE(B563, ""en"", ""te"")"),"నమ్మ ఊరు టాక్సీతో డ్రైవ్ చేయండి")</f>
        <v>నమ్మ ఊరు టాక్సీతో డ్రైవ్ చేయండి</v>
      </c>
    </row>
    <row r="564">
      <c r="A564" s="4" t="s">
        <v>1192</v>
      </c>
      <c r="B564" s="13" t="s">
        <v>1193</v>
      </c>
      <c r="C564" s="6" t="s">
        <v>1194</v>
      </c>
      <c r="D564" s="6" t="str">
        <f>IFERROR(__xludf.DUMMYFUNCTION("GOOGLETRANSLATE(B564, ""en"", ""hi"")"),"साइनअप नम्मा ऊरु टैक्सी ड्राइवर ऐप")</f>
        <v>साइनअप नम्मा ऊरु टैक्सी ड्राइवर ऐप</v>
      </c>
      <c r="E564" s="6" t="str">
        <f>IFERROR(__xludf.DUMMYFUNCTION("GOOGLETRANSLATE(B564, ""en"", ""kn"")"),"ಸೈನ್ ಅಪ್ ನಮ್ಮ ಊರು ಟ್ಯಾಕ್ಸಿ ಡ್ರೈವರ್ ಅಪ್ಲಿಕೇಶನ್")</f>
        <v>ಸೈನ್ ಅಪ್ ನಮ್ಮ ಊರು ಟ್ಯಾಕ್ಸಿ ಡ್ರೈವರ್ ಅಪ್ಲಿಕೇಶನ್</v>
      </c>
      <c r="F564" s="7" t="str">
        <f>IFERROR(__xludf.DUMMYFUNCTION("GOOGLETRANSLATE(B564, ""en"", ""ml"")"),"നമ്മ ഊരു ടാക്സി ഡ്രൈവർ ആപ്പ് സൈൻ അപ്പ് ചെയ്യുക")</f>
        <v>നമ്മ ഊരു ടാക്സി ഡ്രൈവർ ആപ്പ് സൈൻ അപ്പ് ചെയ്യുക</v>
      </c>
      <c r="G564" s="7" t="str">
        <f>IFERROR(__xludf.DUMMYFUNCTION("GOOGLETRANSLATE(B564, ""en"", ""te"")"),"సైన్అప్ నమ్మ ఊరు టాక్సీ డ్రైవర్ యాప్")</f>
        <v>సైన్అప్ నమ్మ ఊరు టాక్సీ డ్రైవర్ యాప్</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ಗೆ ಹೋಗಿ")</f>
        <v>ನಮ್ಮನ್ನು ಸಂಪರ್ಕಿಸಿ ಗೆ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13" t="s">
        <v>1217</v>
      </c>
      <c r="C572" s="6" t="s">
        <v>1218</v>
      </c>
      <c r="D572" s="6" t="str">
        <f>IFERROR(__xludf.DUMMYFUNCTION("GOOGLETRANSLATE(B572, ""en"", ""hi"")"),"ड्राइवर ऐप के रूप में साइन अप करें और बुनियादी जानकारी के साथ अपना ड्राइवर प्रोफाइल बनाएं।")</f>
        <v>ड्राइवर ऐप के रूप में साइन अप करें और बुनियादी जानकारी के साथ अपना ड्राइवर प्रोफाइल बनाएं।</v>
      </c>
      <c r="E572" s="6" t="str">
        <f>IFERROR(__xludf.DUMMYFUNCTION("GOOGLETRANSLATE(B572, ""en"", ""kn"")"),"ಚಾಲಕ ಅಪ್ಲಿಕೇಶನ್ ಆಗಿ ಸೈನ್ ಅಪ್ ಮಾಡಿ ಮತ್ತು ಮೂಲಭೂತ ಮಾಹಿತಿಯೊಂದಿಗೆ ನಿಮ್ಮ ಚಾಲಕ ಪ್ರೊಫೈಲ್ ಅನ್ನು ರಚಿಸಿ.")</f>
        <v>ಚಾಲಕ ಅಪ್ಲಿಕೇಶನ್ ಆಗಿ ಸೈನ್ ಅಪ್ ಮಾಡಿ ಮತ್ತು ಮೂಲಭೂತ ಮಾಹಿತಿಯೊಂದಿಗೆ ನಿಮ್ಮ ಚಾಲಕ ಪ್ರೊಫೈಲ್ ಅನ್ನು ರಚಿಸಿ.</v>
      </c>
      <c r="F572" s="7" t="str">
        <f>IFERROR(__xludf.DUMMYFUNCTION("GOOGLETRANSLATE(B572, ""en"", ""ml"")"),"ഒരു ഡ്രൈവർ ആപ്പായി സൈൻ അപ്പ് ചെയ്ത് അടിസ്ഥാന വിവരങ്ങൾ ഉപയോഗിച്ച് നിങ്ങളുടെ ഡ്രൈവർ പ്രൊഫൈൽ സൃഷ്ടിക്കുക.")</f>
        <v>ഒരു ഡ്രൈവർ ആപ്പായി സൈൻ അപ്പ് ചെയ്ത് അടിസ്ഥാന വിവരങ്ങൾ ഉപയോഗിച്ച് നിങ്ങളുടെ ഡ്രൈവർ പ്രൊഫൈൽ സൃഷ്ടിക്കുക.</v>
      </c>
      <c r="G572" s="7" t="str">
        <f>IFERROR(__xludf.DUMMYFUNCTION("GOOGLETRANSLATE(B572, ""en"", ""te"")"),"డ్రైవర్ యాప్‌గా సైన్ అప్ చేయండి మరియు ప్రాథమిక సమాచారంతో మీ డ్రైవర్ ప్రొఫైల్‌ను సృష్టించండి.")</f>
        <v>డ్రైవర్ యాప్‌గా సైన్ అప్ చేయండి మరియు ప్రాథమిక సమాచారంతో మీ డ్రైవర్ ప్రొఫైల్‌ను సృష్టించండి.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f>
        <v>ഡ്രോപ്പ്</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1324</v>
      </c>
      <c r="B609" s="5" t="s">
        <v>1325</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ഇല്ലാതാക്കുന്നതിൽ പരാജയപ്പെട്ടു. വീണ്ടും ശ്രമിക്കുക.")</f>
        <v>സ്ഥലം ഇല്ലാതാക്കുന്നതിൽ പരാജയപ്പെട്ടു.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f>
        <v>ഡ്രോപ്പ്</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""ml"")"),"{radius} കിലോമീറ്റർ ചുറ്റളവിലുള്ള ഒരു സ്ഥലം നിങ്ങൾ തിരഞ്ഞെടുക്കണം.")</f>
        <v>{radius} കിലോമീറ്റർ ചുറ്റളവിലുള്ള ഒരു സ്ഥലം നിങ്ങൾ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1830</v>
      </c>
      <c r="B784" s="5" t="s">
        <v>1831</v>
      </c>
      <c r="C784" s="6" t="s">
        <v>1832</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1900</v>
      </c>
      <c r="B808" s="5" t="s">
        <v>1901</v>
      </c>
      <c r="C808" s="6" t="s">
        <v>1902</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2081</v>
      </c>
      <c r="B873" s="5" t="s">
        <v>2082</v>
      </c>
      <c r="C873" s="6" t="s">
        <v>2083</v>
      </c>
      <c r="D873" s="6" t="str">
        <f>IFERROR(__xludf.DUMMYFUNCTION("GOOGLETRANSLATE(B873, ""en"", ""hi"")"),"राइड रद्द हो गई")</f>
        <v>राइड रद्द हो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2106</v>
      </c>
      <c r="B882" s="5" t="s">
        <v>2107</v>
      </c>
      <c r="C882" s="6" t="s">
        <v>2108</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റദ്ദാക്കി.")</f>
        <v>യാത്ര പകുതി വഴിയിൽ റദ്ദാക്കി.</v>
      </c>
      <c r="G886" s="7" t="str">
        <f>IFERROR(__xludf.DUMMYFUNCTION("GOOGLETRANSLATE(B886, ""en"", ""te"")"),"రైడ్ మధ్యలో రద్దు చేయబడింది")</f>
        <v>రైడ్ మధ్యలో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""ml"")"),"പട്ടിക")</f>
        <v>പട്ടിക</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లొకేషన్‌ను శోధించండి")</f>
        <v>పికప్ లొకేషన్‌ను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2220</v>
      </c>
      <c r="B923" s="5" t="s">
        <v>2221</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 എത്തൽ")</f>
        <v>ഡ്രൈവർ വൈകി എത്തൽ</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2312</v>
      </c>
      <c r="B954" s="5" t="s">
        <v>2313</v>
      </c>
      <c r="C954" s="6" t="s">
        <v>2314</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""te"")"),"సంబంధిత యాప్")</f>
        <v>సంబంధిత యాప్</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और हम इसे हल करने में आपकी सहायता करेंगे।")</f>
        <v>अपनी समस्या का वर्णन करें और हम इसे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ദയവായി മറ്റൊരു വാഹനം തിരഞ്ഞെടുക്കുകയോ {maxKm} കിലോമീറ്ററിൽ താഴെയുള്ള യാത്ര പ്ലാൻ ചെയ്യുകയോ ചെയ്യുക.")</f>
        <v>{vehicleName} പരമാവധി ദൂരം {maxKm} കിലോമീറ്ററാണ്. ദയവായി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2" t="s">
        <v>2619</v>
      </c>
      <c r="B1070" s="19" t="s">
        <v>2620</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2" t="s">
        <v>2621</v>
      </c>
      <c r="B1071" s="19" t="s">
        <v>2622</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2" t="s">
        <v>2623</v>
      </c>
      <c r="B1072" s="19" t="s">
        <v>2624</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2" t="s">
        <v>2635</v>
      </c>
      <c r="B1078" s="13" t="s">
        <v>2636</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अक्षम है।")</f>
        <v>इस मोड में संपादन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2" t="s">
        <v>2637</v>
      </c>
      <c r="B1079" s="13" t="s">
        <v>2638</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2643</v>
      </c>
      <c r="B1082" s="8" t="s">
        <v>2644</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2651</v>
      </c>
      <c r="B1086" s="8" t="s">
        <v>2652</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കാത്തിരിക്കൂ...")</f>
        <v>ഡോക്യുമെന്റ് അപ്‌ലോഡ് ചെയ്യുന്നു. കാത്തിരിക്കൂ...</v>
      </c>
      <c r="G1086" s="7" t="str">
        <f>IFERROR(__xludf.DUMMYFUNCTION("GOOGLETRANSLATE(B1086, ""en"", ""te"")"),"పత్రాన్ని అప్‌లోడ్ చేస్తోంది. దయచేసి వేచి ఉండండి…")</f>
        <v>పత్రాన్ని అప్‌లోడ్ చేస్తోంది. దయచేసి వేచి ఉండండి…</v>
      </c>
    </row>
    <row r="1087">
      <c r="A1087" s="20" t="s">
        <v>2653</v>
      </c>
      <c r="B1087" s="8" t="s">
        <v>2654</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2655</v>
      </c>
      <c r="B1088" s="8" t="s">
        <v>2656</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ಫೋಟೋವನ್ನು ಅಪ್‌ಲೋಡ್ ಮಾಡಿ ಅಥವಾ ಸೆರೆಹಿಡಿಯಿರಿ")</f>
        <v>ಚಾಲಕ ಫೋಟೋವನ್ನು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2661</v>
      </c>
      <c r="B1091" s="8" t="s">
        <v>2662</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2" t="s">
        <v>2663</v>
      </c>
      <c r="B1092" s="13" t="s">
        <v>2664</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പിടിച്ചെടുക്കുക")</f>
        <v>ആധാർ കാർഡ് അപ്‌ലോഡ് ചെയ്യുക അല്ലെങ്കിൽ പിടിച്ചെടുക്കുക</v>
      </c>
      <c r="G1092" s="7" t="str">
        <f>IFERROR(__xludf.DUMMYFUNCTION("GOOGLETRANSLATE(B1092, ""en"", ""te"")"),"ఆధార్ కార్డును అప్‌లోడ్ చేయండి లేదా సంగ్రహించండి")</f>
        <v>ఆధార్ కార్డును అప్‌లోడ్ చేయండి లేదా సంగ్రహించండి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2635</v>
      </c>
      <c r="B1101" s="13" t="s">
        <v>2636</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अक्षम है।")</f>
        <v>इस मोड में संपादन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ఒక కారణాన్ని నమోదు చేయండి.")</f>
        <v>దయచేసి ఒక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""te"")"),"పెండింగ్ బకాయి మొత్తం")</f>
        <v>పెండింగ్ బకాయి మొత్తం</v>
      </c>
    </row>
    <row r="1108">
      <c r="A1108" s="12" t="s">
        <v>2695</v>
      </c>
      <c r="B1108" s="13" t="s">
        <v>2696</v>
      </c>
      <c r="C1108" s="6" t="str">
        <f>IFERROR(__xludf.DUMMYFUNCTION("GOOGLETRANSLATE(B1108, ""en"", ""ta"")"),"சவாரிகளைத் தொடர்ந்து ஏற்றுக்கொள்ள உங்கள் நிலுவைத் தொகையை செலுத்துங்கள்.")</f>
        <v>சவாரிகளைத் தொடர்ந்து ஏற்றுக்கொள்ள உங்கள் நிலுவைத் தொகையை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 అంగీకరించడం కొనసాగించడానికి మీ బకాయిలను క్లియర్ చేయండి.")</f>
        <v>రైడ్‌లు అంగీకరించడం కొనసాగించడానికి మీ బకాయిలను క్లియర్ చేయండి.</v>
      </c>
    </row>
    <row r="1109">
      <c r="A1109" s="12" t="s">
        <v>2697</v>
      </c>
      <c r="B1109" s="13" t="s">
        <v>2698</v>
      </c>
      <c r="C1109" s="6" t="str">
        <f>IFERROR(__xludf.DUMMYFUNCTION("GOOGLETRANSLATE(B1109, ""en"", ""ta"")"),"விரைவில் பணம் செலுத்த வேண்டியிருக்கும்")</f>
        <v>விரைவில் பணம் செலுத்த வேண்டியிருக்கும்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""te"")"),"చెల్లింపు త్వరలో జరగాల్సి ఉంది")</f>
        <v>చెల్లింపు త్వరలో జరగాల్సి ఉంది</v>
      </c>
    </row>
    <row r="1110">
      <c r="A1110" s="12" t="s">
        <v>2699</v>
      </c>
      <c r="B1110" s="13" t="s">
        <v>2700</v>
      </c>
      <c r="C1110" s="6" t="str">
        <f>IFERROR(__xludf.DUMMYFUNCTION("GOOGLETRANSLATE(B1110, ""en"", ""ta"")"),"நிலுவைத் தொகை")</f>
        <v>நிலுவைத்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""te"")"),"చెల్లించాల్సిన మొత్తం")</f>
        <v>చెల్లించాల్సిన మొత్తం</v>
      </c>
    </row>
    <row r="1111">
      <c r="A1111" s="12" t="s">
        <v>2701</v>
      </c>
      <c r="B1111" s="13" t="s">
        <v>2702</v>
      </c>
      <c r="C1111" s="6" t="str">
        <f>IFERROR(__xludf.DUMMYFUNCTION("GOOGLETRANSLATE(B1111, ""en"", ""ta"")"),"அடுத்த தேதி")</f>
        <v>அடுத்த தேதி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గడువు తేదీ")</f>
        <v>తదుపరి గడువు తేదీ</v>
      </c>
    </row>
    <row r="1112">
      <c r="A1112" s="12" t="s">
        <v>2703</v>
      </c>
      <c r="B1112" s="13" t="s">
        <v>2704</v>
      </c>
      <c r="C1112" s="6" t="str">
        <f>IFERROR(__xludf.DUMMYFUNCTION("GOOGLETRANSLATE(B1112, ""en"", ""ta"")"),"அதிகபட்ச காத்திருப்பு நேரம் {maxwaitingTime} நிமிடங்கள்.")</f>
        <v>அதிகபட்ச காத்திருப்பு நேரம் {maxwaitingTime} நிமிடங்கள்.</v>
      </c>
      <c r="D1112" s="6" t="str">
        <f>IFERROR(__xludf.DUMMYFUNCTION("GOOGLETRANSLATE(B1112, ""en"", ""hi"")"),"अधिकतम प्रतीक्षा समय {maxwaitingTime} मिनट है")</f>
        <v>अधिकतम प्रतीक्षा समय {maxwaitingTime} मिनट है</v>
      </c>
      <c r="E1112" s="6" t="str">
        <f>IFERROR(__xludf.DUMMYFUNCTION("GOOGLETRANSLATE(B1112, ""en"", ""kn"")"),"ಗರಿಷ್ಠ ಕಾಯುವ ಸಮಯ {maxwaitingTime} ನಿಮಿಷಗಳು")</f>
        <v>ಗರಿಷ್ಠ ಕಾಯುವ ಸಮಯ {maxwaitingTime} ನಿಮಿಷಗಳು</v>
      </c>
      <c r="F1112" s="7" t="str">
        <f>IFERROR(__xludf.DUMMYFUNCTION("GOOGLETRANSLATE(B1112, ""en"", ""ml"")"),"പരമാവധി കാത്തിരിപ്പ് സമയം {maxwaitingTime} മിനിറ്റാണ്")</f>
        <v>പരമാവധി കാത്തിരിപ്പ് സമയം {maxwaitingTime} മിനിറ്റാണ്</v>
      </c>
      <c r="G1112" s="7" t="str">
        <f>IFERROR(__xludf.DUMMYFUNCTION("GOOGLETRANSLATE(B1112, ""en"", ""te"")"),"గరిష్ట నిరీక్షణ సమయం {maxwaitingTime} నిమిషాలు")</f>
        <v>గరిష్ట నిరీక్షణ సమయం {maxwaitingTime} నిమిషాలు</v>
      </c>
    </row>
    <row r="1113">
      <c r="A1113" s="12" t="s">
        <v>2705</v>
      </c>
      <c r="B1113" s="13" t="s">
        <v>539</v>
      </c>
      <c r="C1113" s="6" t="str">
        <f>IFERROR(__xludf.DUMMYFUNCTION("GOOGLETRANSLATE(B1113, ""en"", ""ta"")"),"பயணத்தை ரத்துசெய்")</f>
        <v>பயணத்தை ரத்துசெய்</v>
      </c>
      <c r="D1113" s="6" t="str">
        <f>IFERROR(__xludf.DUMMYFUNCTION("GOOGLETRANSLATE(B1113, ""en"", ""hi"")"),"यात्रा रद्द करें")</f>
        <v>यात्रा रद्द करें</v>
      </c>
      <c r="E1113" s="6" t="str">
        <f>IFERROR(__xludf.DUMMYFUNCTION("GOOGLETRANSLATE(B1113, ""en"", ""kn"")"),"ಪ್ರವಾಸ ರದ್ದುಗೊಳಿಸಿ")</f>
        <v>ಪ್ರವಾಸ ರದ್ದುಗೊಳಿಸಿ</v>
      </c>
      <c r="F1113" s="7" t="str">
        <f>IFERROR(__xludf.DUMMYFUNCTION("GOOGLETRANSLATE(B1113, ""en"", ""ml"")"),"യാത്ര റദ്ദാക്കുക")</f>
        <v>യാത്ര റദ്ദാക്കുക</v>
      </c>
      <c r="G1113" s="7" t="str">
        <f>IFERROR(__xludf.DUMMYFUNCTION("GOOGLETRANSLATE(B1113, ""en"", ""te"")"),"ట్రిప్ రద్దు చేయి")</f>
        <v>ట్రిప్ రద్దు చేయి</v>
      </c>
    </row>
    <row r="1114">
      <c r="A1114" s="12" t="s">
        <v>2706</v>
      </c>
      <c r="B1114" s="13" t="s">
        <v>2707</v>
      </c>
      <c r="C1114" s="6" t="str">
        <f>IFERROR(__xludf.DUMMYFUNCTION("GOOGLETRANSLATE(B1114, ""en"", ""ta"")"),"இந்தப் பயணத்தை ரத்து செய்ய விரும்புகிறீர்களா? ரத்துசெய்தல் அபராதம் விதிக்கப்படலாம்.")</f>
        <v>இந்தப் பயணத்தை ரத்து செய்ய விரும்புகிறீர்களா? ரத்துசெய்தல் அபராதம் விதிக்கப்படலாம்.</v>
      </c>
      <c r="D1114" s="6" t="str">
        <f>IFERROR(__xludf.DUMMYFUNCTION("GOOGLETRANSLATE(B1114, ""en"", ""hi"")"),"क्या आप वाकई इस यात्रा को रद्द करना चाहते हैं? रद्द करने पर जुर्माना लग सकता है।")</f>
        <v>क्या आप वाकई इस यात्रा को रद्द करना चाहते हैं? रद्द करने पर जुर्माना लग सकता है।</v>
      </c>
      <c r="E1114" s="6" t="str">
        <f>IFERROR(__xludf.DUMMYFUNCTION("GOOGLETRANSLATE(B1114, ""en"", ""kn"")"),"ಈ ಪ್ರವಾಸವನ್ನು ರದ್ದುಗೊಳಿಸಲು ನೀವು ಖಚಿತವಾಗಿ ಬಯಸುವಿರಾ? ರದ್ದತಿ ದಂಡ ಅನ್ವಯಿಸಬಹುದು.")</f>
        <v>ಈ ಪ್ರವಾಸವನ್ನು ರದ್ದುಗೊಳಿಸಲು ನೀವು ಖಚಿತವಾಗಿ ಬಯಸುವಿರಾ? ರದ್ದತಿ ದಂಡ ಅನ್ವಯಿಸಬಹುದು.</v>
      </c>
      <c r="F1114" s="7" t="str">
        <f>IFERROR(__xludf.DUMMYFUNCTION("GOOGLETRANSLATE(B1114, ""en"", ""ml"")"),"ഈ യാത്ര റദ്ദാക്കണമെന്ന് നിങ്ങൾക്ക് ഉറപ്പാണോ? റദ്ദാക്കൽ പിഴ ബാധകമായേക്കാം.")</f>
        <v>ഈ യാത്ര റദ്ദാക്കണമെന്ന് നിങ്ങൾക്ക് ഉറപ്പാണോ? റദ്ദാക്കൽ പിഴ ബാധകമായേക്കാം.</v>
      </c>
      <c r="G1114" s="7" t="str">
        <f>IFERROR(__xludf.DUMMYFUNCTION("GOOGLETRANSLATE(B1114, ""en"", ""te"")"),"మీరు ఈ ట్రిప్‌ను ఖచ్చితంగా రద్దు చేయాలనుకుంటున్నారా? రద్దు జరిమానా వర్తించవచ్చు.")</f>
        <v>మీరు ఈ ట్రిప్‌ను ఖచ్చితంగా రద్దు చేయాలనుకుంటున్నారా? రద్దు జరిమానా వర్తించవచ్చు.</v>
      </c>
    </row>
    <row r="1115">
      <c r="A1115" s="12" t="s">
        <v>2708</v>
      </c>
      <c r="B1115" s="13" t="s">
        <v>2709</v>
      </c>
      <c r="C1115" s="6" t="str">
        <f>IFERROR(__xludf.DUMMYFUNCTION("GOOGLETRANSLATE(B1115, ""en"", ""ta"")"),"எப்படியும் ரத்துசெய்")</f>
        <v>எப்படியும் ரத்துசெய்</v>
      </c>
      <c r="D1115" s="6" t="str">
        <f>IFERROR(__xludf.DUMMYFUNCTION("GOOGLETRANSLATE(B1115, ""en"", ""hi"")"),"फिर भी रद्द करें")</f>
        <v>फिर भी रद्द करें</v>
      </c>
      <c r="E1115" s="6" t="str">
        <f>IFERROR(__xludf.DUMMYFUNCTION("GOOGLETRANSLATE(B1115, ""en"", ""kn"")"),"ಹೇಗಾದರೂ ರದ್ದುಮಾಡಿ")</f>
        <v>ಹೇಗಾದರೂ ರದ್ದುಮಾಡಿ</v>
      </c>
      <c r="F1115" s="7" t="str">
        <f>IFERROR(__xludf.DUMMYFUNCTION("GOOGLETRANSLATE(B1115, ""en"", ""ml"")"),"എന്തായാലും റദ്ദാക്കുക")</f>
        <v>എന്തായാലും റദ്ദാക്കുക</v>
      </c>
      <c r="G1115" s="7" t="str">
        <f>IFERROR(__xludf.DUMMYFUNCTION("GOOGLETRANSLATE(B1115, ""en"", ""te"")"),"ఏదేమైనా రద్దు చేయి")</f>
        <v>ఏదేమైనా రద్దు చేయి</v>
      </c>
    </row>
    <row r="1116">
      <c r="A1116" s="12" t="s">
        <v>2710</v>
      </c>
      <c r="B1116" s="13" t="s">
        <v>2711</v>
      </c>
      <c r="C1116" s="6" t="str">
        <f>IFERROR(__xludf.DUMMYFUNCTION("GOOGLETRANSLATE(B1116, ""en"", ""ta"")"),"iOS இல் டிரைவர் செயலி")</f>
        <v>iOS இல் டிரைவர் செயலி</v>
      </c>
      <c r="D1116" s="6" t="str">
        <f>IFERROR(__xludf.DUMMYFUNCTION("GOOGLETRANSLATE(B1116, ""en"", ""hi"")"),"iOS पर ड्राइवर ऐप")</f>
        <v>iOS पर ड्राइवर ऐप</v>
      </c>
      <c r="E1116" s="6" t="str">
        <f>IFERROR(__xludf.DUMMYFUNCTION("GOOGLETRANSLATE(B1116, ""en"", ""kn"")"),"iOS ನಲ್ಲಿ ಚಾಲಕ ಅಪ್ಲಿಕೇಶನ್")</f>
        <v>iOS ನಲ್ಲಿ ಚಾಲಕ ಅಪ್ಲಿಕೇಶನ್</v>
      </c>
      <c r="F1116" s="7" t="str">
        <f>IFERROR(__xludf.DUMMYFUNCTION("GOOGLETRANSLATE(B1116, ""en"", ""ml"")"),"iOS-ലെ ഡ്രൈവർ ആപ്പ്")</f>
        <v>iOS-ലെ ഡ്രൈവർ ആപ്പ്</v>
      </c>
      <c r="G1116" s="7" t="str">
        <f>IFERROR(__xludf.DUMMYFUNCTION("GOOGLETRANSLATE(B1116, ""en"", ""te"")"),"iOS లో డ్రైవర్ యాప్")</f>
        <v>iOS లో డ్రైవర్ యాప్</v>
      </c>
    </row>
    <row r="1117">
      <c r="A1117" s="12" t="s">
        <v>2712</v>
      </c>
      <c r="B1117" s="13" t="s">
        <v>2713</v>
      </c>
      <c r="C1117" s="6" t="str">
        <f>IFERROR(__xludf.DUMMYFUNCTION("GOOGLETRANSLATE(B1117, ""en"", ""ta"")"),"நம்ம ஊரு டாக்ஸி டிரைவர் ஆப் தற்போது iOS இல் கிடைக்கவில்லை. டிரைவர் செயலியை அணுக Android சாதனத்தைப் பயன்படுத்தவும்.")</f>
        <v>நம்ம ஊரு டாக்ஸி டிரைவர் ஆப் தற்போது iOS இல் கிடைக்கவில்லை. டிரைவர் செயலியை அணுக Android சாதனத்தைப் பயன்படுத்தவும்.</v>
      </c>
      <c r="D1117" s="6" t="str">
        <f>IFERROR(__xludf.DUMMYFUNCTION("GOOGLETRANSLATE(B1117, ""en"", ""hi"")"),"Namma Ooru Taxi Driver App फिलहाल iOS पर उपलब्ध नहीं है। कृपया ड्राइवर ऐप का उपयोग करने के लिए Android डिवाइस का इस्तेमाल करें।")</f>
        <v>Namma Ooru Taxi Driver App फिलहाल iOS पर उपलब्ध नहीं है। कृपया ड्राइवर ऐप का उपयोग करने के लिए Android डिवाइस का इस्तेमाल करें।</v>
      </c>
      <c r="E1117" s="6" t="str">
        <f>IFERROR(__xludf.DUMMYFUNCTION("GOOGLETRANSLATE(B1117, ""en"", ""kn"")"),"ನಮ್ಮ ಊರು ಟ್ಯಾಕ್ಸಿ ಡ್ರೈವರ್ ಆಪ್ ಸದ್ಯಕ್ಕೆ iOS ನಲ್ಲಿ ಲಭ್ಯವಿಲ್ಲ. ಡ್ರೈವರ್ ಆಪ್ ಪ್ರವೇಶಿಸಲು ದಯವಿಟ್ಟು Android ಸಾಧನವನ್ನು ಬಳಸಿ.")</f>
        <v>ನಮ್ಮ ಊರು ಟ್ಯಾಕ್ಸಿ ಡ್ರೈವರ್ ಆಪ್ ಸದ್ಯಕ್ಕೆ iOS ನಲ್ಲಿ ಲಭ್ಯವಿಲ್ಲ. ಡ್ರೈವರ್ ಆಪ್ ಪ್ರವೇಶಿಸಲು ದಯವಿಟ್ಟು Android ಸಾಧನವನ್ನು ಬಳಸಿ.</v>
      </c>
      <c r="F1117" s="7" t="str">
        <f>IFERROR(__xludf.DUMMYFUNCTION("GOOGLETRANSLATE(B1117, ""en"", ""ml"")"),"നമ്മ ഊരു ടാക്സി ഡ്രൈവർ ആപ്പ് ഇപ്പോൾ iOS-ൽ ലഭ്യമല്ല. ഡ്രൈവർ ആപ്പ് ആക്‌സസ് ചെയ്യാൻ ഒരു Android ഉപകരണം ഉപയോഗിക്കുക.")</f>
        <v>നമ്മ ഊരു ടാക്സി ഡ്രൈവർ ആപ്പ് ഇപ്പോൾ iOS-ൽ ലഭ്യമല്ല. ഡ്രൈവർ ആപ്പ് ആക്‌സസ് ചെയ്യാൻ ഒരു Android ഉപകരണം ഉപയോഗിക്കുക.</v>
      </c>
      <c r="G1117" s="7" t="str">
        <f>IFERROR(__xludf.DUMMYFUNCTION("GOOGLETRANSLATE(B1117, ""en"", ""te"")"),"నమ్మ ఊరు టాక్సీ డ్రైవర్ యాప్ ప్రస్తుతం iOS లో అందుబాటులో లేదు. డ్రైవర్ యాప్‌ను యాక్సెస్ చేయడానికి దయచేసి Android పరికరాన్ని ఉపయోగించండి.")</f>
        <v>నమ్మ ఊరు టాక్సీ డ్రైవర్ యాప్ ప్రస్తుతం iOS లో అందుబాటులో లేదు. డ్రైవర్ యాప్‌ను యాక్సెస్ చేయడానికి దయచేసి Android పరికరాన్ని ఉపయోగించండి.</v>
      </c>
    </row>
    <row r="1118">
      <c r="A1118" s="12" t="s">
        <v>2714</v>
      </c>
      <c r="B1118" s="13" t="s">
        <v>2715</v>
      </c>
      <c r="C1118" s="6" t="str">
        <f>IFERROR(__xludf.DUMMYFUNCTION("GOOGLETRANSLATE(B1118, ""en"", ""ta"")"),"ஓட்டுநராக பதிவு செய்யவும்")</f>
        <v>ஓட்டுநராக பதிவு செய்யவும்</v>
      </c>
      <c r="D1118" s="6" t="str">
        <f>IFERROR(__xludf.DUMMYFUNCTION("GOOGLETRANSLATE(B1118, ""en"", ""hi"")"),"ड्राइवर बनने के लिए साइन अप करें")</f>
        <v>ड्राइवर बनने के लिए साइन अप करें</v>
      </c>
      <c r="E1118" s="6" t="str">
        <f>IFERROR(__xludf.DUMMYFUNCTION("GOOGLETRANSLATE(B1118, ""en"", ""kn"")"),"ಚಾಲಕರಾಗಲು ಸೈನ್ ಅಪ್ ಮಾಡಿ")</f>
        <v>ಚಾಲಕರಾಗಲು ಸೈನ್ ಅಪ್ ಮಾಡಿ</v>
      </c>
      <c r="F1118" s="7" t="str">
        <f>IFERROR(__xludf.DUMMYFUNCTION("GOOGLETRANSLATE(B1118, ""en"", ""ml"")"),"ഡ്രൈവർ ആകാൻ സൈൻ അപ്പ് ചെയ്യുക")</f>
        <v>ഡ്രൈവർ ആകാൻ സൈൻ അപ്പ് ചെയ്യുക</v>
      </c>
      <c r="G1118" s="7" t="str">
        <f>IFERROR(__xludf.DUMMYFUNCTION("GOOGLETRANSLATE(B1118, ""en"", ""te"")"),"డ్రైవర్ కావడానికి సైన్ అప్ చేయండి")</f>
        <v>డ్రైవర్ కావడానికి సైన్ అప్ చేయండి</v>
      </c>
    </row>
    <row r="1119">
      <c r="A1119" s="12" t="s">
        <v>2716</v>
      </c>
      <c r="B1119" s="13" t="s">
        <v>2717</v>
      </c>
      <c r="C1119" s="6" t="str">
        <f>IFERROR(__xludf.DUMMYFUNCTION("GOOGLETRANSLATE(B1119, ""en"", ""ta"")"),"உங்கள் நண்பர்களைப் பரிந்துரைக்கவும்")</f>
        <v>உங்கள் நண்பர்களைப் பரிந்துரைக்கவும்</v>
      </c>
      <c r="D1119" s="6" t="str">
        <f>IFERROR(__xludf.DUMMYFUNCTION("GOOGLETRANSLATE(B1119, ""en"", ""hi"")"),"अपने दोस्तों को बताएं")</f>
        <v>अपने दोस्तों को बताएं</v>
      </c>
      <c r="E1119" s="6" t="str">
        <f>IFERROR(__xludf.DUMMYFUNCTION("GOOGLETRANSLATE(B1119, ""en"", ""kn"")"),"ನಿಮ್ಮ ಸ್ನೇಹಿತರನ್ನು ಉಲ್ಲೇಖಿಸಿ")</f>
        <v>ನಿಮ್ಮ ಸ್ನೇಹಿತರನ್ನು ಉಲ್ಲೇಖಿಸಿ</v>
      </c>
      <c r="F1119" s="7" t="str">
        <f>IFERROR(__xludf.DUMMYFUNCTION("GOOGLETRANSLATE(B1119, ""en"", ""ml"")"),"നിങ്ങളുടെ സുഹൃത്തുക്കളെ റഫർ ചെയ്യുക")</f>
        <v>നിങ്ങളുടെ സുഹൃത്തുക്കളെ റഫർ ചെയ്യുക</v>
      </c>
      <c r="G1119" s="7" t="str">
        <f>IFERROR(__xludf.DUMMYFUNCTION("GOOGLETRANSLATE(B1119, ""en"", ""te"")"),"మీ స్నేహితులను సూచించండి")</f>
        <v>మీ స్నేహితులను సూచించండి</v>
      </c>
    </row>
    <row r="1120">
      <c r="A1120" s="12" t="s">
        <v>2718</v>
      </c>
      <c r="B1120" s="13" t="s">
        <v>2719</v>
      </c>
      <c r="C1120" s="6" t="str">
        <f>IFERROR(__xludf.DUMMYFUNCTION("GOOGLETRANSLATE(B1120, ""en"", ""ta"")"),"பயணத்தைத் தொடங்க வாடிக்கையாளரைச் சரிபார்க்கவும்.")</f>
        <v>பயணத்தைத் தொடங்க வாடிக்கையாளரைச் சரிபார்க்கவும்.</v>
      </c>
      <c r="D1120" s="6" t="str">
        <f>IFERROR(__xludf.DUMMYFUNCTION("GOOGLETRANSLATE(B1120, ""en"", ""hi"")"),"यात्रा शुरू करने के लिए ग्राहक की पुष्टि करें")</f>
        <v>यात्रा शुरू करने के लिए ग्राहक की पुष्टि करें</v>
      </c>
      <c r="E1120" s="6" t="str">
        <f>IFERROR(__xludf.DUMMYFUNCTION("GOOGLETRANSLATE(B1120, ""en"", ""kn"")"),"ಪ್ರಯಾಣವನ್ನು ಪ್ರಾರಂಭಿಸಲು ಗ್ರಾಹಕರನ್ನು ಪರಿಶೀಲಿಸಿ.")</f>
        <v>ಪ್ರಯಾಣವನ್ನು ಪ್ರಾರಂಭಿಸಲು ಗ್ರಾಹಕರನ್ನು ಪರಿಶೀಲಿಸಿ.</v>
      </c>
      <c r="F1120" s="7" t="str">
        <f>IFERROR(__xludf.DUMMYFUNCTION("GOOGLETRANSLATE(B1120, ""en"", ""ml"")"),"യാത്ര ആരംഭിക്കാൻ ഉപഭോക്താവിനെ സ്ഥിരീകരിക്കുക.")</f>
        <v>യാത്ര ആരംഭിക്കാൻ ഉപഭോക്താവിനെ സ്ഥിരീകരിക്കുക.</v>
      </c>
      <c r="G1120" s="7" t="str">
        <f>IFERROR(__xludf.DUMMYFUNCTION("GOOGLETRANSLATE(B1120, ""en"", ""te"")"),"ట్రిప్ ప్రారంభించడానికి కస్టమర్‌ను ధృవీకరించండి.")</f>
        <v>ట్రిప్ ప్రారంభించడానికి కస్టమర్‌ను ధృవీకరించండి.</v>
      </c>
    </row>
    <row r="1121">
      <c r="A1121" s="23" t="s">
        <v>2720</v>
      </c>
      <c r="B1121" s="13" t="s">
        <v>2721</v>
      </c>
      <c r="C1121" s="6" t="str">
        <f>IFERROR(__xludf.DUMMYFUNCTION("GOOGLETRANSLATE(B1121, ""en"", ""ta"")"),"வாகன ஒப்புதல்")</f>
        <v>வாகன ஒப்புதல்</v>
      </c>
      <c r="D1121" s="6" t="str">
        <f>IFERROR(__xludf.DUMMYFUNCTION("GOOGLETRANSLATE(B1121, ""en"", ""hi"")"),"वाहन अनुमोदन")</f>
        <v>वाहन अनुमोदन</v>
      </c>
      <c r="E1121" s="6" t="str">
        <f>IFERROR(__xludf.DUMMYFUNCTION("GOOGLETRANSLATE(B1121, ""en"", ""kn"")"),"ವಾಹನ ಅನುಮೋದನೆ")</f>
        <v>ವಾಹನ ಅನುಮೋದನೆ</v>
      </c>
      <c r="F1121" s="7" t="str">
        <f>IFERROR(__xludf.DUMMYFUNCTION("GOOGLETRANSLATE(B1121, ""en"", ""ml"")"),"വാഹന അംഗീകാരം")</f>
        <v>വാഹന അംഗീകാരം</v>
      </c>
      <c r="G1121" s="7" t="str">
        <f>IFERROR(__xludf.DUMMYFUNCTION("GOOGLETRANSLATE(B1121, ""en"", ""te"")"),"వాహన ఆమోదం")</f>
        <v>వాహన ఆమోదం</v>
      </c>
    </row>
    <row r="1122">
      <c r="A1122" s="12" t="s">
        <v>2722</v>
      </c>
      <c r="B1122" s="13" t="s">
        <v>288</v>
      </c>
      <c r="C1122" s="6" t="str">
        <f>IFERROR(__xludf.DUMMYFUNCTION("GOOGLETRANSLATE(B1122,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122" s="6" t="str">
        <f>IFERROR(__xludf.DUMMYFUNCTION("GOOGLETRANSLATE(B1122,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122" s="6" t="str">
        <f>IFERROR(__xludf.DUMMYFUNCTION("GOOGLETRANSLATE(B1122,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122" s="7" t="str">
        <f>IFERROR(__xludf.DUMMYFUNCTION("GOOGLETRANSLATE(B1122,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122" s="7" t="str">
        <f>IFERROR(__xludf.DUMMYFUNCTION("GOOGLETRANSLATE(B1122,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123">
      <c r="A1123" s="12" t="s">
        <v>2723</v>
      </c>
      <c r="B1123" s="13" t="s">
        <v>290</v>
      </c>
      <c r="C1123" s="6" t="str">
        <f>IFERROR(__xludf.DUMMYFUNCTION("GOOGLETRANSLATE(B1123, ""en"", ""ta"")"),"பதிவு அல்லது செயலி தொடர்பாக ஏதேனும் கேள்விகள் இருந்தால், தயவுசெய்து")</f>
        <v>பதிவு அல்லது செயலி தொடர்பாக ஏதேனும் கேள்விகள் இருந்தால், தயவுசெய்து</v>
      </c>
      <c r="D1123" s="6" t="str">
        <f>IFERROR(__xludf.DUMMYFUNCTION("GOOGLETRANSLATE(B1123, ""en"", ""hi"")"),"यदि पंजीकरण या ऐप से संबंधित आपके कोई प्रश्न हैं, तो कृपया")</f>
        <v>यदि पंजीकरण या ऐप से संबंधित आपके कोई प्रश्न हैं, तो कृपया</v>
      </c>
      <c r="E1123" s="6" t="str">
        <f>IFERROR(__xludf.DUMMYFUNCTION("GOOGLETRANSLATE(B1123, ""en"", ""kn"")"),"ನೋಂದಣಿ ಅಥವಾ ಅಪ್ಲಿಕೇಶನ್ ಕುರಿತು ನೀವು ಯಾವುದೇ ಪ್ರಶ್ನೆಗಳನ್ನು ಹೊಂದಿದ್ದರೆ, ದಯವಿಟ್ಟು")</f>
        <v>ನೋಂದಣಿ ಅಥವಾ ಅಪ್ಲಿಕೇಶನ್ ಕುರಿತು ನೀವು ಯಾವುದೇ ಪ್ರಶ್ನೆಗಳನ್ನು ಹೊಂದಿದ್ದರೆ, ದಯವಿಟ್ಟು</v>
      </c>
      <c r="F1123" s="7" t="str">
        <f>IFERROR(__xludf.DUMMYFUNCTION("GOOGLETRANSLATE(B1123,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123" s="7" t="str">
        <f>IFERROR(__xludf.DUMMYFUNCTION("GOOGLETRANSLATE(B1123, ""en"", ""te"")"),"రిజిస్ట్రేషన్ లేదా యాప్ గురించి మీకు ఏవైనా ప్రశ్నలు ఉంటే, దయచేసి")</f>
        <v>రిజిస్ట్రేషన్ లేదా యాప్ గురించి మీకు ఏవైనా ప్రశ్నలు ఉంటే, దయచేసి</v>
      </c>
    </row>
    <row r="1124">
      <c r="A1124" s="12" t="s">
        <v>2724</v>
      </c>
      <c r="B1124" s="13" t="s">
        <v>2725</v>
      </c>
      <c r="C1124" s="6" t="str">
        <f>IFERROR(__xludf.DUMMYFUNCTION("GOOGLETRANSLATE(B1124, ""en"", ""ta"")"),"சில காரணங்களால் உங்கள் வாகனம் தடுக்கப்பட்டுள்ளது.")</f>
        <v>சில காரணங்களால் உங்கள் வாகனம் தடுக்கப்பட்டுள்ளது.</v>
      </c>
      <c r="D1124" s="6" t="str">
        <f>IFERROR(__xludf.DUMMYFUNCTION("GOOGLETRANSLATE(B1124, ""en"", ""hi"")"),"कुछ कारणों से आपका वाहन अवरुद्ध हो गया है।")</f>
        <v>कुछ कारणों से आपका वाहन अवरुद्ध हो गया है।</v>
      </c>
      <c r="E1124" s="6" t="str">
        <f>IFERROR(__xludf.DUMMYFUNCTION("GOOGLETRANSLATE(B1124, ""en"", ""kn"")"),"ಕೆಲವು ಕಾರಣಗಳಿಂದ ನಿಮ್ಮ ವಾಹನವನ್ನು ನಿರ್ಬಂಧಿಸಲಾಗಿದೆ.")</f>
        <v>ಕೆಲವು ಕಾರಣಗಳಿಂದ ನಿಮ್ಮ ವಾಹನವನ್ನು ನಿರ್ಬಂಧಿಸಲಾಗಿದೆ.</v>
      </c>
      <c r="F1124" s="7" t="str">
        <f>IFERROR(__xludf.DUMMYFUNCTION("GOOGLETRANSLATE(B1124, ""en"", ""ml"")"),"ചില കാരണങ്ങളാൽ നിങ്ങളുടെ വാഹനം തടഞ്ഞിരിക്കുന്നു.")</f>
        <v>ചില കാരണങ്ങളാൽ നിങ്ങളുടെ വാഹനം തടഞ്ഞിരിക്കുന്നു.</v>
      </c>
      <c r="G1124" s="7" t="str">
        <f>IFERROR(__xludf.DUMMYFUNCTION("GOOGLETRANSLATE(B1124, ""en"", ""te"")"),"కొన్ని కారణాల వల్ల మీ వాహనం బ్లాక్ చేయబడింది.")</f>
        <v>కొన్ని కారణాల వల్ల మీ వాహనం బ్లాక్ చేయబడింది.</v>
      </c>
    </row>
    <row r="1125">
      <c r="A1125" s="12" t="s">
        <v>2726</v>
      </c>
      <c r="B1125" s="13" t="s">
        <v>2727</v>
      </c>
      <c r="C1125" s="6" t="str">
        <f>IFERROR(__xludf.DUMMYFUNCTION("GOOGLETRANSLATE(B1125, ""en"", ""ta"")"),"உங்கள் வாகனம் நீக்கப்பட்டது.")</f>
        <v>உங்கள் வாகனம் நீக்கப்பட்டது.</v>
      </c>
      <c r="D1125" s="6" t="str">
        <f>IFERROR(__xludf.DUMMYFUNCTION("GOOGLETRANSLATE(B1125, ""en"", ""hi"")"),"आपका वाहन हटा दिया गया है।")</f>
        <v>आपका वाहन हटा दिया गया है।</v>
      </c>
      <c r="E1125" s="6" t="str">
        <f>IFERROR(__xludf.DUMMYFUNCTION("GOOGLETRANSLATE(B1125, ""en"", ""kn"")"),"ನಿಮ್ಮ ವಾಹನವನ್ನು ಅಳಿಸಲಾಗಿದೆ.")</f>
        <v>ನಿಮ್ಮ ವಾಹನವನ್ನು ಅಳಿಸಲಾಗಿದೆ.</v>
      </c>
      <c r="F1125" s="7" t="str">
        <f>IFERROR(__xludf.DUMMYFUNCTION("GOOGLETRANSLATE(B1125, ""en"", ""ml"")"),"നിങ്ങളുടെ വാഹനം ഇല്ലാതാക്കി.")</f>
        <v>നിങ്ങളുടെ വാഹനം ഇല്ലാതാക്കി.</v>
      </c>
      <c r="G1125" s="7" t="str">
        <f>IFERROR(__xludf.DUMMYFUNCTION("GOOGLETRANSLATE(B1125, ""en"", ""te"")"),"మీ వాహనం తొలగించబడింది.")</f>
        <v>మీ వాహనం తొలగించబడింది.</v>
      </c>
    </row>
    <row r="1126">
      <c r="A1126" s="12" t="s">
        <v>2728</v>
      </c>
      <c r="B1126" s="13" t="s">
        <v>2729</v>
      </c>
      <c r="C1126" s="6" t="str">
        <f>IFERROR(__xludf.DUMMYFUNCTION("GOOGLETRANSLATE(B1126, ""en"", ""ta"")"),"உங்கள் வாகனம் இன்னும் ஒப்புதலில் உள்ளது.")</f>
        <v>உங்கள் வாகனம் இன்னும் ஒப்புதலில் உள்ளது.</v>
      </c>
      <c r="D1126" s="6" t="str">
        <f>IFERROR(__xludf.DUMMYFUNCTION("GOOGLETRANSLATE(B1126, ""en"", ""hi"")"),"आपका वाहन अभी भी अनुमोदन प्रक्रिया में है।")</f>
        <v>आपका वाहन अभी भी अनुमोदन प्रक्रिया में है।</v>
      </c>
      <c r="E1126" s="6" t="str">
        <f>IFERROR(__xludf.DUMMYFUNCTION("GOOGLETRANSLATE(B1126, ""en"", ""kn"")"),"ನಿಮ್ಮ ವಾಹನ ಇನ್ನೂ ಅನುಮೋದನೆ ಹಂತದಲ್ಲಿದೆ.")</f>
        <v>ನಿಮ್ಮ ವಾಹನ ಇನ್ನೂ ಅನುಮೋದನೆ ಹಂತದಲ್ಲಿದೆ.</v>
      </c>
      <c r="F1126" s="7" t="str">
        <f>IFERROR(__xludf.DUMMYFUNCTION("GOOGLETRANSLATE(B1126, ""en"", ""ml"")"),"നിങ്ങളുടെ വാഹനം ഇപ്പോഴും അംഗീകാരത്തിലാണ്.")</f>
        <v>നിങ്ങളുടെ വാഹനം ഇപ്പോഴും അംഗീകാരത്തിലാണ്.</v>
      </c>
      <c r="G1126" s="7" t="str">
        <f>IFERROR(__xludf.DUMMYFUNCTION("GOOGLETRANSLATE(B1126, ""en"", ""te"")"),"మీ వాహనం ఇంకా ఆమోదం పొందుతోంది.")</f>
        <v>మీ వాహనం ఇంకా ఆమోదం పొందుతోంది.</v>
      </c>
    </row>
    <row r="1127">
      <c r="A1127" s="12" t="s">
        <v>2730</v>
      </c>
      <c r="B1127" s="13" t="s">
        <v>2731</v>
      </c>
      <c r="C1127" s="6" t="str">
        <f>IFERROR(__xludf.DUMMYFUNCTION("GOOGLETRANSLATE(B1127, ""en"", ""ta"")"),"ஓட்டுநர் சவாரியை ரத்து செய்தார்")</f>
        <v>ஓட்டுநர் சவாரியை ரத்து செய்தார்</v>
      </c>
      <c r="D1127" s="6" t="str">
        <f>IFERROR(__xludf.DUMMYFUNCTION("GOOGLETRANSLATE(B1127, ""en"", ""hi"")"),"ड्राइवर द्वारा राइड रद्द कर दी गई")</f>
        <v>ड्राइवर द्वारा राइड रद्द कर दी गई</v>
      </c>
      <c r="E1127" s="6" t="str">
        <f>IFERROR(__xludf.DUMMYFUNCTION("GOOGLETRANSLATE(B1127, ""en"", ""kn"")"),"ಚಾಲಕನಿಂದ ಸವಾರಿ ರದ್ದುಗೊಂಡಿದೆ")</f>
        <v>ಚಾಲಕನಿಂದ ಸವಾರಿ ರದ್ದುಗೊಂಡಿದೆ</v>
      </c>
      <c r="F1127" s="7" t="str">
        <f>IFERROR(__xludf.DUMMYFUNCTION("GOOGLETRANSLATE(B1127, ""en"", ""ml"")"),"ഡ്രൈവർ റദ്ദാക്കിയ യാത്ര")</f>
        <v>ഡ്രൈവർ റദ്ദാക്കിയ യാത്ര</v>
      </c>
      <c r="G1127" s="7" t="str">
        <f>IFERROR(__xludf.DUMMYFUNCTION("GOOGLETRANSLATE(B1127, ""en"", ""te"")"),"డ్రైవర్ ద్వారా రైడ్ రద్దు చేయబడింది")</f>
        <v>డ్రైవర్ ద్వారా రైడ్ రద్దు చేయబడింది</v>
      </c>
    </row>
    <row r="1128">
      <c r="A1128" s="12" t="s">
        <v>2732</v>
      </c>
      <c r="B1128" s="13" t="s">
        <v>2733</v>
      </c>
      <c r="C1128" s="6" t="str">
        <f>IFERROR(__xludf.DUMMYFUNCTION("GOOGLETRANSLATE(B1128, ""en"", ""ta"")"),"பயணியால் ரத்து செய்யப்பட்ட பயணம்")</f>
        <v>பயணியால் ரத்து செய்யப்பட்ட பயணம்</v>
      </c>
      <c r="D1128" s="6" t="str">
        <f>IFERROR(__xludf.DUMMYFUNCTION("GOOGLETRANSLATE(B1128, ""en"", ""hi"")"),"यात्री द्वारा यात्रा रद्द कर दी गई")</f>
        <v>यात्री द्वारा यात्रा रद्द कर दी गई</v>
      </c>
      <c r="E1128" s="6" t="str">
        <f>IFERROR(__xludf.DUMMYFUNCTION("GOOGLETRANSLATE(B1128, ""en"", ""kn"")"),"ಪ್ರಯಾಣಿಕರಿಂದ ಸವಾರಿ ರದ್ದುಗೊಂಡಿದೆ")</f>
        <v>ಪ್ರಯಾಣಿಕರಿಂದ ಸವಾರಿ ರದ್ದುಗೊಂಡಿದೆ</v>
      </c>
      <c r="F1128" s="7" t="str">
        <f>IFERROR(__xludf.DUMMYFUNCTION("GOOGLETRANSLATE(B1128, ""en"", ""ml"")"),"യാത്രക്കാരൻ റദ്ദാക്കിയ യാത്ര")</f>
        <v>യാത്രക്കാരൻ റദ്ദാക്കിയ യാത്ര</v>
      </c>
      <c r="G1128" s="7" t="str">
        <f>IFERROR(__xludf.DUMMYFUNCTION("GOOGLETRANSLATE(B1128, ""en"", ""te"")"),"ప్రయాణీకుడు రద్దు చేసిన రైడ్")</f>
        <v>ప్రయాణీకుడు రద్దు చేసిన రైడ్</v>
      </c>
    </row>
    <row r="1129">
      <c r="A1129" s="12" t="s">
        <v>2734</v>
      </c>
      <c r="B1129" s="13" t="s">
        <v>2735</v>
      </c>
      <c r="C1129" s="6" t="str">
        <f>IFERROR(__xludf.DUMMYFUNCTION("GOOGLETRANSLATE(B1129, ""en"", ""ta"")"),"இயக்கி விவரங்களைப் பெற புதுப்பிக்கவும்.")</f>
        <v>இயக்கி விவரங்களைப் பெற புதுப்பிக்கவும்.</v>
      </c>
      <c r="D1129" s="6" t="str">
        <f>IFERROR(__xludf.DUMMYFUNCTION("GOOGLETRANSLATE(B1129, ""en"", ""hi"")"),"ड्राइवर की जानकारी प्राप्त करने के लिए पेज को रिफ्रेश करें")</f>
        <v>ड्राइवर की जानकारी प्राप्त करने के लिए पेज को रिफ्रेश करें</v>
      </c>
      <c r="E1129" s="6" t="str">
        <f>IFERROR(__xludf.DUMMYFUNCTION("GOOGLETRANSLATE(B1129, ""en"", ""kn"")"),"ಚಾಲಕ ವಿವರಗಳನ್ನು ಪಡೆಯಲು ರಿಫ್ರೆಶ್ ಮಾಡಿ")</f>
        <v>ಚಾಲಕ ವಿವರಗಳನ್ನು ಪಡೆಯಲು ರಿಫ್ರೆಶ್ ಮಾಡಿ</v>
      </c>
      <c r="F1129" s="7" t="str">
        <f>IFERROR(__xludf.DUMMYFUNCTION("GOOGLETRANSLATE(B1129, ""en"", ""ml"")"),"ഡ്രൈവർ വിശദാംശങ്ങൾ ലഭിക്കാൻ പുതുക്കുക")</f>
        <v>ഡ്രൈവർ വിശദാംശങ്ങൾ ലഭിക്കാൻ പുതുക്കുക</v>
      </c>
      <c r="G1129" s="7" t="str">
        <f>IFERROR(__xludf.DUMMYFUNCTION("GOOGLETRANSLATE(B1129, ""en"", ""te"")"),"డ్రైవర్ వివరాలను పొందడానికి రిఫ్రెష్ చేయండి")</f>
        <v>డ్రైవర్ వివరాలను పొందడానికి రిఫ్రెష్ చేయండి</v>
      </c>
    </row>
    <row r="1130">
      <c r="A1130" s="12" t="s">
        <v>2736</v>
      </c>
      <c r="B1130" s="13" t="s">
        <v>2737</v>
      </c>
      <c r="C1130" s="6" t="str">
        <f>IFERROR(__xludf.DUMMYFUNCTION("GOOGLETRANSLATE(B1130, ""en"", ""ta"")"),"இயக்கி உள்நுழைவை உறுதிப்படுத்தவும்")</f>
        <v>இயக்கி உள்நுழைவை உறுதிப்படுத்தவும்</v>
      </c>
      <c r="D1130" s="6" t="str">
        <f>IFERROR(__xludf.DUMMYFUNCTION("GOOGLETRANSLATE(B1130, ""en"", ""hi"")"),"ड्राइवर लॉगिन की पुष्टि करें")</f>
        <v>ड्राइवर लॉगिन की पुष्टि करें</v>
      </c>
      <c r="E1130" s="6" t="str">
        <f>IFERROR(__xludf.DUMMYFUNCTION("GOOGLETRANSLATE(B1130, ""en"", ""kn"")"),"ಚಾಲಕ ಲಾಗಿನ್ ಅನ್ನು ದೃಢೀಕರಿಸಿ")</f>
        <v>ಚಾಲಕ ಲಾಗಿನ್ ಅನ್ನು ದೃಢೀಕರಿಸಿ</v>
      </c>
      <c r="F1130" s="7" t="str">
        <f>IFERROR(__xludf.DUMMYFUNCTION("GOOGLETRANSLATE(B1130, ""en"", ""ml"")"),"ഡ്രൈവർ ലോഗിൻ സ്ഥിരീകരിക്കുക")</f>
        <v>ഡ്രൈവർ ലോഗിൻ സ്ഥിരീകരിക്കുക</v>
      </c>
      <c r="G1130" s="7" t="str">
        <f>IFERROR(__xludf.DUMMYFUNCTION("GOOGLETRANSLATE(B1130, ""en"", ""te"")"),"డ్రైవర్ లాగిన్‌ను నిర్ధారించండి")</f>
        <v>డ్రైవర్ లాగిన్‌ను నిర్ధారించండి</v>
      </c>
    </row>
    <row r="1131">
      <c r="A1131" s="12" t="s">
        <v>2738</v>
      </c>
      <c r="B1131" s="13" t="s">
        <v>2739</v>
      </c>
      <c r="C1131" s="6" t="str">
        <f>IFERROR(__xludf.DUMMYFUNCTION("GOOGLETRANSLATE(B1131, ""en"", ""ta"")"),"நீங்கள் ஒரு ஓட்டுநராக உள்நுழைய, வாடிக்கையாளர் பயன்பாட்டிலிருந்து உங்களை வெளியேற்றுவோம். தொடரவா?")</f>
        <v>நீங்கள் ஒரு ஓட்டுநராக உள்நுழைய, வாடிக்கையாளர் பயன்பாட்டிலிருந்து உங்களை வெளியேற்றுவோம். தொடரவா?</v>
      </c>
      <c r="D1131" s="6" t="str">
        <f>IFERROR(__xludf.DUMMYFUNCTION("GOOGLETRANSLATE(B1131, ""en"", ""hi"")"),"हम आपको ग्राहक ऐप से लॉग आउट कर देंगे ताकि आप ड्राइवर के रूप में साइन इन कर सकें। जारी रखें?")</f>
        <v>हम आपको ग्राहक ऐप से लॉग आउट कर देंगे ताकि आप ड्राइवर के रूप में साइन इन कर सकें। जारी रखें?</v>
      </c>
      <c r="E1131" s="6" t="str">
        <f>IFERROR(__xludf.DUMMYFUNCTION("GOOGLETRANSLATE(B1131, ""en"", ""kn"")"),"ನೀವು ಡ್ರೈವರ್ ಆಗಿ ಸೈನ್ ಇನ್ ಆಗುವಂತೆ ನಾವು ನಿಮ್ಮನ್ನು ಗ್ರಾಹಕ ಅಪ್ಲಿಕೇಶನ್‌ನಿಂದ ಲಾಗ್ ಔಟ್ ಮಾಡುತ್ತೇವೆ. ಮುಂದುವರಿಸುವುದೇ?")</f>
        <v>ನೀವು ಡ್ರೈವರ್ ಆಗಿ ಸೈನ್ ಇನ್ ಆಗುವಂತೆ ನಾವು ನಿಮ್ಮನ್ನು ಗ್ರಾಹಕ ಅಪ್ಲಿಕೇಶನ್‌ನಿಂದ ಲಾಗ್ ಔಟ್ ಮಾಡುತ್ತೇವೆ. ಮುಂದುವರಿಸುವುದೇ?</v>
      </c>
      <c r="F1131" s="7" t="str">
        <f>IFERROR(__xludf.DUMMYFUNCTION("GOOGLETRANSLATE(B1131, ""en"", ""ml"")"),"ഡ്രൈവറായി സൈൻ ഇൻ ചെയ്യാൻ നിങ്ങളെ ഉപഭോക്തൃ ആപ്പിൽ നിന്ന് ഞങ്ങൾ ലോഗ് ഔട്ട് ചെയ്യും. തുടരണോ?")</f>
        <v>ഡ്രൈവറായി സൈൻ ഇൻ ചെയ്യാൻ നിങ്ങളെ ഉപഭോക്തൃ ആപ്പിൽ നിന്ന് ഞങ്ങൾ ലോഗ് ഔട്ട് ചെയ്യും. തുടരണോ?</v>
      </c>
      <c r="G1131" s="7" t="str">
        <f>IFERROR(__xludf.DUMMYFUNCTION("GOOGLETRANSLATE(B1131, ""en"", ""te"")"),"మీరు డ్రైవర్‌గా సైన్ ఇన్ అవ్వడానికి వీలుగా మేము మిమ్మల్ని కస్టమర్ యాప్ నుండి లాగ్ అవుట్ చేస్తాము. కొనసాగించాలా?")</f>
        <v>మీరు డ్రైవర్‌గా సైన్ ఇన్ అవ్వడానికి వీలుగా మేము మిమ్మల్ని కస్టమర్ యాప్ నుండి లాగ్ అవుట్ చేస్తాము. కొనసాగించాలా?</v>
      </c>
    </row>
    <row r="1132">
      <c r="A1132" s="12" t="s">
        <v>2740</v>
      </c>
      <c r="B1132" s="13" t="s">
        <v>2741</v>
      </c>
      <c r="C1132" s="6" t="str">
        <f>IFERROR(__xludf.DUMMYFUNCTION("GOOGLETRANSLATE(B1132, ""en"", ""ta"")"),"வாடிக்கையாளர் பயன்பாட்டில் இருங்கள்")</f>
        <v>வாடிக்கையாளர் பயன்பாட்டில் இருங்கள்</v>
      </c>
      <c r="D1132" s="6" t="str">
        <f>IFERROR(__xludf.DUMMYFUNCTION("GOOGLETRANSLATE(B1132, ""en"", ""hi"")"),"ग्राहक ऐप में बने रहें")</f>
        <v>ग्राहक ऐप में बने रहें</v>
      </c>
      <c r="E1132" s="6" t="str">
        <f>IFERROR(__xludf.DUMMYFUNCTION("GOOGLETRANSLATE(B1132, ""en"", ""kn"")"),"ಗ್ರಾಹಕ ಅಪ್ಲಿಕೇಶನ್‌ನಲ್ಲಿ ಉಳಿಯಿರಿ")</f>
        <v>ಗ್ರಾಹಕ ಅಪ್ಲಿಕೇಶನ್‌ನಲ್ಲಿ ಉಳಿಯಿರಿ</v>
      </c>
      <c r="F1132" s="7" t="str">
        <f>IFERROR(__xludf.DUMMYFUNCTION("GOOGLETRANSLATE(B1132, ""en"", ""ml"")"),"ഉപഭോക്തൃ ആപ്പിൽ തുടരുക")</f>
        <v>ഉപഭോക്തൃ ആപ്പിൽ തുടരുക</v>
      </c>
      <c r="G1132" s="7" t="str">
        <f>IFERROR(__xludf.DUMMYFUNCTION("GOOGLETRANSLATE(B1132, ""en"", ""te"")"),"కస్టమర్ యాప్‌లో ఉండండి")</f>
        <v>కస్టమర్ యాప్‌లో ఉండండి</v>
      </c>
    </row>
    <row r="1133">
      <c r="A1133" s="12" t="s">
        <v>2742</v>
      </c>
      <c r="B1133" s="13" t="s">
        <v>2743</v>
      </c>
      <c r="C1133" s="6" t="str">
        <f>IFERROR(__xludf.DUMMYFUNCTION("GOOGLETRANSLATE(B1133, ""en"", ""ta"")"),"ஆம், வெளியேறு")</f>
        <v>ஆம், வெளியேறு</v>
      </c>
      <c r="D1133" s="6" t="str">
        <f>IFERROR(__xludf.DUMMYFUNCTION("GOOGLETRANSLATE(B1133, ""en"", ""hi"")"),"हां, लॉग आउट करें")</f>
        <v>हां, लॉग आउट करें</v>
      </c>
      <c r="E1133" s="6" t="str">
        <f>IFERROR(__xludf.DUMMYFUNCTION("GOOGLETRANSLATE(B1133, ""en"", ""kn"")"),"ಹೌದು, ಲಾಗ್ ಔಟ್ ಮಾಡಿ")</f>
        <v>ಹೌದು, ಲಾಗ್ ಔಟ್ ಮಾಡಿ</v>
      </c>
      <c r="F1133" s="7" t="str">
        <f>IFERROR(__xludf.DUMMYFUNCTION("GOOGLETRANSLATE(B1133, ""en"", ""ml"")"),"അതെ, ലോഗ് ഔട്ട് ചെയ്യുക")</f>
        <v>അതെ, ലോഗ് ഔട്ട് ചെയ്യുക</v>
      </c>
      <c r="G1133" s="7" t="str">
        <f>IFERROR(__xludf.DUMMYFUNCTION("GOOGLETRANSLATE(B1133, ""en"", ""te"")"),"అవును, లాగ్ అవుట్ చేయి")</f>
        <v>అవును, లాగ్ అవుట్ చేయి</v>
      </c>
    </row>
    <row r="1134">
      <c r="A1134" s="12" t="s">
        <v>2744</v>
      </c>
      <c r="B1134" s="13" t="s">
        <v>2745</v>
      </c>
      <c r="C1134" s="6" t="str">
        <f>IFERROR(__xludf.DUMMYFUNCTION("GOOGLETRANSLATE(B1134, ""en"", ""ta"")"),"அமர்வு காலாவதியானது")</f>
        <v>அமர்வு காலாவதியானது</v>
      </c>
      <c r="D1134" s="6" t="str">
        <f>IFERROR(__xludf.DUMMYFUNCTION("GOOGLETRANSLATE(B1134, ""en"", ""hi"")"),"सत्र समाप्त हुआ")</f>
        <v>सत्र समाप्त हुआ</v>
      </c>
      <c r="E1134" s="6" t="str">
        <f>IFERROR(__xludf.DUMMYFUNCTION("GOOGLETRANSLATE(B1134, ""en"", ""kn"")"),"ಅವಧಿ ಮುಗಿದಿದೆ")</f>
        <v>ಅವಧಿ ಮುಗಿದಿದೆ</v>
      </c>
      <c r="F1134" s="7" t="str">
        <f>IFERROR(__xludf.DUMMYFUNCTION("GOOGLETRANSLATE(B1134, ""en"", ""ml"")"),"സെഷൻ കാലഹരണപ്പെട്ടു")</f>
        <v>സെഷൻ കാലഹരണപ്പെട്ടു</v>
      </c>
      <c r="G1134" s="7" t="str">
        <f>IFERROR(__xludf.DUMMYFUNCTION("GOOGLETRANSLATE(B1134, ""en"", ""te"")"),"సెషన్ గడువు ముగిసింది")</f>
        <v>సెషన్ గడువు ముగిసింది</v>
      </c>
    </row>
    <row r="1135">
      <c r="A1135" s="12" t="s">
        <v>2746</v>
      </c>
      <c r="B1135" s="13" t="s">
        <v>2747</v>
      </c>
      <c r="C1135" s="6" t="str">
        <f>IFERROR(__xludf.DUMMYFUNCTION("GOOGLETRANSLATE(B1135, ""en"", ""ta"")"),"உங்கள் அமர்வு காலாவதியாகிவிட்டது. மீண்டும் உள்நுழையவும்.")</f>
        <v>உங்கள் அமர்வு காலாவதியாகிவிட்டது. மீண்டும் உள்நுழையவும்.</v>
      </c>
      <c r="D1135" s="6" t="str">
        <f>IFERROR(__xludf.DUMMYFUNCTION("GOOGLETRANSLATE(B1135, ""en"", ""hi"")"),"आपका सत्र समाप्त हो गया है। कृपया पुनः लॉग इन करें।")</f>
        <v>आपका सत्र समाप्त हो गया है। कृपया पुनः लॉग इन करें।</v>
      </c>
      <c r="E1135" s="6" t="str">
        <f>IFERROR(__xludf.DUMMYFUNCTION("GOOGLETRANSLATE(B1135, ""en"", ""kn"")"),"ನಿಮ್ಮ ಅವಧಿ ಮುಗಿದಿದೆ. ದಯವಿಟ್ಟು ಮತ್ತೆ ಲಾಗಿನ್ ಮಾಡಿ.")</f>
        <v>ನಿಮ್ಮ ಅವಧಿ ಮುಗಿದಿದೆ. ದಯವಿಟ್ಟು ಮತ್ತೆ ಲಾಗಿನ್ ಮಾಡಿ.</v>
      </c>
      <c r="F1135" s="7" t="str">
        <f>IFERROR(__xludf.DUMMYFUNCTION("GOOGLETRANSLATE(B1135, ""en"", ""ml"")"),"നിങ്ങളുടെ സെഷൻ കാലഹരണപ്പെട്ടു. വീണ്ടും ലോഗിൻ ചെയ്യുക.")</f>
        <v>നിങ്ങളുടെ സെഷൻ കാലഹരണപ്പെട്ടു. വീണ്ടും ലോഗിൻ ചെയ്യുക.</v>
      </c>
      <c r="G1135" s="7" t="str">
        <f>IFERROR(__xludf.DUMMYFUNCTION("GOOGLETRANSLATE(B1135, ""en"", ""te"")"),"మీ సెషన్ గడువు ముగిసింది. దయచేసి మళ్ళీ లాగిన్ అవ్వండి.")</f>
        <v>మీ సెషన్ గడువు ముగిసింది. దయచేసి మళ్ళీ లాగిన్ అవ్వండి.</v>
      </c>
    </row>
    <row r="1136">
      <c r="A1136" s="12" t="s">
        <v>2748</v>
      </c>
      <c r="B1136" s="13" t="s">
        <v>2749</v>
      </c>
      <c r="C1136" s="6" t="str">
        <f>IFERROR(__xludf.DUMMYFUNCTION("GOOGLETRANSLATE(B1136, ""en"", ""ta"")"),"நீங்கள் வெளியேறுவது உறுதியா?")</f>
        <v>நீங்கள் வெளியேறுவது உறுதியா?</v>
      </c>
      <c r="D1136" s="6" t="str">
        <f>IFERROR(__xludf.DUMMYFUNCTION("GOOGLETRANSLATE(B1136, ""en"", ""hi"")"),"क्या आप लॉगआउट करने के लिए निश्चित हैं?")</f>
        <v>क्या आप लॉगआउट करने के लिए निश्चित हैं?</v>
      </c>
      <c r="E1136" s="6" t="str">
        <f>IFERROR(__xludf.DUMMYFUNCTION("GOOGLETRANSLATE(B1136, ""en"", ""kn"")"),"ನೀವು ಲಾಗ್ ಔಟ್ ಮಾಡುವುದು ಖಚಿತವೇ?")</f>
        <v>ನೀವು ಲಾಗ್ ಔಟ್ ಮಾಡುವುದು ಖಚಿತವೇ?</v>
      </c>
      <c r="F1136" s="7" t="str">
        <f>IFERROR(__xludf.DUMMYFUNCTION("GOOGLETRANSLATE(B1136, ""en"", ""ml"")"),"ലോഗ് ഔട്ട് ചെയ്യണമെന്ന് ഉറപ്പാണോ?")</f>
        <v>ലോഗ് ഔട്ട് ചെയ്യണമെന്ന് ഉറപ്പാണോ?</v>
      </c>
      <c r="G1136" s="7" t="str">
        <f>IFERROR(__xludf.DUMMYFUNCTION("GOOGLETRANSLATE(B1136, ""en"", ""te"")"),"మీరు ఖచ్చితంగా లాగ్ అవుట్ అవుతారా?")</f>
        <v>మీరు ఖచ్చితంగా లాగ్ అవుట్ అవుతారా?</v>
      </c>
    </row>
    <row r="1137">
      <c r="A1137" s="12" t="s">
        <v>2750</v>
      </c>
      <c r="B1137" s="13" t="s">
        <v>2751</v>
      </c>
      <c r="C1137" s="6" t="str">
        <f>IFERROR(__xludf.DUMMYFUNCTION("GOOGLETRANSLATE(B1137, ""en"", ""ta"")"),"இந்த வாகனத்திலிருந்து வெளியேற விரும்புகிறீர்களா? பயணங்களை மேற்கொள்ள, கிடைக்கக்கூடிய மற்றொரு வாகனத்தில் உள்நுழைய வேண்டும்.")</f>
        <v>இந்த வாகனத்திலிருந்து வெளியேற விரும்புகிறீர்களா? பயணங்களை மேற்கொள்ள, கிடைக்கக்கூடிய மற்றொரு வாகனத்தில் உள்நுழைய வேண்டும்.</v>
      </c>
      <c r="D1137" s="6" t="str">
        <f>IFERROR(__xludf.DUMMYFUNCTION("GOOGLETRANSLATE(B1137, ""en"", ""hi"")"),"क्या आप वाकई इस वाहन से लॉगआउट करना चाहते हैं? यात्रा करने के लिए आपको किसी अन्य उपलब्ध वाहन में लॉग इन करना होगा।")</f>
        <v>क्या आप वाकई इस वाहन से लॉगआउट करना चाहते हैं? यात्रा करने के लिए आपको किसी अन्य उपलब्ध वाहन में लॉग इन करना होगा।</v>
      </c>
      <c r="E1137" s="6" t="str">
        <f>IFERROR(__xludf.DUMMYFUNCTION("GOOGLETRANSLATE(B1137, ""en"", ""kn"")"),"ನೀವು ಈ ವಾಹನದಿಂದ ಲಾಗ್ ಔಟ್ ಮಾಡಲು ಖಚಿತವಾಗಿ ಬಯಸುವಿರಾ? ಪ್ರವಾಸಗಳನ್ನು ಕೈಗೊಳ್ಳಲು ನೀವು ಲಭ್ಯವಿರುವ ಇನ್ನೊಂದು ವಾಹನಕ್ಕೆ ಲಾಗಿನ್ ಮಾಡಬೇಕು.")</f>
        <v>ನೀವು ಈ ವಾಹನದಿಂದ ಲಾಗ್ ಔಟ್ ಮಾಡಲು ಖಚಿತವಾಗಿ ಬಯಸುವಿರಾ? ಪ್ರವಾಸಗಳನ್ನು ಕೈಗೊಳ್ಳಲು ನೀವು ಲಭ್ಯವಿರುವ ಇನ್ನೊಂದು ವಾಹನಕ್ಕೆ ಲಾಗಿನ್ ಮಾಡಬೇಕು.</v>
      </c>
      <c r="F1137" s="7" t="str">
        <f>IFERROR(__xludf.DUMMYFUNCTION("GOOGLETRANSLATE(B1137, ""en"", ""ml"")"),"ഈ വാഹനത്തിൽ നിന്ന് ലോഗ് ഔട്ട് ചെയ്യണമെന്ന് നിങ്ങൾക്ക് ഉറപ്പാണോ? യാത്രകൾ നടത്താൻ ലഭ്യമായ മറ്റൊരു വാഹനത്തിൽ ലോഗിൻ ചെയ്യണം.")</f>
        <v>ഈ വാഹനത്തിൽ നിന്ന് ലോഗ് ഔട്ട് ചെയ്യണമെന്ന് നിങ്ങൾക്ക് ഉറപ്പാണോ? യാത്രകൾ നടത്താൻ ലഭ്യമായ മറ്റൊരു വാഹനത്തിൽ ലോഗിൻ ചെയ്യണം.</v>
      </c>
      <c r="G1137" s="7" t="str">
        <f>IFERROR(__xludf.DUMMYFUNCTION("GOOGLETRANSLATE(B1137, ""en"", ""te"")"),"మీరు ఖచ్చితంగా ఈ వాహనం నుండి లాగ్ అవుట్ చేయాలనుకుంటున్నారా? ప్రయాణాలు చేయడానికి మీరు అందుబాటులో ఉన్న మరొక వాహనంలోకి లాగిన్ అవ్వాలి.")</f>
        <v>మీరు ఖచ్చితంగా ఈ వాహనం నుండి లాగ్ అవుట్ చేయాలనుకుంటున్నారా? ప్రయాణాలు చేయడానికి మీరు అందుబాటులో ఉన్న మరొక వాహనంలోకి లాగిన్ అవ్వాలి.</v>
      </c>
    </row>
    <row r="1138">
      <c r="A1138" s="12" t="s">
        <v>2752</v>
      </c>
      <c r="B1138" s="13" t="s">
        <v>2753</v>
      </c>
      <c r="C1138" s="6" t="str">
        <f>IFERROR(__xludf.DUMMYFUNCTION("GOOGLETRANSLATE(B1138, ""en"", ""ta"")"),"கொடுப்பனவுகள்")</f>
        <v>கொடுப்பனவுகள்</v>
      </c>
      <c r="D1138" s="6" t="str">
        <f>IFERROR(__xludf.DUMMYFUNCTION("GOOGLETRANSLATE(B1138, ""en"", ""hi"")"),"भुगतान")</f>
        <v>भुगतान</v>
      </c>
      <c r="E1138" s="6" t="str">
        <f>IFERROR(__xludf.DUMMYFUNCTION("GOOGLETRANSLATE(B1138, ""en"", ""kn"")"),"ಪಾವತಿಗಳು")</f>
        <v>ಪಾವತಿಗಳು</v>
      </c>
      <c r="F1138" s="7" t="str">
        <f>IFERROR(__xludf.DUMMYFUNCTION("GOOGLETRANSLATE(B1138, ""en"", ""ml"")"),"പേയ്‌മെന്റുകൾ")</f>
        <v>പേയ്‌മെന്റുകൾ</v>
      </c>
      <c r="G1138" s="7" t="str">
        <f>IFERROR(__xludf.DUMMYFUNCTION("GOOGLETRANSLATE(B1138, ""en"", ""te"")"),"చెల్లింపులు")</f>
        <v>చెల్లింపులు</v>
      </c>
    </row>
    <row r="1139">
      <c r="A1139" s="12" t="s">
        <v>2754</v>
      </c>
      <c r="B1139" s="13" t="s">
        <v>2755</v>
      </c>
      <c r="C1139" s="6" t="str">
        <f>IFERROR(__xludf.DUMMYFUNCTION("GOOGLETRANSLATE(B1139, ""en"", ""ta"")"),"ஓட்டுநரால் சேகரிக்கப்பட்டது")</f>
        <v>ஓட்டுநரால் சேகரிக்கப்பட்டது</v>
      </c>
      <c r="D1139" s="6" t="str">
        <f>IFERROR(__xludf.DUMMYFUNCTION("GOOGLETRANSLATE(B1139, ""en"", ""hi"")"),"चालक द्वारा एकत्रित")</f>
        <v>चालक द्वारा एकत्रित</v>
      </c>
      <c r="E1139" s="6" t="str">
        <f>IFERROR(__xludf.DUMMYFUNCTION("GOOGLETRANSLATE(B1139, ""en"", ""kn"")"),"ಚಾಲಕರಿಂದ ಸಂಗ್ರಹಿಸಲಾಗಿದೆ")</f>
        <v>ಚಾಲಕರಿಂದ ಸಂಗ್ರಹಿಸಲಾಗಿದೆ</v>
      </c>
      <c r="F1139" s="7" t="str">
        <f>IFERROR(__xludf.DUMMYFUNCTION("GOOGLETRANSLATE(B1139, ""en"", ""ml"")"),"ഡ്രൈവർ ശേഖരിച്ചത്")</f>
        <v>ഡ്രൈവർ ശേഖരിച്ചത്</v>
      </c>
      <c r="G1139" s="7" t="str">
        <f>IFERROR(__xludf.DUMMYFUNCTION("GOOGLETRANSLATE(B1139, ""en"", ""te"")"),"డ్రైవర్ సేకరించినది")</f>
        <v>డ్రైవర్ సేకరించినది</v>
      </c>
    </row>
    <row r="1140">
      <c r="A1140" s="12" t="s">
        <v>2756</v>
      </c>
      <c r="B1140" s="13" t="s">
        <v>2757</v>
      </c>
      <c r="C1140" s="6" t="str">
        <f>IFERROR(__xludf.DUMMYFUNCTION("GOOGLETRANSLATE(B1140, ""en"", ""ta"")"),"விற்பனையாளருக்கு அனுப்பப்பட்டது")</f>
        <v>விற்பனையாளருக்கு அனுப்பப்பட்டது</v>
      </c>
      <c r="D1140" s="6" t="str">
        <f>IFERROR(__xludf.DUMMYFUNCTION("GOOGLETRANSLATE(B1140, ""en"", ""hi"")"),"विक्रेता को भेजा गया")</f>
        <v>विक्रेता को भेजा गया</v>
      </c>
      <c r="E1140" s="6" t="str">
        <f>IFERROR(__xludf.DUMMYFUNCTION("GOOGLETRANSLATE(B1140, ""en"", ""kn"")"),"ಮಾರಾಟಗಾರರಿಗೆ ಕಳುಹಿಸಲಾಗಿದೆ")</f>
        <v>ಮಾರಾಟಗಾರರಿಗೆ ಕಳುಹಿಸಲಾಗಿದೆ</v>
      </c>
      <c r="F1140" s="7" t="str">
        <f>IFERROR(__xludf.DUMMYFUNCTION("GOOGLETRANSLATE(B1140, ""en"", ""ml"")"),"വെണ്ടർക്ക് അയച്ചു")</f>
        <v>വെണ്ടർക്ക് അയച്ചു</v>
      </c>
      <c r="G1140" s="7" t="str">
        <f>IFERROR(__xludf.DUMMYFUNCTION("GOOGLETRANSLATE(B1140, ""en"", ""te"")"),"విక్రేతకు పంపబడింది")</f>
        <v>విక్రేతకు పంపబడింది</v>
      </c>
    </row>
    <row r="1141">
      <c r="A1141" s="12" t="s">
        <v>2758</v>
      </c>
      <c r="B1141" s="13" t="s">
        <v>2759</v>
      </c>
      <c r="C1141" s="6" t="str">
        <f>IFERROR(__xludf.DUMMYFUNCTION("GOOGLETRANSLATE(B1141, ""en"", ""ta"")"),"பணி வரலாறு எதுவும் கிடைக்கவில்லை.")</f>
        <v>பணி வரலாறு எதுவும் கிடைக்கவில்லை.</v>
      </c>
      <c r="D1141" s="6" t="str">
        <f>IFERROR(__xludf.DUMMYFUNCTION("GOOGLETRANSLATE(B1141, ""en"", ""hi"")"),"कोई कार्य अनुभव नहीं मिला")</f>
        <v>कोई कार्य अनुभव नहीं मिला</v>
      </c>
      <c r="E1141" s="6" t="str">
        <f>IFERROR(__xludf.DUMMYFUNCTION("GOOGLETRANSLATE(B1141, ""en"", ""kn"")"),"ಯಾವುದೇ ಕೆಲಸದ ಇತಿಹಾಸ ಕಂಡುಬಂದಿಲ್ಲ")</f>
        <v>ಯಾವುದೇ ಕೆಲಸದ ಇತಿಹಾಸ ಕಂಡುಬಂದಿಲ್ಲ</v>
      </c>
      <c r="F1141" s="7" t="str">
        <f>IFERROR(__xludf.DUMMYFUNCTION("GOOGLETRANSLATE(B1141, ""en"", ""ml"")"),"ജോലി ചരിത്രമൊന്നും കണ്ടെത്തിയില്ല")</f>
        <v>ജോലി ചരിത്രമൊന്നും കണ്ടെത്തിയില്ല</v>
      </c>
      <c r="G1141" s="7" t="str">
        <f>IFERROR(__xludf.DUMMYFUNCTION("GOOGLETRANSLATE(B1141, ""en"", ""te"")"),"ఉద్యోగ చరిత్ర కనుగొనబడలేదు")</f>
        <v>ఉద్యోగ చరిత్ర కనుగొనబడలేదు</v>
      </c>
    </row>
    <row r="1142">
      <c r="A1142" s="12" t="s">
        <v>2760</v>
      </c>
      <c r="B1142" s="13" t="s">
        <v>2761</v>
      </c>
      <c r="C1142" s="6" t="str">
        <f>IFERROR(__xludf.DUMMYFUNCTION("GOOGLETRANSLATE(B1142, ""en"", ""ta"")"),"செயலில் உள்ள நாட்கள்")</f>
        <v>செயலில் உள்ள நாட்கள்</v>
      </c>
      <c r="D1142" s="6" t="str">
        <f>IFERROR(__xludf.DUMMYFUNCTION("GOOGLETRANSLATE(B1142, ""en"", ""hi"")"),"सक्रिय दिन")</f>
        <v>सक्रिय दिन</v>
      </c>
      <c r="E1142" s="6" t="str">
        <f>IFERROR(__xludf.DUMMYFUNCTION("GOOGLETRANSLATE(B1142, ""en"", ""kn"")"),"ಸಕ್ರಿಯ ದಿನಗಳು")</f>
        <v>ಸಕ್ರಿಯ ದಿನಗಳು</v>
      </c>
      <c r="F1142" s="7" t="str">
        <f>IFERROR(__xludf.DUMMYFUNCTION("GOOGLETRANSLATE(B1142, ""en"", ""ml"")"),"സജീവ ദിവസങ്ങൾ")</f>
        <v>സജീവ ദിവസങ്ങൾ</v>
      </c>
      <c r="G1142" s="7" t="str">
        <f>IFERROR(__xludf.DUMMYFUNCTION("GOOGLETRANSLATE(B1142, ""en"", ""te"")"),"క్రియాశీల రోజులు")</f>
        <v>క్రియాశీల రోజులు</v>
      </c>
    </row>
    <row r="1143">
      <c r="A1143" s="12" t="s">
        <v>2762</v>
      </c>
      <c r="B1143" s="13" t="s">
        <v>2763</v>
      </c>
      <c r="C1143" s="6" t="str">
        <f>IFERROR(__xludf.DUMMYFUNCTION("GOOGLETRANSLATE(B1143, ""en"", ""ta"")"),"தேதியைத் தேர்ந்தெடுக்கவும்")</f>
        <v>தேதியைத் தேர்ந்தெடுக்கவும்</v>
      </c>
      <c r="D1143" s="6" t="str">
        <f>IFERROR(__xludf.DUMMYFUNCTION("GOOGLETRANSLATE(B1143, ""en"", ""hi"")"),"तारीख़ चुनें")</f>
        <v>तारीख़ चुनें</v>
      </c>
      <c r="E1143" s="6" t="str">
        <f>IFERROR(__xludf.DUMMYFUNCTION("GOOGLETRANSLATE(B1143, ""en"", ""kn"")"),"ದಿನಾಂಕ ಆಯ್ಕೆಮಾಡಿ")</f>
        <v>ದಿನಾಂಕ ಆಯ್ಕೆಮಾಡಿ</v>
      </c>
      <c r="F1143" s="7" t="str">
        <f>IFERROR(__xludf.DUMMYFUNCTION("GOOGLETRANSLATE(B1143, ""en"", ""ml"")"),"തീയതി തിരഞ്ഞെടുക്കുക")</f>
        <v>തീയതി തിരഞ്ഞെടുക്കുക</v>
      </c>
      <c r="G1143" s="7" t="str">
        <f>IFERROR(__xludf.DUMMYFUNCTION("GOOGLETRANSLATE(B1143, ""en"", ""te"")"),"తేదీని ఎంచుకోండి")</f>
        <v>తేదీని ఎంచుకోండి</v>
      </c>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ataValidations>
    <dataValidation type="list" allowBlank="1" showErrorMessage="1" sqref="B566">
      <formula1>"We’re here to help. Contact us anytime."</formula1>
    </dataValidation>
  </dataValidations>
  <drawing r:id="rId1"/>
</worksheet>
</file>