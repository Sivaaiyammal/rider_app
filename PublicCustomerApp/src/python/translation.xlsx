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<sst xmlns="http://schemas.openxmlformats.org/spreadsheetml/2006/main" count="2770" uniqueCount="2655">
  <si>
    <t>key</t>
  </si>
  <si>
    <t>en</t>
  </si>
  <si>
    <t>ta</t>
  </si>
  <si>
    <t>hi</t>
  </si>
  <si>
    <t>kn</t>
  </si>
  <si>
    <t>ml</t>
  </si>
  <si>
    <t>te</t>
  </si>
  <si>
    <t>speak_politely_to_your_customers_ask_the_place_where_they_want_to_go_and_the_reasonable_price_for_the_trip</t>
  </si>
  <si>
    <t>Speak Politely to your customers. Ask the place where they want to go and the reasonable price for the trip</t>
  </si>
  <si>
    <t>you_can_ask_the_customer_if_the_person_is_calling_through_our_app_namma_ooru_taxi</t>
  </si>
  <si>
    <t>You can ask the customer if the person is calling through our app Namma Ooru Taxi ®</t>
  </si>
  <si>
    <t>get_pickup_location_and_start</t>
  </si>
  <si>
    <t>Get Pickup Location and Start</t>
  </si>
  <si>
    <t>negotiate_your_rate_and_ask_them_to_share_the_pickup_location_with_namma_ooru_taxi_app_receive_the_pickup_location_via_notification_and_accept_it_to_start_the_trip</t>
  </si>
  <si>
    <t>Negotiate your rate and ask them to share the pickup location with Namma Ooru Taxi ® app. Receive the pick-up location via notification and accept it to start the trip</t>
  </si>
  <si>
    <t>make_sure_you_have_contacted_the_customer_to_confirm_and_start_trip</t>
  </si>
  <si>
    <t>Make Sure you have contacted the customer to confirm and start trip</t>
  </si>
  <si>
    <t>pickup_the_customer</t>
  </si>
  <si>
    <t>Pickup the Customer</t>
  </si>
  <si>
    <t>pickup_the_customer_on_time_set_the_destination_location_in_the_app_and_start_app_navigation</t>
  </si>
  <si>
    <t>Pickup the customer on time. Set the destination location in the app and start app navigation</t>
  </si>
  <si>
    <t>reviews_are_important</t>
  </si>
  <si>
    <t>Reviews are important</t>
  </si>
  <si>
    <t>try_to_get_good_reviews_from_customer_who_can_increase_visibility_and_commitment_the_customer_will_evaluate_your_behavior_tariff_and_cleanliness_of_the_vehicle</t>
  </si>
  <si>
    <t>Try to get good reviews from customer who can increase visibility and commitment. The customer will evaluate your behavior, tariff and cleanliness of the vehicle</t>
  </si>
  <si>
    <t>identify_our_customers_as_they_call_and_speak_politely_with_them</t>
  </si>
  <si>
    <t>Identify our customers as they call and speak politely with them</t>
  </si>
  <si>
    <t>call_customer_before_starting_or_cancelling_the_trip</t>
  </si>
  <si>
    <t>Call customer before starting or cancelling the trip</t>
  </si>
  <si>
    <t>ask_the_reasonable_price_for_the_trip_and_become_a_preferred_driver_for_your_customers_preferred_driver_have_more_priority_that_others</t>
  </si>
  <si>
    <t>Ask the reasonable price for the trip and become a preferred driver for your customers, Preferred driver have more priority that others</t>
  </si>
  <si>
    <t>ratings_are_the_key_to_more_commitment_make_sure_you_get_a_good_rating</t>
  </si>
  <si>
    <t>Ratings are the key to more commitment. Make sure you get a good rating.</t>
  </si>
  <si>
    <t>things_to_know</t>
  </si>
  <si>
    <t>Things To Know</t>
  </si>
  <si>
    <t>by_tapping_get_started_below_you_will_be_agree_to_namma_ooru_taxi</t>
  </si>
  <si>
    <t>By tapping get started below, you will be agree to Namma Ooru Taxi</t>
  </si>
  <si>
    <t>privacy_policy__disclaimer</t>
  </si>
  <si>
    <t>Privacy Policy &amp; Disclaimer</t>
  </si>
  <si>
    <t>please_accept_terms_and_conditions</t>
  </si>
  <si>
    <t>Please Accept Terms and Conditions</t>
  </si>
  <si>
    <t>please_enter_name</t>
  </si>
  <si>
    <t>Please Enter Name</t>
  </si>
  <si>
    <t>please_enter_phone</t>
  </si>
  <si>
    <t>Please Enter Phone</t>
  </si>
  <si>
    <t>phone_number_must_be_10_digits</t>
  </si>
  <si>
    <t>Phone number must be 10 digits</t>
  </si>
  <si>
    <t>please_enter_aadhar_id_number</t>
  </si>
  <si>
    <t>Please Enter Aadhar Number</t>
  </si>
  <si>
    <t>please_enter_a_valid_aadhar_id</t>
  </si>
  <si>
    <t>Please enter a valid Aadhar</t>
  </si>
  <si>
    <t>please_enter_pan_number</t>
  </si>
  <si>
    <t>Please Enter PAN Number</t>
  </si>
  <si>
    <t>please_enter_a_valid_pan_number</t>
  </si>
  <si>
    <t>Please enter a valid PAN Number</t>
  </si>
  <si>
    <t>please_enter_license_number</t>
  </si>
  <si>
    <t>Please Enter License Number</t>
  </si>
  <si>
    <t>please_enter_a_valid_license_number_tn01_20110012345</t>
  </si>
  <si>
    <t>Please enter a valid License Number (TN01 20110012345)</t>
  </si>
  <si>
    <t>please_enter_driver_location</t>
  </si>
  <si>
    <t>Please Enter Driver Location</t>
  </si>
  <si>
    <t>location_permission_denied</t>
  </si>
  <si>
    <t>Location permission denied</t>
  </si>
  <si>
    <t>grant_location_permission</t>
  </si>
  <si>
    <t>Grant location permission</t>
  </si>
  <si>
    <t>allow</t>
  </si>
  <si>
    <t>Allow</t>
  </si>
  <si>
    <t>cancel</t>
  </si>
  <si>
    <t>Cancel</t>
  </si>
  <si>
    <t>please_allow_location_access_to_continue_we_need_your_location_to_continue</t>
  </si>
  <si>
    <t>Please allow location access to continue.
 We need your location to continue</t>
  </si>
  <si>
    <t>preferred_work_location</t>
  </si>
  <si>
    <t>Preferred Work Location</t>
  </si>
  <si>
    <t>full_name</t>
  </si>
  <si>
    <t>Full Name</t>
  </si>
  <si>
    <t>phone_number</t>
  </si>
  <si>
    <t>Phone Number</t>
  </si>
  <si>
    <t>aadhar_id_number</t>
  </si>
  <si>
    <t>Aadhar Number</t>
  </si>
  <si>
    <t>pan_number</t>
  </si>
  <si>
    <t>PAN Number</t>
  </si>
  <si>
    <t>license_number</t>
  </si>
  <si>
    <t>License Number</t>
  </si>
  <si>
    <t>please_enter_a_valid_year</t>
  </si>
  <si>
    <t>Please enter a valid year</t>
  </si>
  <si>
    <t>year_must_be_between_1900_and_2024</t>
  </si>
  <si>
    <t>Year must be between 1900 and 2024</t>
  </si>
  <si>
    <t>please_enter_registration_number</t>
  </si>
  <si>
    <t>Please Enter Registration Number</t>
  </si>
  <si>
    <t>please_enter_a_valid_vehicle_registration_number</t>
  </si>
  <si>
    <t>Please enter a valid Vehicle Registration Number</t>
  </si>
  <si>
    <t>please_enter_vehicle_brand</t>
  </si>
  <si>
    <t>Please Enter Vehicle Brand</t>
  </si>
  <si>
    <t>please_enter_vehicle_model</t>
  </si>
  <si>
    <t>Please Enter Vehicle Model</t>
  </si>
  <si>
    <t>please_enter_manufacturing_year</t>
  </si>
  <si>
    <t>Please Enter Manufacturing Year</t>
  </si>
  <si>
    <t>please_enter_vehicle_color</t>
  </si>
  <si>
    <t>Please Enter Vehicle Color</t>
  </si>
  <si>
    <t>please_select_fuel_type</t>
  </si>
  <si>
    <t>Please Select Fuel Type</t>
  </si>
  <si>
    <t>please_select_vehicle_brand_first</t>
  </si>
  <si>
    <t>Please select vehicle brand first</t>
  </si>
  <si>
    <t>vehicle_type</t>
  </si>
  <si>
    <t>Vehicle Type</t>
  </si>
  <si>
    <t>vehicle_registration_number</t>
  </si>
  <si>
    <t>Vehicle Registration Number</t>
  </si>
  <si>
    <t>vehicle_brand</t>
  </si>
  <si>
    <t>Vehicle Brand</t>
  </si>
  <si>
    <t>vehicle_model</t>
  </si>
  <si>
    <t>Vehicle Model</t>
  </si>
  <si>
    <t>manufacturing_year</t>
  </si>
  <si>
    <t>Manufacturing Year</t>
  </si>
  <si>
    <t>vehicle_color</t>
  </si>
  <si>
    <t>Vehicle Color</t>
  </si>
  <si>
    <t>fuel_type</t>
  </si>
  <si>
    <t>Fuel Type</t>
  </si>
  <si>
    <t>permit_number</t>
  </si>
  <si>
    <t>Permit Number</t>
  </si>
  <si>
    <t>insurance_expiry</t>
  </si>
  <si>
    <t>Insurance Expiry</t>
  </si>
  <si>
    <t>road_tax_expiry</t>
  </si>
  <si>
    <t>Road Tax Expiry</t>
  </si>
  <si>
    <t>fitness_expiry</t>
  </si>
  <si>
    <t>Fitness Expiry</t>
  </si>
  <si>
    <t>puc_expiry</t>
  </si>
  <si>
    <t>PUC Expiry</t>
  </si>
  <si>
    <t>select_vehicle_color</t>
  </si>
  <si>
    <t>Select Vehicle Color</t>
  </si>
  <si>
    <t>select_manufacturing_year</t>
  </si>
  <si>
    <t>Select Manufacturing Year</t>
  </si>
  <si>
    <t>select_vehicle_brand</t>
  </si>
  <si>
    <t>Select Vehicle Brand</t>
  </si>
  <si>
    <t>select_vehicle_model</t>
  </si>
  <si>
    <t>Select Vehicle Model</t>
  </si>
  <si>
    <t>select_fuel_type</t>
  </si>
  <si>
    <t>Select Fuel Type</t>
  </si>
  <si>
    <t>type_vehicle_brand</t>
  </si>
  <si>
    <t>Type Vehicle Brand...</t>
  </si>
  <si>
    <t>type_vehicle_model</t>
  </si>
  <si>
    <t>Type Vehicle Model...</t>
  </si>
  <si>
    <t>next</t>
  </si>
  <si>
    <t>Next</t>
  </si>
  <si>
    <t>select_color</t>
  </si>
  <si>
    <t>Select Color</t>
  </si>
  <si>
    <t>red</t>
  </si>
  <si>
    <t>Red</t>
  </si>
  <si>
    <t>green</t>
  </si>
  <si>
    <t>Green</t>
  </si>
  <si>
    <t>blue</t>
  </si>
  <si>
    <t>Blue</t>
  </si>
  <si>
    <t>yellow</t>
  </si>
  <si>
    <t>Yellow</t>
  </si>
  <si>
    <t>magenta</t>
  </si>
  <si>
    <t>Magenta</t>
  </si>
  <si>
    <t>cyan</t>
  </si>
  <si>
    <t>Cyan</t>
  </si>
  <si>
    <t>black</t>
  </si>
  <si>
    <t>Black</t>
  </si>
  <si>
    <t>white</t>
  </si>
  <si>
    <t>White</t>
  </si>
  <si>
    <t>gray</t>
  </si>
  <si>
    <t>Gray</t>
  </si>
  <si>
    <t>orange</t>
  </si>
  <si>
    <t>Orange</t>
  </si>
  <si>
    <t>purple</t>
  </si>
  <si>
    <t>Purple</t>
  </si>
  <si>
    <t>brown</t>
  </si>
  <si>
    <t>Brown</t>
  </si>
  <si>
    <t>pink</t>
  </si>
  <si>
    <t>Pink</t>
  </si>
  <si>
    <t>olive</t>
  </si>
  <si>
    <t>Olive</t>
  </si>
  <si>
    <t>maroon</t>
  </si>
  <si>
    <t>Maroon</t>
  </si>
  <si>
    <t>teal</t>
  </si>
  <si>
    <t>Teal</t>
  </si>
  <si>
    <t>navy</t>
  </si>
  <si>
    <t>Navy</t>
  </si>
  <si>
    <t>custom</t>
  </si>
  <si>
    <t>Custom</t>
  </si>
  <si>
    <t>petrol</t>
  </si>
  <si>
    <t>Petrol</t>
  </si>
  <si>
    <t>diesel</t>
  </si>
  <si>
    <t>Diesel</t>
  </si>
  <si>
    <t>cng</t>
  </si>
  <si>
    <t>CNG</t>
  </si>
  <si>
    <t>ev</t>
  </si>
  <si>
    <t>EV</t>
  </si>
  <si>
    <t>lpg</t>
  </si>
  <si>
    <t>LPG</t>
  </si>
  <si>
    <t>petrol_plus_cng</t>
  </si>
  <si>
    <t>Petrol + CNG</t>
  </si>
  <si>
    <t>hydrogen</t>
  </si>
  <si>
    <t>Hydrogen</t>
  </si>
  <si>
    <t>add</t>
  </si>
  <si>
    <t>Add</t>
  </si>
  <si>
    <t>as_vehicle_brand</t>
  </si>
  <si>
    <t>as Vehicle Brand</t>
  </si>
  <si>
    <t>as_vehicle_model</t>
  </si>
  <si>
    <t>as Vehicle Model</t>
  </si>
  <si>
    <t>please_enter_account_number</t>
  </si>
  <si>
    <t>Please enter account number</t>
  </si>
  <si>
    <t>please_enter_a_valid_account_number_9_18_digits</t>
  </si>
  <si>
    <t>Please enter a valid account number (9-18 digits)</t>
  </si>
  <si>
    <t>please_enter_ifsc_code</t>
  </si>
  <si>
    <t>Please enter IFSC code</t>
  </si>
  <si>
    <t>please_enter_a_valid_ifsc_code_e_g_sbin0001234</t>
  </si>
  <si>
    <t>Please enter a valid IFSC code (e.g., SBIN0001234)</t>
  </si>
  <si>
    <t>please_upload_bank_passbook_front_page</t>
  </si>
  <si>
    <t>Please upload bank passbook front page</t>
  </si>
  <si>
    <t>please_enter_account_holder_name</t>
  </si>
  <si>
    <t>Please enter account holder name</t>
  </si>
  <si>
    <t>please_re_enter_account_number</t>
  </si>
  <si>
    <t>Please re-enter account number</t>
  </si>
  <si>
    <t>account_numbers_do_not_match</t>
  </si>
  <si>
    <t>Account numbers do not match</t>
  </si>
  <si>
    <t>please_enter_bank_name</t>
  </si>
  <si>
    <t>Please enter bank name</t>
  </si>
  <si>
    <t>please_enter_branch_name</t>
  </si>
  <si>
    <t>Please enter branch name</t>
  </si>
  <si>
    <t>please_enter_valid_upi_id</t>
  </si>
  <si>
    <t>Please enter Valid UPI ID</t>
  </si>
  <si>
    <t>please_enter_a_valid_upi_id_9999999999_upi</t>
  </si>
  <si>
    <t>Please enter a valid UPI ID - 9999999999@upi</t>
  </si>
  <si>
    <t>account_holder_name</t>
  </si>
  <si>
    <t>Account Holder Name</t>
  </si>
  <si>
    <t>account_number</t>
  </si>
  <si>
    <t>Account Number</t>
  </si>
  <si>
    <t>re_enter_account_number</t>
  </si>
  <si>
    <t>Re-enter Account Number</t>
  </si>
  <si>
    <t>bank_name</t>
  </si>
  <si>
    <t>Bank Name</t>
  </si>
  <si>
    <t>ifsc_code</t>
  </si>
  <si>
    <t>IFSC Code</t>
  </si>
  <si>
    <t>branch</t>
  </si>
  <si>
    <t>Branch</t>
  </si>
  <si>
    <t>upi_id</t>
  </si>
  <si>
    <t>UPI ID</t>
  </si>
  <si>
    <t>upload_bank_passbook_front_page</t>
  </si>
  <si>
    <t>Upload 
Bank Passbook (Front Page)</t>
  </si>
  <si>
    <t>browse</t>
  </si>
  <si>
    <t>Browse</t>
  </si>
  <si>
    <t>camera</t>
  </si>
  <si>
    <t>Camera</t>
  </si>
  <si>
    <t>aadhar_card</t>
  </si>
  <si>
    <t>Aadhar Card</t>
  </si>
  <si>
    <t>pan_card</t>
  </si>
  <si>
    <t>PAN Card</t>
  </si>
  <si>
    <t>driver_photo</t>
  </si>
  <si>
    <t>Driver Photo</t>
  </si>
  <si>
    <t>driving_license</t>
  </si>
  <si>
    <t>Driving License</t>
  </si>
  <si>
    <t>insurance</t>
  </si>
  <si>
    <t>Insurance</t>
  </si>
  <si>
    <t>pollution_certificate</t>
  </si>
  <si>
    <t>Pollution Certificate</t>
  </si>
  <si>
    <t>vehicle_photo</t>
  </si>
  <si>
    <t>Vehicle Photo</t>
  </si>
  <si>
    <t>vehicle_rc_document</t>
  </si>
  <si>
    <t>Vehicle RC Document</t>
  </si>
  <si>
    <t>road_tax_document</t>
  </si>
  <si>
    <t>Road Tax Document</t>
  </si>
  <si>
    <t>permit_document</t>
  </si>
  <si>
    <t>Permit Document</t>
  </si>
  <si>
    <t>fitness_document</t>
  </si>
  <si>
    <t>Fitness Document</t>
  </si>
  <si>
    <t>police_verification_certificate</t>
  </si>
  <si>
    <t>Police Verification Certificate</t>
  </si>
  <si>
    <t>driver_name</t>
  </si>
  <si>
    <t>Driver Name</t>
  </si>
  <si>
    <t>your_account_is_blocked</t>
  </si>
  <si>
    <t>Your Account
is Blocked</t>
  </si>
  <si>
    <t>wait_for_approval</t>
  </si>
  <si>
    <t>Wait
for Approval</t>
  </si>
  <si>
    <t>your_account_has_been_blocked_due_to_some_reasons</t>
  </si>
  <si>
    <t>your account has been blocked due to some reasons.</t>
  </si>
  <si>
    <t>if_you_have_any_queries_please</t>
  </si>
  <si>
    <t>If you have any queries, Please</t>
  </si>
  <si>
    <t>contact_us</t>
  </si>
  <si>
    <t>contact us.</t>
  </si>
  <si>
    <t>unblock_request_sent</t>
  </si>
  <si>
    <t>Unblock Request Sent</t>
  </si>
  <si>
    <t>send_unblock_request</t>
  </si>
  <si>
    <t>Send Unblock Request</t>
  </si>
  <si>
    <t>we_are_working_hard_to_verify_taxi_and_approve_them_so_please_understand_that_approval_process_will_take_some_time_thanks_for_your_patience</t>
  </si>
  <si>
    <t>We are working hard to verify taxi and approve them. So please understand that approval process will take some time.
Thanks for your patience.</t>
  </si>
  <si>
    <t>if_you_have_any_queries_regarding_registration_or_app_please</t>
  </si>
  <si>
    <t>If you have any queries regarding registration or app, Please</t>
  </si>
  <si>
    <t>edit_documents</t>
  </si>
  <si>
    <t>Edit Documents</t>
  </si>
  <si>
    <t>something_went_wrong</t>
  </si>
  <si>
    <t>Something went wrong</t>
  </si>
  <si>
    <t>please_enter_your_password_to_continue</t>
  </si>
  <si>
    <t>Please enter your password to continue</t>
  </si>
  <si>
    <t>reference_code</t>
  </si>
  <si>
    <t>Reference code</t>
  </si>
  <si>
    <t>street_one</t>
  </si>
  <si>
    <t>Street One</t>
  </si>
  <si>
    <t>street_two</t>
  </si>
  <si>
    <t>Street Two</t>
  </si>
  <si>
    <t>city</t>
  </si>
  <si>
    <t>City</t>
  </si>
  <si>
    <t>state</t>
  </si>
  <si>
    <t>State</t>
  </si>
  <si>
    <t>postal_code</t>
  </si>
  <si>
    <t>Postal Code</t>
  </si>
  <si>
    <t>country</t>
  </si>
  <si>
    <t>Country</t>
  </si>
  <si>
    <t>get_otp</t>
  </si>
  <si>
    <t>Get OTP</t>
  </si>
  <si>
    <t>an_otp_has_been_sent_to_mobile_number</t>
  </si>
  <si>
    <t>An OTP has been sent to mobile number</t>
  </si>
  <si>
    <t>one_time_password</t>
  </si>
  <si>
    <t>One Time
Password(OTP)</t>
  </si>
  <si>
    <t>otp_verification</t>
  </si>
  <si>
    <t>OTP Verification</t>
  </si>
  <si>
    <t>verify_otp</t>
  </si>
  <si>
    <t>Verify OTP</t>
  </si>
  <si>
    <t>resend_otp</t>
  </si>
  <si>
    <t>Resend OTP</t>
  </si>
  <si>
    <t>otp_verified_successfully</t>
  </si>
  <si>
    <t>OTP verified successfully</t>
  </si>
  <si>
    <t>otp_resent_successfully_to_registered_phone_number</t>
  </si>
  <si>
    <t>OTP resent successfully to registered phone number</t>
  </si>
  <si>
    <t>please_enable_location_permission_to_get_real_time_updates</t>
  </si>
  <si>
    <t xml:space="preserve"> Please enable location permission to get real time updates</t>
  </si>
  <si>
    <t>please_enable_notification_permission_to_get_real_time_updates</t>
  </si>
  <si>
    <t>Please enable notification permission to get real time updates</t>
  </si>
  <si>
    <t>enable_now</t>
  </si>
  <si>
    <t>Enable Now</t>
  </si>
  <si>
    <t>Wait 
for Approval</t>
  </si>
  <si>
    <t>unblock_request_already_sent</t>
  </si>
  <si>
    <t>Unblock Request Already Sent</t>
  </si>
  <si>
    <t xml:space="preserve"> We are working hard to verify taxi and approve them. So please understand that approval process will take some time.
Thanks for your patience.</t>
  </si>
  <si>
    <t>yes_go_online</t>
  </si>
  <si>
    <t>Yes, Go Online</t>
  </si>
  <si>
    <t>are_you_sure_want_to_go_online_and_ready_to_take_trips</t>
  </si>
  <si>
    <t>Are you sure want to Go Online and ready to take trips</t>
  </si>
  <si>
    <t>yes_go_offline</t>
  </si>
  <si>
    <t>Yes, Go Offline</t>
  </si>
  <si>
    <t>no_be_online</t>
  </si>
  <si>
    <t>No, Be Online</t>
  </si>
  <si>
    <t>are_you_sure_want_to_go_offline</t>
  </si>
  <si>
    <t>Are you sure want to Go Offline?</t>
  </si>
  <si>
    <t>you_are_online</t>
  </si>
  <si>
    <t>You are Online</t>
  </si>
  <si>
    <t>please_go_online_when_you_are_ready_to_take_trips</t>
  </si>
  <si>
    <t>Please go Online when you're ready to take trips</t>
  </si>
  <si>
    <t>you_are_currently_offline</t>
  </si>
  <si>
    <t>You're currently Offline</t>
  </si>
  <si>
    <t>your_account_has_been_blocked</t>
  </si>
  <si>
    <t>Your Account Has Been Blocked</t>
  </si>
  <si>
    <t>due_to_one_or_more_of_the_following_reasons</t>
  </si>
  <si>
    <t>Due to one or more of the following reasons:</t>
  </si>
  <si>
    <t>pending_payment_dues</t>
  </si>
  <si>
    <t>Pending payment dues</t>
  </si>
  <si>
    <t>high_number_of_rejected_trips</t>
  </si>
  <si>
    <t>High number of rejected trips</t>
  </si>
  <si>
    <t>low_driver_ratings</t>
  </si>
  <si>
    <t>Low driver ratings</t>
  </si>
  <si>
    <t>please_contact_support_for_more_information</t>
  </si>
  <si>
    <t>Please contact support for more information</t>
  </si>
  <si>
    <t>your_account_is_under_review</t>
  </si>
  <si>
    <t>Your Account is Under Review</t>
  </si>
  <si>
    <t>please_wait_while_we_verify_your_account</t>
  </si>
  <si>
    <t>Please wait while we verify your account</t>
  </si>
  <si>
    <t>document_verification_in_progress</t>
  </si>
  <si>
    <t>Document verification in progress</t>
  </si>
  <si>
    <t>background_check_pending</t>
  </si>
  <si>
    <t>Background check pending</t>
  </si>
  <si>
    <t>vehicle_inspection_review</t>
  </si>
  <si>
    <t>Vehicle inspection review</t>
  </si>
  <si>
    <t>bank_details_under_review</t>
  </si>
  <si>
    <t>Bank Details Under Review</t>
  </si>
  <si>
    <t>your_bank_account_is_being_verified_for_payment_processing</t>
  </si>
  <si>
    <t>Your bank account is being verified for payment processing</t>
  </si>
  <si>
    <t>bank_account_verification_in_progress</t>
  </si>
  <si>
    <t>Bank account verification in progress</t>
  </si>
  <si>
    <t>payment_details_being_validated</t>
  </si>
  <si>
    <t>Payment details being validated</t>
  </si>
  <si>
    <t>this_process_usually_takes_1_2_business_days</t>
  </si>
  <si>
    <t>This process usually takes 1-2 business days</t>
  </si>
  <si>
    <t>contact_support_if_verification_takes_longer</t>
  </si>
  <si>
    <t>Contact support if verification takes longer</t>
  </si>
  <si>
    <t>trips</t>
  </si>
  <si>
    <t>Trips</t>
  </si>
  <si>
    <t>earnings</t>
  </si>
  <si>
    <t>Earnings</t>
  </si>
  <si>
    <t>go_online</t>
  </si>
  <si>
    <t>Go Online</t>
  </si>
  <si>
    <t>stops</t>
  </si>
  <si>
    <t>Stops</t>
  </si>
  <si>
    <t>pick_up_location</t>
  </si>
  <si>
    <t>PickUp Location</t>
  </si>
  <si>
    <t>drop_location</t>
  </si>
  <si>
    <t>Drop Location</t>
  </si>
  <si>
    <t>done</t>
  </si>
  <si>
    <t>Done</t>
  </si>
  <si>
    <t>format</t>
  </si>
  <si>
    <t>Format</t>
  </si>
  <si>
    <t>size_maximum_photo</t>
  </si>
  <si>
    <t>Size: Maximum 10MB each</t>
  </si>
  <si>
    <t>resolution_maximum_2000px</t>
  </si>
  <si>
    <t>Resolution: Maximum 2000px</t>
  </si>
  <si>
    <t>upload_document</t>
  </si>
  <si>
    <t>Upload Document</t>
  </si>
  <si>
    <t>upload</t>
  </si>
  <si>
    <t>Upload</t>
  </si>
  <si>
    <t>otp_sent_successfully</t>
  </si>
  <si>
    <t>OTP sent successfully</t>
  </si>
  <si>
    <t>raise_ticket</t>
  </si>
  <si>
    <t>Raise Ticket</t>
  </si>
  <si>
    <t>change</t>
  </si>
  <si>
    <t>Change</t>
  </si>
  <si>
    <t>trip_history</t>
  </si>
  <si>
    <t>Trip History</t>
  </si>
  <si>
    <t>no_trips_found</t>
  </si>
  <si>
    <t>No trips found</t>
  </si>
  <si>
    <t>you_havent_completed_any_trips_yet</t>
  </si>
  <si>
    <t>You haven't completed any trips yet.</t>
  </si>
  <si>
    <t>loading_more_trips</t>
  </si>
  <si>
    <t>Loading more trips...</t>
  </si>
  <si>
    <t>view_details</t>
  </si>
  <si>
    <t>View Details</t>
  </si>
  <si>
    <t>end_location</t>
  </si>
  <si>
    <t>End Location</t>
  </si>
  <si>
    <t>start_location</t>
  </si>
  <si>
    <t>Start Location</t>
  </si>
  <si>
    <t>select_status</t>
  </si>
  <si>
    <t>Select Status</t>
  </si>
  <si>
    <t>select_date_range</t>
  </si>
  <si>
    <t>Select Date Range</t>
  </si>
  <si>
    <t>total_trips</t>
  </si>
  <si>
    <t>Total Trips</t>
  </si>
  <si>
    <t>total_online_hours</t>
  </si>
  <si>
    <t>Total OnlineHours</t>
  </si>
  <si>
    <t>paid_amount</t>
  </si>
  <si>
    <t>Paid Amount</t>
  </si>
  <si>
    <t>due_amount</t>
  </si>
  <si>
    <t>Due Amount</t>
  </si>
  <si>
    <t>total_earnings</t>
  </si>
  <si>
    <t>Total Earnings</t>
  </si>
  <si>
    <t>pay_due_amount</t>
  </si>
  <si>
    <t>Pay Due Amount</t>
  </si>
  <si>
    <t>next_due_date</t>
  </si>
  <si>
    <t xml:space="preserve"> NextDue Date</t>
  </si>
  <si>
    <t>pay_now</t>
  </si>
  <si>
    <t>Pay Now</t>
  </si>
  <si>
    <t>transactions</t>
  </si>
  <si>
    <t>Transactions</t>
  </si>
  <si>
    <t>passanger_payment</t>
  </si>
  <si>
    <t>Passanger Payment</t>
  </si>
  <si>
    <t>due_status</t>
  </si>
  <si>
    <t>Due Status</t>
  </si>
  <si>
    <t>loading_more_payments</t>
  </si>
  <si>
    <t>Loading more payments...</t>
  </si>
  <si>
    <t>no_payments_found</t>
  </si>
  <si>
    <t>No payments found</t>
  </si>
  <si>
    <t>you_havent_received_any_payments_yet_for_the_selected_date_range</t>
  </si>
  <si>
    <t>You haven't received any payments yet for the selected date range.</t>
  </si>
  <si>
    <t>amount</t>
  </si>
  <si>
    <t>Amount</t>
  </si>
  <si>
    <t>currency</t>
  </si>
  <si>
    <t>Currency</t>
  </si>
  <si>
    <t>payment_id</t>
  </si>
  <si>
    <t>Payment Id</t>
  </si>
  <si>
    <t>receipt</t>
  </si>
  <si>
    <t>Receipt</t>
  </si>
  <si>
    <t>loading_more_transactions</t>
  </si>
  <si>
    <t>Loading more transactions...</t>
  </si>
  <si>
    <t>no_transactions_found</t>
  </si>
  <si>
    <t>No transactions found</t>
  </si>
  <si>
    <t>you_havent_made_any_transactions_yet_for_the_selected_date_range</t>
  </si>
  <si>
    <t>You haven't made any transactions yet for the selected date range.</t>
  </si>
  <si>
    <t>driver_due</t>
  </si>
  <si>
    <t>Driver Due</t>
  </si>
  <si>
    <t>driver_earnings</t>
  </si>
  <si>
    <t>Driver Earnings</t>
  </si>
  <si>
    <t>logged_in_vehicle_details</t>
  </si>
  <si>
    <t>LoggedIn Vehicle Details</t>
  </si>
  <si>
    <t>logout_from_vehicle</t>
  </si>
  <si>
    <t>Logout from Vehicle</t>
  </si>
  <si>
    <t>choose_vehicle</t>
  </si>
  <si>
    <t>Choose Vehicle</t>
  </si>
  <si>
    <t>not_available</t>
  </si>
  <si>
    <t>Not Available</t>
  </si>
  <si>
    <t>already_assigned_to_driver</t>
  </si>
  <si>
    <t>Already assigned to driver</t>
  </si>
  <si>
    <t>no_vehicles_available</t>
  </si>
  <si>
    <t>No vehicles available</t>
  </si>
  <si>
    <t>please_contact_your_administrator</t>
  </si>
  <si>
    <t>Please contact your administrator</t>
  </si>
  <si>
    <t>loading_vehicles</t>
  </si>
  <si>
    <t>Loading vehicles...</t>
  </si>
  <si>
    <t>choose_from_available_vehicles</t>
  </si>
  <si>
    <t>Choose from available vehicles</t>
  </si>
  <si>
    <t>available_vehicles</t>
  </si>
  <si>
    <t>Available Vehicles</t>
  </si>
  <si>
    <t>blocked</t>
  </si>
  <si>
    <t>BLOCKED</t>
  </si>
  <si>
    <t>available</t>
  </si>
  <si>
    <t>AVAILABLE</t>
  </si>
  <si>
    <t>payment_received</t>
  </si>
  <si>
    <t>Payment Received</t>
  </si>
  <si>
    <t>please_select_a_payment_method</t>
  </si>
  <si>
    <t>Please select a payment method</t>
  </si>
  <si>
    <t>ride_fare</t>
  </si>
  <si>
    <t>Ride Fare</t>
  </si>
  <si>
    <t>location_details</t>
  </si>
  <si>
    <t>Location Details</t>
  </si>
  <si>
    <t>payment_details</t>
  </si>
  <si>
    <t>Payment Details</t>
  </si>
  <si>
    <t>coupon</t>
  </si>
  <si>
    <t>Coupon</t>
  </si>
  <si>
    <t>due</t>
  </si>
  <si>
    <t>Due</t>
  </si>
  <si>
    <t>subtotal</t>
  </si>
  <si>
    <t>total</t>
  </si>
  <si>
    <t>Total</t>
  </si>
  <si>
    <t>payment_method</t>
  </si>
  <si>
    <t>Payment Method</t>
  </si>
  <si>
    <t>invoice</t>
  </si>
  <si>
    <t>Invoice</t>
  </si>
  <si>
    <t>supplier_info</t>
  </si>
  <si>
    <t>Supplier Info</t>
  </si>
  <si>
    <t>ride_type</t>
  </si>
  <si>
    <t>Ride Type</t>
  </si>
  <si>
    <t>invoice_breakdown</t>
  </si>
  <si>
    <t>Invoice Breakdown</t>
  </si>
  <si>
    <t>ride_cost</t>
  </si>
  <si>
    <t>Ride Cost</t>
  </si>
  <si>
    <t>waiting_cost</t>
  </si>
  <si>
    <t>Waiting Cost</t>
  </si>
  <si>
    <t>coupon_discount</t>
  </si>
  <si>
    <t>Coupon Discount</t>
  </si>
  <si>
    <t>cancel_trip</t>
  </si>
  <si>
    <t>Cancel Trip</t>
  </si>
  <si>
    <t>basic_details</t>
  </si>
  <si>
    <t>Basic Details</t>
  </si>
  <si>
    <t>reviews</t>
  </si>
  <si>
    <t>Reviews:</t>
  </si>
  <si>
    <t>active</t>
  </si>
  <si>
    <t>Active</t>
  </si>
  <si>
    <t>are_you_sure_you_want_to_edit_documents</t>
  </si>
  <si>
    <t>Are you sure you want to edit documents?</t>
  </si>
  <si>
    <t>once_edit_started_your_account_will_be_on_hold_till_documents_are_verified_and_approved</t>
  </si>
  <si>
    <t>Once edit started your account will be on hold till documents are verified and approved.</t>
  </si>
  <si>
    <t>you_cannot_take_trips_till_that</t>
  </si>
  <si>
    <t>You cannot take trips till that.</t>
  </si>
  <si>
    <t>if_you_have_pending_due_amount_please_clear_all_due_before</t>
  </si>
  <si>
    <t>If you have pending due amount please clear all due before.</t>
  </si>
  <si>
    <t>personal_information</t>
  </si>
  <si>
    <t>Personal Information</t>
  </si>
  <si>
    <t>proof_documents</t>
  </si>
  <si>
    <t>Proof Documents</t>
  </si>
  <si>
    <t>bank_account</t>
  </si>
  <si>
    <t>Bank Account</t>
  </si>
  <si>
    <t>decline_ride</t>
  </si>
  <si>
    <t>DECLINE RIDE</t>
  </si>
  <si>
    <t>accept_ride</t>
  </si>
  <si>
    <t>ACCEPT RIDE</t>
  </si>
  <si>
    <t>booked_at</t>
  </si>
  <si>
    <t>Booked At</t>
  </si>
  <si>
    <t>start_navigation</t>
  </si>
  <si>
    <t>Start Navigation</t>
  </si>
  <si>
    <t>waiting_time</t>
  </si>
  <si>
    <t>Waiting Time:</t>
  </si>
  <si>
    <t>stop_timer</t>
  </si>
  <si>
    <t>Stop Timer</t>
  </si>
  <si>
    <t>reached</t>
  </si>
  <si>
    <t>Reached</t>
  </si>
  <si>
    <t>press_to_update_status</t>
  </si>
  <si>
    <t>Press to update status</t>
  </si>
  <si>
    <t>arrived_at_pickup_location</t>
  </si>
  <si>
    <t>Arrived at Pickup Location ?</t>
  </si>
  <si>
    <t>alert</t>
  </si>
  <si>
    <t>Alert</t>
  </si>
  <si>
    <t>enter_otp</t>
  </si>
  <si>
    <t>Enter OTP</t>
  </si>
  <si>
    <t>you_have_successfully_reached_your_destination</t>
  </si>
  <si>
    <t>You have successfully reached your destination</t>
  </si>
  <si>
    <t>end_trip</t>
  </si>
  <si>
    <t>End Trip</t>
  </si>
  <si>
    <t>please_enable_required_permissions</t>
  </si>
  <si>
    <t>Please Enable Required Permissions</t>
  </si>
  <si>
    <t>location_not_found</t>
  </si>
  <si>
    <t>Location not found</t>
  </si>
  <si>
    <t>try_again</t>
  </si>
  <si>
    <t>Try Again</t>
  </si>
  <si>
    <t>please_enter_otp</t>
  </si>
  <si>
    <t>Please enter OTP</t>
  </si>
  <si>
    <t>you_have_reached_your_pickup_location</t>
  </si>
  <si>
    <t>You have reached your pickup location</t>
  </si>
  <si>
    <t>please_enter_the_otp</t>
  </si>
  <si>
    <t>Please enter the OTP</t>
  </si>
  <si>
    <t>you_have_reached_your_next_stop_location</t>
  </si>
  <si>
    <t>You have reached your next stop location</t>
  </si>
  <si>
    <t>yet_to_board</t>
  </si>
  <si>
    <t>Yet to Board</t>
  </si>
  <si>
    <t>choose_navigation_mode</t>
  </si>
  <si>
    <t>Choose Navigation Mode</t>
  </si>
  <si>
    <t>google</t>
  </si>
  <si>
    <t>Google Map</t>
  </si>
  <si>
    <t>vm</t>
  </si>
  <si>
    <t>VM Map</t>
  </si>
  <si>
    <t>no_active_route</t>
  </si>
  <si>
    <t>No Active Route</t>
  </si>
  <si>
    <t>cancel_ride</t>
  </si>
  <si>
    <t>Cancel Ride</t>
  </si>
  <si>
    <t>rider_unreachable</t>
  </si>
  <si>
    <t>Rider not reachable or not at pickup location</t>
  </si>
  <si>
    <t>pickup_incorrect_or_far</t>
  </si>
  <si>
    <t>Incorrect or far pickup location</t>
  </si>
  <si>
    <t>destination_too_far</t>
  </si>
  <si>
    <t>Destination too far or outside service area</t>
  </si>
  <si>
    <t>drop_changed</t>
  </si>
  <si>
    <t>Rider changed drop location after booking</t>
  </si>
  <si>
    <t>payment_issue</t>
  </si>
  <si>
    <t>Payment mode not acceptable</t>
  </si>
  <si>
    <t>vehicle_issue</t>
  </si>
  <si>
    <t>Vehicle issue or low fuel</t>
  </si>
  <si>
    <t>personal_emergency</t>
  </si>
  <si>
    <t>Personal emergency or health reason</t>
  </si>
  <si>
    <t>traffic_or_weather</t>
  </si>
  <si>
    <t>Poor traffic or weather conditions</t>
  </si>
  <si>
    <t>please_select_a_reason_for_cancelling_the_trip</t>
  </si>
  <si>
    <t>Please select a reason for cancelling the Trip :</t>
  </si>
  <si>
    <t>support_ticket</t>
  </si>
  <si>
    <t>Support Ticket</t>
  </si>
  <si>
    <t>search_tickets</t>
  </si>
  <si>
    <t>Search tickets...</t>
  </si>
  <si>
    <t>all</t>
  </si>
  <si>
    <t>All</t>
  </si>
  <si>
    <t>open</t>
  </si>
  <si>
    <t>Open</t>
  </si>
  <si>
    <t>in_progress</t>
  </si>
  <si>
    <t>In Progress</t>
  </si>
  <si>
    <t>resolved</t>
  </si>
  <si>
    <t>Resolved</t>
  </si>
  <si>
    <t>closed</t>
  </si>
  <si>
    <t>Closed</t>
  </si>
  <si>
    <t>escalated</t>
  </si>
  <si>
    <t>Escalated</t>
  </si>
  <si>
    <t>no_more_tickets_to_load</t>
  </si>
  <si>
    <t>No more tickets to load</t>
  </si>
  <si>
    <t>loading_more_tickets</t>
  </si>
  <si>
    <t>Loading more tickets...</t>
  </si>
  <si>
    <t>create_ticket</t>
  </si>
  <si>
    <t>Create Ticket</t>
  </si>
  <si>
    <t>no_tickets_found</t>
  </si>
  <si>
    <t>No tickets found</t>
  </si>
  <si>
    <t>try_adjusting_your_search_terms</t>
  </si>
  <si>
    <t>Try adjusting your search terms</t>
  </si>
  <si>
    <t>create_your_first_support_ticket</t>
  </si>
  <si>
    <t>Create your first support ticket</t>
  </si>
  <si>
    <t>create_new_ticket</t>
  </si>
  <si>
    <t>Create New Ticket</t>
  </si>
  <si>
    <t>describe_your_issue_and_we_ll_help_you_resolve_it</t>
  </si>
  <si>
    <t>Describe your issue and we'll help you resolve it</t>
  </si>
  <si>
    <t>ticket_type</t>
  </si>
  <si>
    <t xml:space="preserve">Ticket Type </t>
  </si>
  <si>
    <t>app_related</t>
  </si>
  <si>
    <t>App Related</t>
  </si>
  <si>
    <t>trip_related</t>
  </si>
  <si>
    <t>Trip Related</t>
  </si>
  <si>
    <t>select_trip</t>
  </si>
  <si>
    <t>Select Trip</t>
  </si>
  <si>
    <t>select_a_trip_from_your_ride_history</t>
  </si>
  <si>
    <t>Select a trip from your ride history</t>
  </si>
  <si>
    <t>trip_details</t>
  </si>
  <si>
    <t>Trip Details</t>
  </si>
  <si>
    <t>from</t>
  </si>
  <si>
    <t>From</t>
  </si>
  <si>
    <t>to</t>
  </si>
  <si>
    <t>To</t>
  </si>
  <si>
    <t>date</t>
  </si>
  <si>
    <t>Date</t>
  </si>
  <si>
    <t>fare</t>
  </si>
  <si>
    <t>Fare</t>
  </si>
  <si>
    <t>driver</t>
  </si>
  <si>
    <t>Driver</t>
  </si>
  <si>
    <t>status</t>
  </si>
  <si>
    <t>Status</t>
  </si>
  <si>
    <t>category</t>
  </si>
  <si>
    <t xml:space="preserve">Category </t>
  </si>
  <si>
    <t>loading_categories</t>
  </si>
  <si>
    <t>Loading categories...</t>
  </si>
  <si>
    <t>no_categories_available_for_this_ticket_type</t>
  </si>
  <si>
    <t>No categories available for this ticket type</t>
  </si>
  <si>
    <t>description</t>
  </si>
  <si>
    <t xml:space="preserve">Description </t>
  </si>
  <si>
    <t>please_provide_detailed_information_about_your_issue</t>
  </si>
  <si>
    <t>Please provide detailed information about your issue...</t>
  </si>
  <si>
    <t>no_more_trips_to_load</t>
  </si>
  <si>
    <t>No more trips to load</t>
  </si>
  <si>
    <t>loading_your_recent_trips</t>
  </si>
  <si>
    <t>Loading your recent trips...</t>
  </si>
  <si>
    <t>you_dont_have_any_trips_in_your_history_yet</t>
  </si>
  <si>
    <t>You don't have any trips in your history yet</t>
  </si>
  <si>
    <t>loading_trips</t>
  </si>
  <si>
    <t>Loading trips..</t>
  </si>
  <si>
    <t>reject</t>
  </si>
  <si>
    <t>Reject</t>
  </si>
  <si>
    <t>your_account_will_be_marked_as_deleted_immediately</t>
  </si>
  <si>
    <t>Your account will be marked as deleted immediately.</t>
  </si>
  <si>
    <t>all_related_data_will_be_permanently_deleted_within_30_days</t>
  </si>
  <si>
    <t>All related data will be permanently deleted within 30 days.</t>
  </si>
  <si>
    <t>this_action_cant_be_undone_deleted_data_is_not_recoverable</t>
  </si>
  <si>
    <t>This action can't be undon - deleted data is not recoverable.</t>
  </si>
  <si>
    <t>you_wont_be_able_to_take_trips_or_access_driver_features_after_this</t>
  </si>
  <si>
    <t>You won't be able to take trips or access driver features after this.</t>
  </si>
  <si>
    <t>certain_records_may_be_retained_as_required_by_law</t>
  </si>
  <si>
    <t>Certain records (e.g., payments/receipts) may be retained as required by law.</t>
  </si>
  <si>
    <t>i_understand_that_my_account_will_be_marked_as_deleted_now_my_data_will_be_permanently_deleted_within_30_days_i_wont_be_able_to_take_trips_and_this_action_cannot_be_undone</t>
  </si>
  <si>
    <t>I understand that my account will be marked as deleted now, my data will be permanently deleted within 30 days, I won’t be able to take trips, and this action cannot be undone.</t>
  </si>
  <si>
    <t>please_enter_your_phone_number</t>
  </si>
  <si>
    <t>Please enter your phone number</t>
  </si>
  <si>
    <t>please_enter_a_valid_phone_number</t>
  </si>
  <si>
    <t>Please enter a valid phone number</t>
  </si>
  <si>
    <t>please_agree_to_the_terms_and_conditions</t>
  </si>
  <si>
    <t>Please agree to the terms and conditions</t>
  </si>
  <si>
    <t>please_enter_your_registered_phone_number</t>
  </si>
  <si>
    <t>Please Enter Your Registered Phone Number</t>
  </si>
  <si>
    <t>line_one</t>
  </si>
  <si>
    <t>Line 1</t>
  </si>
  <si>
    <t>line_two</t>
  </si>
  <si>
    <t>Line 2</t>
  </si>
  <si>
    <t>vehicle_rc_document_back_side</t>
  </si>
  <si>
    <t>Vehicle RC Document Back Side</t>
  </si>
  <si>
    <t>lifetime</t>
  </si>
  <si>
    <t>Life Time</t>
  </si>
  <si>
    <t>expiry_date</t>
  </si>
  <si>
    <t>Expiry Date</t>
  </si>
  <si>
    <t>road_tax</t>
  </si>
  <si>
    <t>Road Tax</t>
  </si>
  <si>
    <t>alternate_phone_number</t>
  </si>
  <si>
    <t>Alternate Phone Number</t>
  </si>
  <si>
    <t>write_feedback</t>
  </si>
  <si>
    <t>Write Feedback</t>
  </si>
  <si>
    <t>say_some_good_things_about_our_app</t>
  </si>
  <si>
    <t>Say some good things about our app</t>
  </si>
  <si>
    <t>say_some_bad_things_about_our_app</t>
  </si>
  <si>
    <t>Say some bad things about our app</t>
  </si>
  <si>
    <t>improvements_you_would_like_to_say</t>
  </si>
  <si>
    <t>Improvements you would like to say</t>
  </si>
  <si>
    <t>issues_you_are_facing</t>
  </si>
  <si>
    <t>Issues you are facing</t>
  </si>
  <si>
    <t>contact_email</t>
  </si>
  <si>
    <t>Contact Email</t>
  </si>
  <si>
    <t>please_enter_some_good_things</t>
  </si>
  <si>
    <t>Please enter some good things</t>
  </si>
  <si>
    <t>please_enter_some_bad_things</t>
  </si>
  <si>
    <t>Please enter some bad things</t>
  </si>
  <si>
    <t>please_enter_some_improvements</t>
  </si>
  <si>
    <t>Please enter some improvements</t>
  </si>
  <si>
    <t>please_enter_some_issues</t>
  </si>
  <si>
    <t>Please enter some issues</t>
  </si>
  <si>
    <t>please_enter_a_valid_email</t>
  </si>
  <si>
    <t>Please enter a valid email</t>
  </si>
  <si>
    <t>reached_destination</t>
  </si>
  <si>
    <t>Reached Destination</t>
  </si>
  <si>
    <t>please_select_a_reason_for_ending_the_trip</t>
  </si>
  <si>
    <t>Please select a reason for ending the Trip :</t>
  </si>
  <si>
    <t>help</t>
  </si>
  <si>
    <t>HELP</t>
  </si>
  <si>
    <t>please_enter_email</t>
  </si>
  <si>
    <t>Please Enter Email</t>
  </si>
  <si>
    <t>check_status</t>
  </si>
  <si>
    <t>Check Status</t>
  </si>
  <si>
    <t>refreshing</t>
  </si>
  <si>
    <t>Refreshing....</t>
  </si>
  <si>
    <t>view_detailed</t>
  </si>
  <si>
    <t>View Detailed</t>
  </si>
  <si>
    <t>my_account</t>
  </si>
  <si>
    <t>My Account</t>
  </si>
  <si>
    <t>price_chart</t>
  </si>
  <si>
    <t>Price Chart</t>
  </si>
  <si>
    <t>permission_screen</t>
  </si>
  <si>
    <t>Permission Screen</t>
  </si>
  <si>
    <t>permission_screen_info</t>
  </si>
  <si>
    <t>We need location, background tracking, and notification permissions for real-time trip monitoring, passenger alerts, and seamless navigation updates while driving.</t>
  </si>
  <si>
    <t>notification_permission</t>
  </si>
  <si>
    <t>Notification Permission</t>
  </si>
  <si>
    <t>location_permission</t>
  </si>
  <si>
    <t>Location Permission</t>
  </si>
  <si>
    <t>bg_loc_permission</t>
  </si>
  <si>
    <t>Background location Permission</t>
  </si>
  <si>
    <t>not_tracking_info</t>
  </si>
  <si>
    <t>NOT needs background location permission to track your location even when the app is not open. This allows for continuous tracking and ensures accurate location data is collected at all times.</t>
  </si>
  <si>
    <t>display_over_other_apps</t>
  </si>
  <si>
    <t>Display Over Other Apps</t>
  </si>
  <si>
    <t>display_over_other_apps_info</t>
  </si>
  <si>
    <t>Display Over Other Apps this permission is required to display the overlay over other apps. This ensures drivers can promptly respond to new ride requests. The overlay is not used for advertising or unrelated content.</t>
  </si>
  <si>
    <t>disable_battery_optim</t>
  </si>
  <si>
    <t>Disable Battery Optimization</t>
  </si>
  <si>
    <t>disable_battery_info</t>
  </si>
  <si>
    <t>Disabling battery optimization enables continuous tracking for better accuracy even when app is not actively in use, but may slightly increase battery usage. We recommend you to disable battery optimization from app settings for optimal tracking  performance</t>
  </si>
  <si>
    <t>you_can_enable_in_this_screen</t>
  </si>
  <si>
    <t>In this screen you can only enable permissions, for disabling permission manually disable it on mobile settings</t>
  </si>
  <si>
    <t>enable_disable_manually</t>
  </si>
  <si>
    <t>Disable / Enable Permissions Manually</t>
  </si>
  <si>
    <t>delete_account</t>
  </si>
  <si>
    <t>Delete Account</t>
  </si>
  <si>
    <t>history</t>
  </si>
  <si>
    <t>History</t>
  </si>
  <si>
    <t>today</t>
  </si>
  <si>
    <t>Today</t>
  </si>
  <si>
    <t>yesterday</t>
  </si>
  <si>
    <t>Yesterday</t>
  </si>
  <si>
    <t>this_week</t>
  </si>
  <si>
    <t>This week</t>
  </si>
  <si>
    <t>last_week</t>
  </si>
  <si>
    <t>Last week</t>
  </si>
  <si>
    <t>this_month</t>
  </si>
  <si>
    <t>This Month</t>
  </si>
  <si>
    <t>call_support</t>
  </si>
  <si>
    <t>Call Support</t>
  </si>
  <si>
    <t>send_email</t>
  </si>
  <si>
    <t>Send Email</t>
  </si>
  <si>
    <t>whatsapp</t>
  </si>
  <si>
    <t>WhatsApp</t>
  </si>
  <si>
    <t>call</t>
  </si>
  <si>
    <t>Call</t>
  </si>
  <si>
    <t>mail</t>
  </si>
  <si>
    <t>Mail</t>
  </si>
  <si>
    <t>home</t>
  </si>
  <si>
    <t>Home</t>
  </si>
  <si>
    <t>accept</t>
  </si>
  <si>
    <t>Accept</t>
  </si>
  <si>
    <t>settings</t>
  </si>
  <si>
    <t>Settings</t>
  </si>
  <si>
    <t>driver_login</t>
  </si>
  <si>
    <t>Driver Login</t>
  </si>
  <si>
    <t>customer_login</t>
  </si>
  <si>
    <t>Passenger Login</t>
  </si>
  <si>
    <t>sign_in_by_mobile</t>
  </si>
  <si>
    <t>Sign In By Mobile</t>
  </si>
  <si>
    <t>mobile_number</t>
  </si>
  <si>
    <t>Mobile Number</t>
  </si>
  <si>
    <t>request_otp</t>
  </si>
  <si>
    <t>Request OTP</t>
  </si>
  <si>
    <t>one_time_password_otp</t>
  </si>
  <si>
    <t>One Time Password(OTP)</t>
  </si>
  <si>
    <t>enter_otp_sent_to_mobile</t>
  </si>
  <si>
    <t>Enter the OTP sent to your mobile number</t>
  </si>
  <si>
    <t>title</t>
  </si>
  <si>
    <t>Welcome to Namma Ooru Taxi</t>
  </si>
  <si>
    <t>subtitle</t>
  </si>
  <si>
    <t>Choose how you would like to continue.</t>
  </si>
  <si>
    <t>continue_as</t>
  </si>
  <si>
    <t>Continue as</t>
  </si>
  <si>
    <t>customer</t>
  </si>
  <si>
    <t>Passenger</t>
  </si>
  <si>
    <t>become_a</t>
  </si>
  <si>
    <t>Become a</t>
  </si>
  <si>
    <t>and_earn_money</t>
  </si>
  <si>
    <t>&amp; earn money</t>
  </si>
  <si>
    <t>contact</t>
  </si>
  <si>
    <t>Contact</t>
  </si>
  <si>
    <t>send_feedback</t>
  </si>
  <si>
    <t>Send FeedBack</t>
  </si>
  <si>
    <t>terms_and_conditions</t>
  </si>
  <si>
    <t>Terms and Conditions</t>
  </si>
  <si>
    <t>privacy_policy</t>
  </si>
  <si>
    <t>Privacy Policy</t>
  </si>
  <si>
    <t>about_us</t>
  </si>
  <si>
    <t>About Us</t>
  </si>
  <si>
    <t>more_apps</t>
  </si>
  <si>
    <t>More Apps</t>
  </si>
  <si>
    <t>CANCELLED</t>
  </si>
  <si>
    <t>ரத்து செய்யப்பட்டது</t>
  </si>
  <si>
    <t>COMPLETED</t>
  </si>
  <si>
    <t>முடிந்தது</t>
  </si>
  <si>
    <t>DIVERGED</t>
  </si>
  <si>
    <t>பிரிந்தது</t>
  </si>
  <si>
    <t>FAILED</t>
  </si>
  <si>
    <t>தோல்வி</t>
  </si>
  <si>
    <t>PENDING</t>
  </si>
  <si>
    <t>காத்திருக்கிறது</t>
  </si>
  <si>
    <t>Pay_trip_fare_to_driver</t>
  </si>
  <si>
    <t>Pay trip fare to driver</t>
  </si>
  <si>
    <t>பயண கட்டணத்தை ஓட்டுநருக்கு செலுத்து</t>
  </si>
  <si>
    <t>account_deletion_message</t>
  </si>
  <si>
    <t>Your account will be deleted after 15 days. You have been logged out.</t>
  </si>
  <si>
    <t>15 நாட்களுக்குப் பிறகு உங்கள் கணக்கு நீக்கப்படும். நீங்கள் வெளியேறிவிட்டீர்கள்.</t>
  </si>
  <si>
    <t>account_deletion_requested</t>
  </si>
  <si>
    <t>Account Deletion Requested</t>
  </si>
  <si>
    <t>கணக்கு நீக்கம் கோரப்பட்டது</t>
  </si>
  <si>
    <t>add_contact</t>
  </si>
  <si>
    <t>Add Contact</t>
  </si>
  <si>
    <t>தொடர்பைச் சேர்க்கவும்</t>
  </si>
  <si>
    <t>add_favorite_places</t>
  </si>
  <si>
    <t>Add Favorite Places</t>
  </si>
  <si>
    <t>பிடித்த இடங்களைச் சேர்க்கவும்</t>
  </si>
  <si>
    <t>add_new_contact</t>
  </si>
  <si>
    <t>Add New Contact</t>
  </si>
  <si>
    <t>புதிய தொடர்பைச் சேர்க்கவும்</t>
  </si>
  <si>
    <t>add_place</t>
  </si>
  <si>
    <t>Add Place</t>
  </si>
  <si>
    <t>இடத்தைச் சேர்க்கவும்</t>
  </si>
  <si>
    <t>add_stop</t>
  </si>
  <si>
    <t>Add Stop</t>
  </si>
  <si>
    <t>நிறுத்துகளைச் சேர்க்கவும்</t>
  </si>
  <si>
    <t>add_stop_wait_time</t>
  </si>
  <si>
    <t>Add Stop Wait Time</t>
  </si>
  <si>
    <t>ஸ்டாப் காத்திருப்பு நேரத்தைச் சேர்க்கவும்</t>
  </si>
  <si>
    <t>add_stops</t>
  </si>
  <si>
    <t>Add Stops</t>
  </si>
  <si>
    <t>நிறுத்தங்களைச் சேர்க்கவும்</t>
  </si>
  <si>
    <t>add_waypoint</t>
  </si>
  <si>
    <t>Add Waypoint</t>
  </si>
  <si>
    <t>வழிப்பாதையைச் சேர்க்கவும்</t>
  </si>
  <si>
    <t>address</t>
  </si>
  <si>
    <t>Address</t>
  </si>
  <si>
    <t>முகவரி</t>
  </si>
  <si>
    <t>agent_is_typing</t>
  </si>
  <si>
    <t>Agent is typing...</t>
  </si>
  <si>
    <t>முகவர் தட்டச்சு செய்கிறார்...</t>
  </si>
  <si>
    <t>all_status</t>
  </si>
  <si>
    <t>All Status</t>
  </si>
  <si>
    <t>அனைத்து நிலை</t>
  </si>
  <si>
    <t>applied</t>
  </si>
  <si>
    <t>Applied</t>
  </si>
  <si>
    <t>விண்ணப்பிக்கப்பட்டது</t>
  </si>
  <si>
    <t>apply_coupon</t>
  </si>
  <si>
    <t>Apply Coupon</t>
  </si>
  <si>
    <t>பயன்படுத்து</t>
  </si>
  <si>
    <t>are_you_sure_to_cancel_ride</t>
  </si>
  <si>
    <t>Are you sure to cancel ride?</t>
  </si>
  <si>
    <t>சவாரியை ரத்து செய்வதில் உறுதியாக உள்ளீர்களா?</t>
  </si>
  <si>
    <t>arrival</t>
  </si>
  <si>
    <t>Arrival</t>
  </si>
  <si>
    <t>வருகை</t>
  </si>
  <si>
    <t>available_coupons</t>
  </si>
  <si>
    <t>Available Coupons</t>
  </si>
  <si>
    <t>கிடைக்கும் கூப்பன்கள்</t>
  </si>
  <si>
    <t>back</t>
  </si>
  <si>
    <t>Back</t>
  </si>
  <si>
    <t>மீண்டும்</t>
  </si>
  <si>
    <t>base_fare</t>
  </si>
  <si>
    <t>Base Fare</t>
  </si>
  <si>
    <t>அடிப்படை கட்டணம்</t>
  </si>
  <si>
    <t>became_a_driver</t>
  </si>
  <si>
    <t>become_a_driver</t>
  </si>
  <si>
    <t>Become a Driver</t>
  </si>
  <si>
    <t>ஓட்டுநராக ஆக</t>
  </si>
  <si>
    <t>book_for</t>
  </si>
  <si>
    <t>Book For</t>
  </si>
  <si>
    <t>யாருக்கான பயணம்</t>
  </si>
  <si>
    <t>book_ride</t>
  </si>
  <si>
    <t>Book Ride</t>
  </si>
  <si>
    <t>புத்தக சவாரி</t>
  </si>
  <si>
    <t>booked_by_mistake</t>
  </si>
  <si>
    <t>Booked by mistake</t>
  </si>
  <si>
    <t>தவறுதலாக பதிவு செய்யப்பட்டது</t>
  </si>
  <si>
    <t>booking</t>
  </si>
  <si>
    <t>BOOKING...</t>
  </si>
  <si>
    <t>முன்பதிவு...</t>
  </si>
  <si>
    <t>booking_confirmed</t>
  </si>
  <si>
    <t>Booking Confirmed</t>
  </si>
  <si>
    <t>முன்பதிவு உறுதி செய்யப்பட்டது</t>
  </si>
  <si>
    <t>booking_error</t>
  </si>
  <si>
    <t>Booking Error</t>
  </si>
  <si>
    <t>முன்பதிவு பிழை</t>
  </si>
  <si>
    <t>booking_failed</t>
  </si>
  <si>
    <t>Booking Failed</t>
  </si>
  <si>
    <t>முன்பதிவு தோல்வியடைந்தது</t>
  </si>
  <si>
    <t>booking_options</t>
  </si>
  <si>
    <t>Booking Options</t>
  </si>
  <si>
    <t>முன்பதிவு விருப்பங்கள்</t>
  </si>
  <si>
    <t>booking_successful</t>
  </si>
  <si>
    <t>Booking Successful</t>
  </si>
  <si>
    <t>பயணத்தை முன்பதிவு செய்தது</t>
  </si>
  <si>
    <t>booking_time</t>
  </si>
  <si>
    <t>Booking Time</t>
  </si>
  <si>
    <t>முன்பதிவு நேரம்</t>
  </si>
  <si>
    <t>button_locate_drop_location</t>
  </si>
  <si>
    <t>Confirm Drop Location</t>
  </si>
  <si>
    <t>button_locate_pickup_location</t>
  </si>
  <si>
    <t>Confirm Pickup Location</t>
  </si>
  <si>
    <t>button_locate_stop</t>
  </si>
  <si>
    <t>Confirm Stop {stop}</t>
  </si>
  <si>
    <t>நிறுத்து {stop} என்பதை உறுதிப்படுத்தவும்</t>
  </si>
  <si>
    <t>calculating</t>
  </si>
  <si>
    <t>Calculating...</t>
  </si>
  <si>
    <t>கணக்கிடுகிறது...</t>
  </si>
  <si>
    <t>call_driver</t>
  </si>
  <si>
    <t>Call Driver</t>
  </si>
  <si>
    <t>டிரைவரை அழைக்கவும்</t>
  </si>
  <si>
    <t>call_initiated_with_driver_shortly</t>
  </si>
  <si>
    <t>Call initiated with driver shortly</t>
  </si>
  <si>
    <t>calling_to_driver</t>
  </si>
  <si>
    <t>Calling to driver</t>
  </si>
  <si>
    <t>cancel_booking</t>
  </si>
  <si>
    <t>Cancel Booking</t>
  </si>
  <si>
    <t>முன்பதிவை ரத்துசெய்</t>
  </si>
  <si>
    <t>cancelled</t>
  </si>
  <si>
    <t>Cancelled</t>
  </si>
  <si>
    <t>cancelled_by_driver</t>
  </si>
  <si>
    <t>Cancelled by Driver</t>
  </si>
  <si>
    <t>ஓட்டுநரால் ரத்து</t>
  </si>
  <si>
    <t>cancelled_by_you</t>
  </si>
  <si>
    <t>Cancelled by You</t>
  </si>
  <si>
    <t>நீங்கள் ரத்து செய்தது</t>
  </si>
  <si>
    <t>cannot_change_pickup_location_driver_assigned</t>
  </si>
  <si>
    <t>You cannot edit the pickup location after a driver has been assigned.</t>
  </si>
  <si>
    <t>cant_find_you_set_pickup</t>
  </si>
  <si>
    <t>We can't find you. Set pickup location</t>
  </si>
  <si>
    <t>capacity</t>
  </si>
  <si>
    <t>Capacity</t>
  </si>
  <si>
    <t>திறன்</t>
  </si>
  <si>
    <t>card</t>
  </si>
  <si>
    <t>Card</t>
  </si>
  <si>
    <t>அட்டை</t>
  </si>
  <si>
    <t>cash</t>
  </si>
  <si>
    <t>Cash</t>
  </si>
  <si>
    <t>பணம்</t>
  </si>
  <si>
    <t>change_payment_method</t>
  </si>
  <si>
    <t>Change Payment Method</t>
  </si>
  <si>
    <t>கட்டண முறையை மாற்றவும்</t>
  </si>
  <si>
    <t>choose_always_or_while_using</t>
  </si>
  <si>
    <t>Choose "Always" or "While Using App"</t>
  </si>
  <si>
    <t>"எப்போதும்" அல்லது "பயன்பாட்டைப் பயன்படுத்தும்போது" என்பதைத் தேர்வுசெய்க</t>
  </si>
  <si>
    <t>choose_language</t>
  </si>
  <si>
    <t>Choose 
 Your Language</t>
  </si>
  <si>
    <t>தேர்வு செய்யவும் 
 உங்கள் மொழி</t>
  </si>
  <si>
    <t>clear</t>
  </si>
  <si>
    <t>Clear</t>
  </si>
  <si>
    <t>அழி</t>
  </si>
  <si>
    <t>coming_soon</t>
  </si>
  <si>
    <t>Soon</t>
  </si>
  <si>
    <t>விரைவில் வருகிறது</t>
  </si>
  <si>
    <t>comments_optional</t>
  </si>
  <si>
    <t>Comments (Optional)</t>
  </si>
  <si>
    <t>கருத்துகள் (விரும்பினால்)</t>
  </si>
  <si>
    <t>company_info</t>
  </si>
  <si>
    <t>Company Info</t>
  </si>
  <si>
    <t>நிறுவனத் தகவல்</t>
  </si>
  <si>
    <t>completed</t>
  </si>
  <si>
    <t>Completed</t>
  </si>
  <si>
    <t>முடிக்கப்பட்டது</t>
  </si>
  <si>
    <t>confirm</t>
  </si>
  <si>
    <t>Confirm</t>
  </si>
  <si>
    <t>உறுதிப்படுத்தவும்</t>
  </si>
  <si>
    <t>confirm_booking</t>
  </si>
  <si>
    <t>Confirm Booking</t>
  </si>
  <si>
    <t>முன்பதிவை உறுதிப்படுத்தவும்</t>
  </si>
  <si>
    <t>confirm_cancellation</t>
  </si>
  <si>
    <t>Confirm Cancellation</t>
  </si>
  <si>
    <t>ரத்து செய்வதை உறுதிப்படுத்தவும்</t>
  </si>
  <si>
    <t>confirm_edited_route</t>
  </si>
  <si>
    <t>Confirm Edited Route</t>
  </si>
  <si>
    <t>திருத்தப்பட்ட வழியை உறுதிப்படுத்தவும்</t>
  </si>
  <si>
    <t>confirm_location</t>
  </si>
  <si>
    <t>Confirm Location</t>
  </si>
  <si>
    <t>confirm_payment</t>
  </si>
  <si>
    <t>Confirm Payment</t>
  </si>
  <si>
    <t>confirm_payment_method</t>
  </si>
  <si>
    <t>Confirm Payment Method</t>
  </si>
  <si>
    <t>கட்டண முறையை உறுதிப்படுத்தவும்</t>
  </si>
  <si>
    <t>confirm_ride</t>
  </si>
  <si>
    <t>CONFIRM RIDE</t>
  </si>
  <si>
    <t>சவாரியை உறுதிப்படுத்தவும்</t>
  </si>
  <si>
    <t>confirm_route</t>
  </si>
  <si>
    <t>Confirm Route</t>
  </si>
  <si>
    <t>பாதையை உறுதிப்படுத்தவும்</t>
  </si>
  <si>
    <t>confirming</t>
  </si>
  <si>
    <t>Confirming...</t>
  </si>
  <si>
    <t>உறுதிப்படுத்துகிறது...</t>
  </si>
  <si>
    <t>contact_already_exists</t>
  </si>
  <si>
    <t>This contact already exists in your list</t>
  </si>
  <si>
    <t>இந்த தொடர்பு ஏற்கனவே உங்கள் பட்டியலில் உள்ளது</t>
  </si>
  <si>
    <t>contact_call_us</t>
  </si>
  <si>
    <t>Call Us</t>
  </si>
  <si>
    <t>எங்களை அழைக்கவும்</t>
  </si>
  <si>
    <t>contact_email_us</t>
  </si>
  <si>
    <t>Email Us</t>
  </si>
  <si>
    <t>எங்களுக்கு மின்னஞ்சல் அனுப்பவும்</t>
  </si>
  <si>
    <t>contact_exists</t>
  </si>
  <si>
    <t>Contact Exists</t>
  </si>
  <si>
    <t>தொடர்பு உள்ளது</t>
  </si>
  <si>
    <t>contact_privacy_note</t>
  </si>
  <si>
    <t>Your contact’s name will not be shared with the driver.</t>
  </si>
  <si>
    <t>உங்கள் தொடர்புடைய பெயர் ஓட்டுநருடன் பகிரப்படாது.</t>
  </si>
  <si>
    <t>contact_saved_successfully</t>
  </si>
  <si>
    <t>Contact saved successfully</t>
  </si>
  <si>
    <t>contact_support</t>
  </si>
  <si>
    <t>Contact Support</t>
  </si>
  <si>
    <t>ஆதரவைத் தொடர்பு கொள்ளவும்</t>
  </si>
  <si>
    <t>continue</t>
  </si>
  <si>
    <t>Continue</t>
  </si>
  <si>
    <t>தொடரவும்</t>
  </si>
  <si>
    <t>coupon_applied</t>
  </si>
  <si>
    <t>Coupon Applied</t>
  </si>
  <si>
    <t>கூப்பன் பயன்படுத்தப்பட்டது</t>
  </si>
  <si>
    <t>coupons</t>
  </si>
  <si>
    <t>Coupons</t>
  </si>
  <si>
    <t>கூப்பன்கள்</t>
  </si>
  <si>
    <t>create_first_support_ticket</t>
  </si>
  <si>
    <t>உங்கள் முதல் ஆதரவு டிக்கெட்டை உருவாக்கவும்</t>
  </si>
  <si>
    <t>created</t>
  </si>
  <si>
    <t>Created:</t>
  </si>
  <si>
    <t>உருவாக்கப்பட்டது:</t>
  </si>
  <si>
    <t>current_location</t>
  </si>
  <si>
    <t>Current Location</t>
  </si>
  <si>
    <t>தற்போதைய இடம்</t>
  </si>
  <si>
    <t>custom_date</t>
  </si>
  <si>
    <t>Custom Date</t>
  </si>
  <si>
    <t>விருப்ப தேதி</t>
  </si>
  <si>
    <t>custom_nickname</t>
  </si>
  <si>
    <t>Custom Nickname</t>
  </si>
  <si>
    <t>தனிப்பயன் புனைப்பெயர்</t>
  </si>
  <si>
    <t>customer_info</t>
  </si>
  <si>
    <t>Customer Info</t>
  </si>
  <si>
    <t>வாடிக்கையாளர் தகவல்</t>
  </si>
  <si>
    <t>date_range</t>
  </si>
  <si>
    <t>Date Range</t>
  </si>
  <si>
    <t>date_time</t>
  </si>
  <si>
    <t>Date &amp; Time</t>
  </si>
  <si>
    <t>தேதி &amp; நேரம்</t>
  </si>
  <si>
    <t>delete</t>
  </si>
  <si>
    <t>Delete</t>
  </si>
  <si>
    <t>நீக்கு</t>
  </si>
  <si>
    <t>delete_account_failed</t>
  </si>
  <si>
    <t>Delete Account Failed</t>
  </si>
  <si>
    <t>கணக்கை நீக்குவது தோல்வியுற்றது</t>
  </si>
  <si>
    <t>delete_account_info_cannot_undo</t>
  </si>
  <si>
    <t>This action cannot be undone</t>
  </si>
  <si>
    <t>தரவு மீட்டெடுக்க முடியாது</t>
  </si>
  <si>
    <t>delete_account_info_data</t>
  </si>
  <si>
    <t>All your data including ride history will be removed</t>
  </si>
  <si>
    <t>உங்கள் பயண வரலாறு உட்பட அனைத்து தரவும் நீக்கப்படும்</t>
  </si>
  <si>
    <t>delete_account_info_timeline</t>
  </si>
  <si>
    <t>Your account will be permanently deleted after 15 days</t>
  </si>
  <si>
    <t>15 நாட்களுக்குப் பிறகு உங்கள் கணக்கு நிரந்தரமாக நீக்கப்படும்</t>
  </si>
  <si>
    <t>delete_account_reason_placeholder</t>
  </si>
  <si>
    <t>Enter reason for deleting account...</t>
  </si>
  <si>
    <t>கணக்கை நீக்கும் காரணத்தை உள்ளிடவும்...</t>
  </si>
  <si>
    <t>delete_account_warning</t>
  </si>
  <si>
    <t>Are you sure you want to delete your account?</t>
  </si>
  <si>
    <t>உங்கள் கணக்கை நிச்சயமாக நீக்க விரும்புகிறீர்களா?</t>
  </si>
  <si>
    <t>delete_contact</t>
  </si>
  <si>
    <t>Delete Contact</t>
  </si>
  <si>
    <t>தொடர்பை நீக்கு</t>
  </si>
  <si>
    <t>delete_contact_confirm</t>
  </si>
  <si>
    <t>Are you sure you want to delete this contact</t>
  </si>
  <si>
    <t>இந்தத் தொடர்பை நிச்சயமாக நீக்க விரும்புகிறீர்களா?</t>
  </si>
  <si>
    <t>delete_place</t>
  </si>
  <si>
    <t>Delete Place</t>
  </si>
  <si>
    <t>இடத்தை நீக்கு</t>
  </si>
  <si>
    <t>delete_place_confirmation</t>
  </si>
  <si>
    <t>Are you sure you want to delete this place</t>
  </si>
  <si>
    <t>இந்த இடத்தை நிச்சயமாக நீக்க விரும்புகிறீர்களா?</t>
  </si>
  <si>
    <t>destination</t>
  </si>
  <si>
    <t>Destination</t>
  </si>
  <si>
    <t>இலக்கு</t>
  </si>
  <si>
    <t>destination_reached</t>
  </si>
  <si>
    <t>Destination Reached</t>
  </si>
  <si>
    <t>இலக்கு அடைந்தது</t>
  </si>
  <si>
    <t>discount</t>
  </si>
  <si>
    <t>Discount</t>
  </si>
  <si>
    <t>தள்ளுபடி</t>
  </si>
  <si>
    <t>dismiss</t>
  </si>
  <si>
    <t>Dismiss</t>
  </si>
  <si>
    <t>நிராகரி</t>
  </si>
  <si>
    <t>distance</t>
  </si>
  <si>
    <t>Distance</t>
  </si>
  <si>
    <t>தூரம்</t>
  </si>
  <si>
    <t>distance_fare</t>
  </si>
  <si>
    <t>Distance Fare</t>
  </si>
  <si>
    <t>தூரக் கட்டணம்</t>
  </si>
  <si>
    <t>distance_limit_exceeded</t>
  </si>
  <si>
    <t>Distance Limit Exceeded</t>
  </si>
  <si>
    <t>தூர வரம்பு மீறப்பட்டது</t>
  </si>
  <si>
    <t>diverged</t>
  </si>
  <si>
    <t>Diverged</t>
  </si>
  <si>
    <t>download_invoice</t>
  </si>
  <si>
    <t>Download Invoice</t>
  </si>
  <si>
    <t>விலைப்பட்டியலைப் பதிவிறக்கவும்</t>
  </si>
  <si>
    <t>download_pdf</t>
  </si>
  <si>
    <t>Download PDF</t>
  </si>
  <si>
    <t>PDF ஐப் பதிவிறக்கவும்</t>
  </si>
  <si>
    <t>driver_access_banner_subtitle</t>
  </si>
  <si>
    <t>Download the VMtracker Driver app to get Namma Ooru Taxi rides and earn money. Complete your registration as a driver and start earning today.</t>
  </si>
  <si>
    <t>VMtracker Driver ஆப்பை பதிவிறக்கம் செய்து Namma Ooru Taxi சவாரிகளைப் பெற்று வருமானம் ஈட்டுங்கள். ஓட்டுநராக பதிவு செய்து இன்று தொடங்குங்கள்.</t>
  </si>
  <si>
    <t>driver_access_banner_title</t>
  </si>
  <si>
    <t>Drive With VMtracker</t>
  </si>
  <si>
    <t>VMtracker உடன் ஓட்டுங்கள்</t>
  </si>
  <si>
    <t>driver_access_download_driver_app</t>
  </si>
  <si>
    <t>Download VMtracker Driver App</t>
  </si>
  <si>
    <t>VMtracker Driver ஆப்பை பதிவிறக்கம் செய்க</t>
  </si>
  <si>
    <t>driver_access_go_to_contact_us</t>
  </si>
  <si>
    <t>Go to Contact Us</t>
  </si>
  <si>
    <t>Contact Us-க்கு செல்லவும்</t>
  </si>
  <si>
    <t>driver_access_help_subtitle</t>
  </si>
  <si>
    <t>We’re here to help. Contact us anytime.</t>
  </si>
  <si>
    <t>நாங்கள் உதவ தயாராக இருக்கிறோம். எங்களை தொடர்பு கொள்ளவும்.</t>
  </si>
  <si>
    <t>driver_access_help_title</t>
  </si>
  <si>
    <t>Any doubts or issues?</t>
  </si>
  <si>
    <t>ஏதேனும் சந்தேகம் அல்லது சிக்கலா?</t>
  </si>
  <si>
    <t>driver_access_how_to_become_driver</t>
  </si>
  <si>
    <t>How To Become A Driver</t>
  </si>
  <si>
    <t>ஓட்டுநராக எப்படி ஆகலாம்</t>
  </si>
  <si>
    <t>driver_access_open_play_store</t>
  </si>
  <si>
    <t>Open in Play Store</t>
  </si>
  <si>
    <t>Play Store-ல் திறக்க</t>
  </si>
  <si>
    <t>driver_access_steps_documents_desc</t>
  </si>
  <si>
    <t>Submit license, vehicle papers, and identity proof.</t>
  </si>
  <si>
    <t>லைசன்ஸ், வாகன ஆவணங்கள் மற்றும் அடையாளத்தை சமர்ப்பிக்கவும்.</t>
  </si>
  <si>
    <t>driver_access_steps_documents_title</t>
  </si>
  <si>
    <t>Upload Documents</t>
  </si>
  <si>
    <t>ஆவணங்களை பதிவேற்றுக</t>
  </si>
  <si>
    <t>driver_access_steps_signup_desc</t>
  </si>
  <si>
    <t>Download VM Tracker App and Create your driver profile with basic information.</t>
  </si>
  <si>
    <t>VM Tracker ஆப்பை பதிவிறக்கம் செய்து அடிப்படை தகவல்களுடன் ஓட்டுநர் சுயவிவரத்தை உருவாக்கவும்.</t>
  </si>
  <si>
    <t>driver_access_steps_signup_title</t>
  </si>
  <si>
    <t>Sign Up</t>
  </si>
  <si>
    <t>பதிவு</t>
  </si>
  <si>
    <t>driver_access_steps_start_earning_desc</t>
  </si>
  <si>
    <t>Go online and accept ride requests to earn.</t>
  </si>
  <si>
    <t>ஆன்லைனில் சென்று சவாரிகளை ஏற்று சம்பாதிக்கத் தொடங்குங்கள்.</t>
  </si>
  <si>
    <t>driver_access_steps_start_earning_title</t>
  </si>
  <si>
    <t>Start Earning</t>
  </si>
  <si>
    <t>வருமானம் தொடங்குக</t>
  </si>
  <si>
    <t>driver_access_steps_verification_desc</t>
  </si>
  <si>
    <t>We review your details and verify your account.</t>
  </si>
  <si>
    <t>உங்கள் விவரங்களை நாங்கள் பரிசீலித்து உங்கள் கணக்கை சரிபார்க்கிறோம்.</t>
  </si>
  <si>
    <t>driver_access_steps_verification_title</t>
  </si>
  <si>
    <t>Get Verified</t>
  </si>
  <si>
    <t>சரிபார்த்தல்</t>
  </si>
  <si>
    <t>driver_access_why_drivers_choose_us</t>
  </si>
  <si>
    <t>Why Drivers Choose Us</t>
  </si>
  <si>
    <t>ஓட்டுநர்கள் எங்களை ஏன் தேர்வுசெய்கிறார்கள்</t>
  </si>
  <si>
    <t>driver_account_number_not_found</t>
  </si>
  <si>
    <t>Driver account number not found</t>
  </si>
  <si>
    <t>ஓட்டுநர் கணக்கு எண் கிடைக்கவில்லை</t>
  </si>
  <si>
    <t>driver_arrival</t>
  </si>
  <si>
    <t>Driver Arrival</t>
  </si>
  <si>
    <t>டிரைவர் வருகை</t>
  </si>
  <si>
    <t>driver_arriving</t>
  </si>
  <si>
    <t>Driver Arriving</t>
  </si>
  <si>
    <t>டிரைவர் வருகிறார்</t>
  </si>
  <si>
    <t>driver_asked_to_cancel</t>
  </si>
  <si>
    <t>Driver asked to cancel</t>
  </si>
  <si>
    <t>ஓட்டுனர் ரத்து செய்யச் சொன்னார்</t>
  </si>
  <si>
    <t>driver_assigned</t>
  </si>
  <si>
    <t>Driver Assigned</t>
  </si>
  <si>
    <t>டிரைவர் நியமிக்கப்பட்டார்</t>
  </si>
  <si>
    <t>driver_info</t>
  </si>
  <si>
    <t>Driver Info</t>
  </si>
  <si>
    <t>டிரைவர் தகவல்</t>
  </si>
  <si>
    <t>driver_is_rude_or_unprofessional</t>
  </si>
  <si>
    <t>Driver is rude or unprofessional</t>
  </si>
  <si>
    <t>ஓட்டுநர் மரியாதையற்றவர் அல்லது தொழில்முறை அல்ல</t>
  </si>
  <si>
    <t>driver_is_taking_too_long</t>
  </si>
  <si>
    <t>Driver is taking too long</t>
  </si>
  <si>
    <t>டிரைவர் அதிக நேரம் எடுத்துக் கொள்கிறார்</t>
  </si>
  <si>
    <t>driver_not_found</t>
  </si>
  <si>
    <t>Driver Not Found</t>
  </si>
  <si>
    <t>டிரைவர் கிடைக்கவில்லை</t>
  </si>
  <si>
    <t>driver_not_responding</t>
  </si>
  <si>
    <t>Driver not responding</t>
  </si>
  <si>
    <t>டிரைவர் பதிலளிக்கவில்லை</t>
  </si>
  <si>
    <t>driver_wait_time</t>
  </si>
  <si>
    <t>Driver Wait Time</t>
  </si>
  <si>
    <t>ஓட்டுநர் காத்திருப்பு நேரம்</t>
  </si>
  <si>
    <t>drop</t>
  </si>
  <si>
    <t>Drop</t>
  </si>
  <si>
    <t>சேரும் இடம்</t>
  </si>
  <si>
    <t>drop_point</t>
  </si>
  <si>
    <t>Drop Point</t>
  </si>
  <si>
    <t>டிராப் பாயிண்ட்</t>
  </si>
  <si>
    <t>dropoff_location</t>
  </si>
  <si>
    <t>Dropoff Location</t>
  </si>
  <si>
    <t>டிராபோஃப் இடம்</t>
  </si>
  <si>
    <t>duration</t>
  </si>
  <si>
    <t>Duration</t>
  </si>
  <si>
    <t>கால அளவு</t>
  </si>
  <si>
    <t>edit</t>
  </si>
  <si>
    <t>Edit</t>
  </si>
  <si>
    <t>திருத்து</t>
  </si>
  <si>
    <t>edit_pickup_location</t>
  </si>
  <si>
    <t>Edit Pickup Location</t>
  </si>
  <si>
    <t>பிக்கப் இடத்தைத் திருத்து</t>
  </si>
  <si>
    <t>edit_place</t>
  </si>
  <si>
    <t>Edit Place</t>
  </si>
  <si>
    <t>இடத்தைத் திருத்து</t>
  </si>
  <si>
    <t>edit_places_button</t>
  </si>
  <si>
    <t>Edit Places</t>
  </si>
  <si>
    <t>வேறு  இடங்களைத் தேட</t>
  </si>
  <si>
    <t>edited_route_exceeds_max_distance</t>
  </si>
  <si>
    <t>The edited route exceeds the maximum allowed distance of {maxDistance} km. Please adjust your stops.</t>
  </si>
  <si>
    <t>திருத்தப்பட்ட வழி அனுமதிக்கப்பட்ட அதிகபட்ச தூரமான {maxDistance} கி.மீ-ஐ மீறுகிறது. தயவுசெய்து உங்கள் நிறுத்தங்களைச் சரிசெய்க.</t>
  </si>
  <si>
    <t>email_address</t>
  </si>
  <si>
    <t>Email Address</t>
  </si>
  <si>
    <t>மின்னஞ்சல் முகவரி</t>
  </si>
  <si>
    <t>email_invoice</t>
  </si>
  <si>
    <t>Email Invoice</t>
  </si>
  <si>
    <t>விலைப்பட்டியலை மின்னஞ்சல் செய்யவும்</t>
  </si>
  <si>
    <t>email_receipt</t>
  </si>
  <si>
    <t>Email Receipt</t>
  </si>
  <si>
    <t>ரசீதைக் மின்னஞ்சல் செய்யவும்</t>
  </si>
  <si>
    <t>emergency_add_contact</t>
  </si>
  <si>
    <t>Add Emergency Contact</t>
  </si>
  <si>
    <t>அவசர தொடர்பைச் சேர்க்கவும்</t>
  </si>
  <si>
    <t>emergency_add_contacts_cta</t>
  </si>
  <si>
    <t>அவசர தொடர்புகளைச் சேர்க்கவும்</t>
  </si>
  <si>
    <t>emergency_add_emergency_contact_title</t>
  </si>
  <si>
    <t>ADD EMERGENCY CONTACT</t>
  </si>
  <si>
    <t>emergency_benefit_1</t>
  </si>
  <si>
    <t>Stay safer with a trusted contact on file</t>
  </si>
  <si>
    <t>நம்பகமான தொடர்பைச் சேமிப்பதன் மூலம் பாதுகாப்பாக இருங்கள்</t>
  </si>
  <si>
    <t>emergency_benefit_2</t>
  </si>
  <si>
    <t>Quick help in emergencies</t>
  </si>
  <si>
    <t>அவசர காலங்களில் விரைவான உதவி</t>
  </si>
  <si>
    <t>emergency_benefit_3</t>
  </si>
  <si>
    <t>You can manage contacts anytime from Menu  Emergency Contact</t>
  </si>
  <si>
    <t>பட்டி → அவசர தொடர்பு என்பதிலிருந்து நீங்கள் எப்போது வேண்டுமானாலும் தொடர்புகளை நிர்வகிக்கலாம்</t>
  </si>
  <si>
    <t>emergency_cancel</t>
  </si>
  <si>
    <t>ரத்து செய்யவும்</t>
  </si>
  <si>
    <t>emergency_contact_title</t>
  </si>
  <si>
    <t>Add an emergency contact</t>
  </si>
  <si>
    <t>emergency_contacts_title</t>
  </si>
  <si>
    <t>Emergency Contacts</t>
  </si>
  <si>
    <t>அவசர தொடர்புகள்</t>
  </si>
  <si>
    <t>emergency_delete</t>
  </si>
  <si>
    <t>அழிக்கவும்</t>
  </si>
  <si>
    <t>emergency_description</t>
  </si>
  <si>
    <t>Add a trusted contact who can be notified in case of emergency. This helps us keep you safer during rides.</t>
  </si>
  <si>
    <t>அவசரநிலை ஏற்பட்டால் அறிவிக்க நம்பகமான ஒருவரைச் சேர்க்கவும். இது சவாரிகளின் போது உங்களைப் பாதுகாப்பாக வைத்திருக்க உதவுகிறது.</t>
  </si>
  <si>
    <t>emergency_edit_contacts</t>
  </si>
  <si>
    <t>Edit Contacts</t>
  </si>
  <si>
    <t>தொடர்புகளைத் திருத்து</t>
  </si>
  <si>
    <t>emergency_emergency_contact</t>
  </si>
  <si>
    <t>Emergency Contact</t>
  </si>
  <si>
    <t>அவசர தொடர்பு</t>
  </si>
  <si>
    <t>emergency_empty_subtitle</t>
  </si>
  <si>
    <t>Add a trusted contact who can be notified in case of emergency.</t>
  </si>
  <si>
    <t>அவசரநிலை ஏற்பட்டால் அறிவிக்க நம்பகமான ஒருவரைச் சேர்க்கவும்.</t>
  </si>
  <si>
    <t>emergency_empty_title</t>
  </si>
  <si>
    <t>No Emergency Contact</t>
  </si>
  <si>
    <t>அவசர தொடர்புகள் இல்லை</t>
  </si>
  <si>
    <t>emergency_limit_reached</t>
  </si>
  <si>
    <t>Maximum of {count} contacts reached</t>
  </si>
  <si>
    <t>அதிகபட்சம் {count} தொடர்புகள் சேர்க்கப்பட்டுள்ளது</t>
  </si>
  <si>
    <t>emergency_maximum_selected</t>
  </si>
  <si>
    <t>Maximum of {count} selected</t>
  </si>
  <si>
    <t>அதிகபட்சம் {count} தேர்வு செய்யப்பட்டது</t>
  </si>
  <si>
    <t>emergency_remove_contact</t>
  </si>
  <si>
    <t>Remove Contact</t>
  </si>
  <si>
    <t>தொடர்பை அழிக்கவும்</t>
  </si>
  <si>
    <t>emergency_remove_contact_message</t>
  </si>
  <si>
    <t>Are you sure you want to remove this contact</t>
  </si>
  <si>
    <t>இந்த தொடர்பை நீங்கள் நிராகரிக்க விரும்புகிறீர்களா?</t>
  </si>
  <si>
    <t>emergency_search_placeholder</t>
  </si>
  <si>
    <t>Search by name or number</t>
  </si>
  <si>
    <t>பெயர் அல்லது எண்ணால் தேடவும்</t>
  </si>
  <si>
    <t>emergency_select_contacts_title</t>
  </si>
  <si>
    <t>Select Contacts</t>
  </si>
  <si>
    <t>தொடர்புகளைத் தேர்வு செய்யவும்</t>
  </si>
  <si>
    <t>emergency_select_up_to_contacts</t>
  </si>
  <si>
    <t>Select up to {count} contacts</t>
  </si>
  <si>
    <t>அதிகபட்சம் {count} தொடர்புகளைத் தேர்வு செய்யவும்</t>
  </si>
  <si>
    <t>emergency_selected_count</t>
  </si>
  <si>
    <t>{count} selected</t>
  </si>
  <si>
    <t>{count} தேர்வு செய்யப்பட்டது</t>
  </si>
  <si>
    <t>enable_location</t>
  </si>
  <si>
    <t>Enable Location permission</t>
  </si>
  <si>
    <t>இருப்பிட அனுமதியை இயக்கவும்</t>
  </si>
  <si>
    <t>enable_location_steps</t>
  </si>
  <si>
    <t>How to enable location</t>
  </si>
  <si>
    <t>இருப்பிடத்தை எவ்வாறு இயக்குவது</t>
  </si>
  <si>
    <t>enable_location_to_continue</t>
  </si>
  <si>
    <t>Please enable location permission to continue.</t>
  </si>
  <si>
    <t>தொடர இருப்பிட அனுமதியை இயக்கவும்.</t>
  </si>
  <si>
    <t>enable_permission</t>
  </si>
  <si>
    <t>Enable permission</t>
  </si>
  <si>
    <t>அனுமதியை இயக்கவும்</t>
  </si>
  <si>
    <t>enable_system_location_to_continue</t>
  </si>
  <si>
    <t>Please enable Location services on your device to continue.</t>
  </si>
  <si>
    <t>தொடர உங்கள் சாதனத்தில் இருப்பிட சேவைகளை இயக்கவும்.</t>
  </si>
  <si>
    <t>end_location_required</t>
  </si>
  <si>
    <t>End location is required</t>
  </si>
  <si>
    <t>முடிவு இடம் தேவை</t>
  </si>
  <si>
    <t>enter_mobile_number</t>
  </si>
  <si>
    <t>Enter mobile number</t>
  </si>
  <si>
    <t>மொபைல் எண்ணை உள்ளிடவும்</t>
  </si>
  <si>
    <t>enter_name</t>
  </si>
  <si>
    <t>Enter name</t>
  </si>
  <si>
    <t>பெயரை உள்ளிடவும்</t>
  </si>
  <si>
    <t>enter_nickname_placeholder</t>
  </si>
  <si>
    <t>Enter nickname for this place</t>
  </si>
  <si>
    <t>இந்த இடத்திற்கான புனைப்பெயரை உள்ளிடவும்</t>
  </si>
  <si>
    <t>enter_your_reason</t>
  </si>
  <si>
    <t>Enter your reason</t>
  </si>
  <si>
    <t>உங்கள் காரணத்தை உள்ளிடவும்</t>
  </si>
  <si>
    <t>error</t>
  </si>
  <si>
    <t>Error</t>
  </si>
  <si>
    <t>பிழை</t>
  </si>
  <si>
    <t>error_in_making_call_to_driver</t>
  </si>
  <si>
    <t>Error in making call to driver</t>
  </si>
  <si>
    <t>error_occurred</t>
  </si>
  <si>
    <t>est_price</t>
  </si>
  <si>
    <t>Est. Price</t>
  </si>
  <si>
    <t>Est. விலை</t>
  </si>
  <si>
    <t>estimated_amount_to_be_paid</t>
  </si>
  <si>
    <t>Estimated Amount to be Paid</t>
  </si>
  <si>
    <t>செலுத்த வேண்டிய மதிப்பிடப்பட்ட தொகை</t>
  </si>
  <si>
    <t>estimated_distance</t>
  </si>
  <si>
    <t>Estimated Distance</t>
  </si>
  <si>
    <t>மதிப்பிடப்பட்ட தூரம்</t>
  </si>
  <si>
    <t>estimated_duration</t>
  </si>
  <si>
    <t>Estimated Duration</t>
  </si>
  <si>
    <t>மதிப்பிடப்பட்ட காலம்</t>
  </si>
  <si>
    <t>estimated_fare</t>
  </si>
  <si>
    <t>Estimated Fare</t>
  </si>
  <si>
    <t>மதிப்பிடப்பட்ட கட்டணம்</t>
  </si>
  <si>
    <t>expiring_on</t>
  </si>
  <si>
    <t>Expiring on</t>
  </si>
  <si>
    <t>காலாவதியாகிறது</t>
  </si>
  <si>
    <t>express_ride</t>
  </si>
  <si>
    <t>Express Ride</t>
  </si>
  <si>
    <t>எக்ஸ்பிரஸ் சவாரி</t>
  </si>
  <si>
    <t>failed</t>
  </si>
  <si>
    <t>Failed</t>
  </si>
  <si>
    <t>தோல்வியுற்றது</t>
  </si>
  <si>
    <t>failed_to_book_ride</t>
  </si>
  <si>
    <t>Failed to book ride</t>
  </si>
  <si>
    <t>பயணத்தை முன்பதிவு செய்ய முடியவில்லை</t>
  </si>
  <si>
    <t>failed_to_create_ticket</t>
  </si>
  <si>
    <t>Failed to create ticket. Please try again.</t>
  </si>
  <si>
    <t>டிக்கெட்டை உருவாக்க முடியவில்லை. மீண்டும் முயற்சிக்கவும்.</t>
  </si>
  <si>
    <t>failed_to_delete_place</t>
  </si>
  <si>
    <t>Failed to delete place</t>
  </si>
  <si>
    <t>இடத்தை நீக்க முடியவில்லை</t>
  </si>
  <si>
    <t>failed_to_delete_place_try_again</t>
  </si>
  <si>
    <t>Failed to delete place. Please try again.</t>
  </si>
  <si>
    <t>இடத்தை நீக்க முடியவில்லை. மீண்டும் முயற்சிக்கவும்.</t>
  </si>
  <si>
    <t>failed_to_get_fare_estimation</t>
  </si>
  <si>
    <t>Failed to get fare estimation</t>
  </si>
  <si>
    <t>failed_to_get_rides</t>
  </si>
  <si>
    <t>Failed to get rides</t>
  </si>
  <si>
    <t>சவாரிகளைப் பெற முடியவில்லை</t>
  </si>
  <si>
    <t>failed_to_load_tickets</t>
  </si>
  <si>
    <t>Failed to load tickets</t>
  </si>
  <si>
    <t>டிக்கெட்டுகளை ஏற்ற முடியவில்லை</t>
  </si>
  <si>
    <t>failed_to_load_trips</t>
  </si>
  <si>
    <t>Failed to load trips</t>
  </si>
  <si>
    <t>பயணங்களை ஏற்ற முடியவில்லை</t>
  </si>
  <si>
    <t>failed_to_refresh_tickets</t>
  </si>
  <si>
    <t>Failed to refresh tickets</t>
  </si>
  <si>
    <t>டிக்கெட்டுகளைப் புதுப்பிக்க முடியவில்லை</t>
  </si>
  <si>
    <t>failed_to_resend_otp</t>
  </si>
  <si>
    <t>Failed to Resend OTP</t>
  </si>
  <si>
    <t>OTP ஐ மீண்டும் அனுப்பத் தவறிவிட்டது</t>
  </si>
  <si>
    <t>failed_to_save_place</t>
  </si>
  <si>
    <t>Failed to save place</t>
  </si>
  <si>
    <t>இடத்தை சேமிக்க முடியவில்லை</t>
  </si>
  <si>
    <t>failed_to_send_message</t>
  </si>
  <si>
    <t>Failed to send message. Please try again.</t>
  </si>
  <si>
    <t>செய்தியை அனுப்ப முடியவில்லை. மீண்டும் முயற்சிக்கவும்.</t>
  </si>
  <si>
    <t>failed_to_update_place</t>
  </si>
  <si>
    <t>Failed to update place</t>
  </si>
  <si>
    <t>இடத்தைப் புதுப்பிக்க முடியவில்லை</t>
  </si>
  <si>
    <t>failed_to_update_place_try_again</t>
  </si>
  <si>
    <t>Failed to update place. Please try again.</t>
  </si>
  <si>
    <t>இடத்தைப் புதுப்பிக்க முடியவில்லை. மீண்டும் முயற்சிக்கவும்.</t>
  </si>
  <si>
    <t>fare_details</t>
  </si>
  <si>
    <t>Fare Details</t>
  </si>
  <si>
    <t>கட்டண விவரங்கள்</t>
  </si>
  <si>
    <t>fare_disclaimer</t>
  </si>
  <si>
    <t>Final fare may change based on actual pickup time, route taken, and actual waiting time during the trip.</t>
  </si>
  <si>
    <t>உண்மையான பிக்-அப் நேரம், சென்ற வழி மற்றும் பயணத்தின் போது உண்மையான காத்திருப்பு நேரம் ஆகியவற்றின் அடிப்படையில் இறுதிக் கட்டணம் மாறலாம்.</t>
  </si>
  <si>
    <t>fare_estimate</t>
  </si>
  <si>
    <t>Fare Estimate</t>
  </si>
  <si>
    <t>கட்டண மதிப்பீடு</t>
  </si>
  <si>
    <t>fare_is_too_high_surge</t>
  </si>
  <si>
    <t>Fare is too high (surge)</t>
  </si>
  <si>
    <t>கட்டணம் மிக அதிகம் (உயர்வு)</t>
  </si>
  <si>
    <t>fare_may_vary</t>
  </si>
  <si>
    <t>Fare may vary</t>
  </si>
  <si>
    <t>கட்டணம் மாறுபடலாம்</t>
  </si>
  <si>
    <t>favorite_places</t>
  </si>
  <si>
    <t>Favorite Places</t>
  </si>
  <si>
    <t>விருப்பமான இடங்கள்</t>
  </si>
  <si>
    <t>feedback_bad_things_label</t>
  </si>
  <si>
    <t>What didn't you like?</t>
  </si>
  <si>
    <t>எது பிடிக்கவில்லை?</t>
  </si>
  <si>
    <t>feedback_bad_things_placeholder</t>
  </si>
  <si>
    <t>Tell us what's not working for you</t>
  </si>
  <si>
    <t>சரியாக வேலை செய்யாததை எங்களுக்கு சொல்லுங்கள்</t>
  </si>
  <si>
    <t>feedback_bad_things_title</t>
  </si>
  <si>
    <t>Bad things</t>
  </si>
  <si>
    <t>நல்லதல்லாதவை</t>
  </si>
  <si>
    <t>feedback_consent_text</t>
  </si>
  <si>
    <t>I consent to be contacted at this email (communication purpose only)</t>
  </si>
  <si>
    <t>இந்த மின்னஞ்சலில் (தொடர்பு நோக்கத்திற்காக மட்டுமே) தொடர்பு கொள்ள என் சம்மதம்</t>
  </si>
  <si>
    <t>feedback_contact_email_label</t>
  </si>
  <si>
    <t>Contact email</t>
  </si>
  <si>
    <t>தொடர்பு மின்னஞ்சல்</t>
  </si>
  <si>
    <t>feedback_distance_label</t>
  </si>
  <si>
    <t>feedback_drop_label</t>
  </si>
  <si>
    <t>ட்ராப்</t>
  </si>
  <si>
    <t>feedback_email_hint</t>
  </si>
  <si>
    <t>We use your email only to follow up on this feedback.</t>
  </si>
  <si>
    <t>இந்த கருத்துக்கான தொடர்ச்சியான தொடர்புக்காக மட்டுமே உங்கள் மின்னஞ்சலைப் பயன்படுத்துகிறோம்.</t>
  </si>
  <si>
    <t>feedback_email_placeholder</t>
  </si>
  <si>
    <t>Your Email Address</t>
  </si>
  <si>
    <t>உங்கள் மின்னஞ்சல் முகவரி</t>
  </si>
  <si>
    <t>feedback_email_title</t>
  </si>
  <si>
    <t>Email (Optional)</t>
  </si>
  <si>
    <t>மின்னஞ்சல் (விருப்பமானது)</t>
  </si>
  <si>
    <t>feedback_estimated_fare_label</t>
  </si>
  <si>
    <t>Estimated fare</t>
  </si>
  <si>
    <t>feedback_good_things_label</t>
  </si>
  <si>
    <t>What did you like?</t>
  </si>
  <si>
    <t>உங்களுக்கு என்ன பிடித்தது?</t>
  </si>
  <si>
    <t>feedback_good_things_placeholder</t>
  </si>
  <si>
    <t>Share the good things about the app</t>
  </si>
  <si>
    <t>செயலியின் நல்ல அம்சங்களைப் பகிரவும்</t>
  </si>
  <si>
    <t>feedback_good_things_title</t>
  </si>
  <si>
    <t>Good things</t>
  </si>
  <si>
    <t>நல்லவை</t>
  </si>
  <si>
    <t>feedback_improvements_label</t>
  </si>
  <si>
    <t>Improvements</t>
  </si>
  <si>
    <t>மேம்பாடுகள்</t>
  </si>
  <si>
    <t>feedback_improvements_placeholder</t>
  </si>
  <si>
    <t>Suggestions to make it better</t>
  </si>
  <si>
    <t>மேம்படுத்தும் பரிந்துரைகள்</t>
  </si>
  <si>
    <t>feedback_improvements_title</t>
  </si>
  <si>
    <t>feedback_issue_label</t>
  </si>
  <si>
    <t>Issue details</t>
  </si>
  <si>
    <t>சிக்கல் விவரம்</t>
  </si>
  <si>
    <t>feedback_issue_placeholder</t>
  </si>
  <si>
    <t>Describe the issue you faced</t>
  </si>
  <si>
    <t>உங்களுக்கு ஏற்பட்ட சிக்கலை விவரிக்கவும்</t>
  </si>
  <si>
    <t>feedback_issue_title</t>
  </si>
  <si>
    <t>Issue</t>
  </si>
  <si>
    <t>சிக்கல்</t>
  </si>
  <si>
    <t>feedback_menu</t>
  </si>
  <si>
    <t>Feedback</t>
  </si>
  <si>
    <t>கருத்து</t>
  </si>
  <si>
    <t>feedback_pick_location_issue_label</t>
  </si>
  <si>
    <t>What went wrong while picking a location?</t>
  </si>
  <si>
    <t>இருப்பிடம் தேர்வில் என்ன சிக்கல் ஏற்பட்டது?</t>
  </si>
  <si>
    <t>feedback_pick_location_issue_placeholder</t>
  </si>
  <si>
    <t>Describe the issue with selecting a location</t>
  </si>
  <si>
    <t>இருப்பிடம் தேர்வு தொடர்பான சிக்கலை விவரிக்கவும்</t>
  </si>
  <si>
    <t>feedback_pick_location_issue_title</t>
  </si>
  <si>
    <t>Pick location issue</t>
  </si>
  <si>
    <t>இருப்பிடம் தேர்வு சிக்கல்</t>
  </si>
  <si>
    <t>feedback_pickup_label</t>
  </si>
  <si>
    <t>Pickup</t>
  </si>
  <si>
    <t>பிக்கப்</t>
  </si>
  <si>
    <t>feedback_search_issue_label</t>
  </si>
  <si>
    <t>What place wasn’t found or what went wrong?</t>
  </si>
  <si>
    <t>எந்த இடம் கிடைக்கவில்லை அல்லது என்ன சிக்கல்?</t>
  </si>
  <si>
    <t>feedback_search_issue_placeholder</t>
  </si>
  <si>
    <t>Tell us the place/search query that had an issue</t>
  </si>
  <si>
    <t>சிக்கல் ஏற்பட்ட இடம்/தேடலை கூறவும்</t>
  </si>
  <si>
    <t>feedback_search_issue_title</t>
  </si>
  <si>
    <t>Search issue</t>
  </si>
  <si>
    <t>தேடல் சிக்கல்</t>
  </si>
  <si>
    <t>feedback_search_query_label</t>
  </si>
  <si>
    <t>Search term: {query}</t>
  </si>
  <si>
    <t>தேடல் சொல்: {query}</t>
  </si>
  <si>
    <t>feedback_selected_coords</t>
  </si>
  <si>
    <t>Selected coords</t>
  </si>
  <si>
    <t>தேர்ந்தெடுத்த கோ-ஆர்டினேட்ஸ்</t>
  </si>
  <si>
    <t>feedback_submitted_successfully</t>
  </si>
  <si>
    <t>Feedback submitted successfully</t>
  </si>
  <si>
    <t>கருத்து வெற்றிகரமாக சமர்ப்பிக்கப்பட்டது</t>
  </si>
  <si>
    <t>feedback_subtitle</t>
  </si>
  <si>
    <t>Help us enhance your riding experience.</t>
  </si>
  <si>
    <t>உங்கள் பயண அனுபவத்தை மேம்படுத்த எங்களுக்கு உதவுங்கள்.</t>
  </si>
  <si>
    <t>feedback_title</t>
  </si>
  <si>
    <t>Your Feedback Matters</t>
  </si>
  <si>
    <t>உங்கள் கருத்து முக்கியமானது</t>
  </si>
  <si>
    <t>feedback_trip_issue_label</t>
  </si>
  <si>
    <t>What went wrong with this trip?</t>
  </si>
  <si>
    <t>இந்த பயணத்தில் என்ன சிக்கல் ஏற்பட்டது?</t>
  </si>
  <si>
    <t>feedback_trip_issue_placeholder</t>
  </si>
  <si>
    <t>Describe the issue with start/end or route</t>
  </si>
  <si>
    <t>தொடக்கம்/இறுதி அல்லது வழித்தட சிக்கலை கூறவும்</t>
  </si>
  <si>
    <t>feedback_trip_issue_title</t>
  </si>
  <si>
    <t>Trip issue</t>
  </si>
  <si>
    <t>பயண சிக்கல்</t>
  </si>
  <si>
    <t>feedback_validation_any_message</t>
  </si>
  <si>
    <t>Please add at least one message (good, bad, improvement or issue).</t>
  </si>
  <si>
    <t>குறைந்தபட்சம் ஒரு செய்தியை (நல்லது/கெட்டது/மேம்பாடு/சிக்கல்) சேர்க்கவும்.</t>
  </si>
  <si>
    <t>feedback_validation_email</t>
  </si>
  <si>
    <t>Please provide a valid contact email or turn off the consent.</t>
  </si>
  <si>
    <t>செல்லுபடியாகும் மின்னஞ்சலை வழங்கவும் அல்லது சம்மதத்தை அணைக்கவும்.</t>
  </si>
  <si>
    <t>feedback_validation_email_consent</t>
  </si>
  <si>
    <t>Please enable the consent checkbox to allow us to contact you by email.</t>
  </si>
  <si>
    <t>மின்னஞ்சல் மூலம் தொடர்பு கொள்ள ஒப்புதல் செக்‌பாக்ஸை செயல்படுத்தவும்.</t>
  </si>
  <si>
    <t>feedback_validation_required</t>
  </si>
  <si>
    <t>is required.</t>
  </si>
  <si>
    <t>தேவை.</t>
  </si>
  <si>
    <t>female</t>
  </si>
  <si>
    <t>Female</t>
  </si>
  <si>
    <t>பெண்</t>
  </si>
  <si>
    <t>female_driver</t>
  </si>
  <si>
    <t>Female Driver</t>
  </si>
  <si>
    <t>பெண் டிரைவர்</t>
  </si>
  <si>
    <t>female_driver_comfort</t>
  </si>
  <si>
    <t>Get verified female drivers for your comfort and peace of mind</t>
  </si>
  <si>
    <t>உங்கள் வசதிக்காகவும் மன அமைதிக்காகவும் சரிபார்க்கப்பட்ட பெண் ஓட்டுனர்களைப் பெறுங்கள்</t>
  </si>
  <si>
    <t>female_driver_preference</t>
  </si>
  <si>
    <t>Female Driver Preference</t>
  </si>
  <si>
    <t>பெண் ஓட்டுனர் விருப்பம்</t>
  </si>
  <si>
    <t>female_drivers_only</t>
  </si>
  <si>
    <t>Female Drivers Only</t>
  </si>
  <si>
    <t>பெண் ஓட்டுனர்கள் மட்டும்</t>
  </si>
  <si>
    <t>fetching_your_trips</t>
  </si>
  <si>
    <t>Fetching your trips...</t>
  </si>
  <si>
    <t>உங்கள் பயணங்களை ஏற்றுகிறது...</t>
  </si>
  <si>
    <t>fill_all_required_fields</t>
  </si>
  <si>
    <t>Please fill all required fields</t>
  </si>
  <si>
    <t>அனைத்து தேவையான புலங்களையும் நிரப்பவும்</t>
  </si>
  <si>
    <t>finding_driver</t>
  </si>
  <si>
    <t>Finding Driver</t>
  </si>
  <si>
    <t>டிரைவரைக் கண்டறிதல்</t>
  </si>
  <si>
    <t>gender</t>
  </si>
  <si>
    <t>Gender</t>
  </si>
  <si>
    <t>பாலினம்</t>
  </si>
  <si>
    <t>get_help_from_support</t>
  </si>
  <si>
    <t>Get Help from Support</t>
  </si>
  <si>
    <t>ஆதரவிலிருந்து உதவி பெறவும்</t>
  </si>
  <si>
    <t>get_started</t>
  </si>
  <si>
    <t>Get Started</t>
  </si>
  <si>
    <t>தொடங்குங்கள்</t>
  </si>
  <si>
    <t>give_feedback</t>
  </si>
  <si>
    <t>Give Feedback</t>
  </si>
  <si>
    <t>go_back</t>
  </si>
  <si>
    <t>Go Back</t>
  </si>
  <si>
    <t>திரும்பி செல்</t>
  </si>
  <si>
    <t>go_to_app_settings</t>
  </si>
  <si>
    <t>Go to App Settings</t>
  </si>
  <si>
    <t>பயன்பாட்டு அமைப்புகளுக்குச் செல்லவும் (Go to App Settings)</t>
  </si>
  <si>
    <t>go_to_settings</t>
  </si>
  <si>
    <t>Go to Settings</t>
  </si>
  <si>
    <t>அமைப்புகளுக்குச் செல்லவும் (Go to Settings)</t>
  </si>
  <si>
    <t>gst</t>
  </si>
  <si>
    <t>GST</t>
  </si>
  <si>
    <t>ஜிஎஸ்டி</t>
  </si>
  <si>
    <t>gstin</t>
  </si>
  <si>
    <t>GSTIN</t>
  </si>
  <si>
    <t>how_do_we_call_you</t>
  </si>
  <si>
    <t>How do we call you?</t>
  </si>
  <si>
    <t>நாங்கள் உங்களை எப்படி அழைக்க வேண்டும்?</t>
  </si>
  <si>
    <t>how_is_your_trips</t>
  </si>
  <si>
    <t>How is your Trips?</t>
  </si>
  <si>
    <t>உங்கள் பயணங்கள் எப்படி இருக்கின்றன?</t>
  </si>
  <si>
    <t>if_you_cannot_find_place_through_search_choose_place_by_mark_on_the_map</t>
  </si>
  <si>
    <t>If you cannot find a place through search, choose a place by marking it on the map.</t>
  </si>
  <si>
    <t>தேடலின் மூலம் இடத்தைக் கண்டுபிடிக்க முடியவில்லை என்றால், வரைபடத்தில் குறியிட்டு இடத்தைத் தேர்ந்தெடுக்கவும்.</t>
  </si>
  <si>
    <t>import_contact</t>
  </si>
  <si>
    <t>Import contact</t>
  </si>
  <si>
    <t>தொடர்பை இறக்குமதி செய்யவும்</t>
  </si>
  <si>
    <t>import_from_contacts</t>
  </si>
  <si>
    <t>Import from contacts</t>
  </si>
  <si>
    <t>in</t>
  </si>
  <si>
    <t>இல்</t>
  </si>
  <si>
    <t>invalid_credentials</t>
  </si>
  <si>
    <t>Invalid credentials</t>
  </si>
  <si>
    <t>தவறான சான்றுகள்</t>
  </si>
  <si>
    <t>invalid_date_time</t>
  </si>
  <si>
    <t>Invalid Date Time</t>
  </si>
  <si>
    <t>தவறான தேதி நேரம்</t>
  </si>
  <si>
    <t>invalid_input</t>
  </si>
  <si>
    <t>Invalid Input</t>
  </si>
  <si>
    <t>தவறான உள்ளீடு</t>
  </si>
  <si>
    <t>invalid_mobile_number</t>
  </si>
  <si>
    <t>Please enter a valid Indian mobile number (10 digits starting with 6-9)</t>
  </si>
  <si>
    <t>சரியான இந்திய மொபைல் எண்ணை உள்ளிடவும் (6-9 இல் தொடங்கும் 10 இலக்கங்கள்)</t>
  </si>
  <si>
    <t>invalid_otp</t>
  </si>
  <si>
    <t>Invalid OTP</t>
  </si>
  <si>
    <t>தவறான OTP</t>
  </si>
  <si>
    <t>invalid_stops</t>
  </si>
  <si>
    <t>Invalid stops</t>
  </si>
  <si>
    <t>தவறான நிறுத்தங்கள்</t>
  </si>
  <si>
    <t>invoice_detail</t>
  </si>
  <si>
    <t>Invoice Detail</t>
  </si>
  <si>
    <t>விலைப்பட்டியல் விவரம்</t>
  </si>
  <si>
    <t>kindly_pay_the_fare_for_the_distance_travelled</t>
  </si>
  <si>
    <t>Kindly pay the fare for the distance travelled</t>
  </si>
  <si>
    <t>பயணித்த தூரத்திற்கான கட்டணத்தை தயவுசெய்து செலுத்தவும்</t>
  </si>
  <si>
    <t>km</t>
  </si>
  <si>
    <t>Km</t>
  </si>
  <si>
    <t>கி.மீ</t>
  </si>
  <si>
    <t>language</t>
  </si>
  <si>
    <t>Language</t>
  </si>
  <si>
    <t>மொழி</t>
  </si>
  <si>
    <t>later</t>
  </si>
  <si>
    <t>LATER</t>
  </si>
  <si>
    <t>பின்னர்</t>
  </si>
  <si>
    <t>legal</t>
  </si>
  <si>
    <t>Legal</t>
  </si>
  <si>
    <t>சட்ட விதிமுறைகள்</t>
  </si>
  <si>
    <t>loading</t>
  </si>
  <si>
    <t>Loading...</t>
  </si>
  <si>
    <t>ஏற்றுகிறது...</t>
  </si>
  <si>
    <t>locate_drop_location</t>
  </si>
  <si>
    <t>Mark Drop Location</t>
  </si>
  <si>
    <t>பயணிக்கும் இடத்தைத் தேடுங்கள்</t>
  </si>
  <si>
    <t>locate_on_map</t>
  </si>
  <si>
    <t>Locate on Map</t>
  </si>
  <si>
    <t>வரைபடத்தில் கண்டறிக</t>
  </si>
  <si>
    <t>locate_pickup_location</t>
  </si>
  <si>
    <t>Mark Pickup Location</t>
  </si>
  <si>
    <t>பிக்கப் இடத்தைத் தேடுங்கள்</t>
  </si>
  <si>
    <t>locate_places_to_save</t>
  </si>
  <si>
    <t>Mark Place to save</t>
  </si>
  <si>
    <t>சேமிக்க இடத்தை குறியிடுங்கள்</t>
  </si>
  <si>
    <t>locate_stop</t>
  </si>
  <si>
    <t>Mark Stop {stop}</t>
  </si>
  <si>
    <t>நிறுத்தம் {stop} தேடுங்கள்</t>
  </si>
  <si>
    <t>location_outside_radius_message</t>
  </si>
  <si>
    <t>The selected location is outside pickup area. Please choose within the allowed radius.</t>
  </si>
  <si>
    <t>தேர்ந்தெடுக்கப்பட்ட இடம் பிக்கப் பரப்பளவுக்கு வெளியே உள்ளது. தயவுசெய்து அனுமதிக்கப்பட்ட சுற்றளவுக்குள் தேர்ந்தெடுக்கவும்.</t>
  </si>
  <si>
    <t>location_outside_radius_title</t>
  </si>
  <si>
    <t>Location outside allowed radius</t>
  </si>
  <si>
    <t>இடம் பிக்கப் பரப்பளவுக்கு வெளியே உள்ளது</t>
  </si>
  <si>
    <t>location_permission_required</t>
  </si>
  <si>
    <t>Location permission required</t>
  </si>
  <si>
    <t>இருப்பிட அனுமதி தேவை</t>
  </si>
  <si>
    <t>location_services_disabled</t>
  </si>
  <si>
    <t>Location services disabled</t>
  </si>
  <si>
    <t>இருப்பிட சேவைகள் முடக்கப்பட்டுள்ளது</t>
  </si>
  <si>
    <t>location_within_radius</t>
  </si>
  <si>
    <t>You must select a location within a {radius} km radius.</t>
  </si>
  <si>
    <t>நீங்கள் {radius} கிமீ சுற்றளவில் ஒரு இடத்தைத் தேர்ந்தெடுக்க வேண்டும்.</t>
  </si>
  <si>
    <t>login_failed</t>
  </si>
  <si>
    <t>Login Failed</t>
  </si>
  <si>
    <t>உள்நுழைவு தோல்வியுற்றது</t>
  </si>
  <si>
    <t>make_online_payment_failed</t>
  </si>
  <si>
    <t>Failed to make online payment.</t>
  </si>
  <si>
    <t>ஆன்லைன் பணம் செலுத்துதல் தோல்வியடைந்தது</t>
  </si>
  <si>
    <t>male</t>
  </si>
  <si>
    <t>Male</t>
  </si>
  <si>
    <t>ஆண்</t>
  </si>
  <si>
    <t>max_vehicle_distance_limit_exceeded</t>
  </si>
  <si>
    <t>Selected vehicle exceeds its maximum distance limit. Please choose a different vehicle or reduce the trip distance.</t>
  </si>
  <si>
    <t>தேர்ந்தெடுக்கப்பட்ட வாகனம் அதிகபட்ச தூர வரம்பை மீறுகிறது. தயவுசெய்து வேறு வாகனத்தைத் தேர்ந்தெடுக்கவும் அல்லது பயணத் தூரத்தை குறைக்கவும்.</t>
  </si>
  <si>
    <t>min</t>
  </si>
  <si>
    <t>நிமிடம்</t>
  </si>
  <si>
    <t>minimum_wait_time</t>
  </si>
  <si>
    <t>Minimum wait time is {defaultwaitingTime} minutes</t>
  </si>
  <si>
    <t>குறைந்தபட்ச காத்திருப்பு நேரம் {defaultwaitingTime} நிமிடங்கள்</t>
  </si>
  <si>
    <t>mins</t>
  </si>
  <si>
    <t>Mins</t>
  </si>
  <si>
    <t>more_details</t>
  </si>
  <si>
    <t>MORE DETAILS</t>
  </si>
  <si>
    <t>மேலும் விவரங்கள்</t>
  </si>
  <si>
    <t>move_map_to_select_location</t>
  </si>
  <si>
    <t>Move map to mark location on map</t>
  </si>
  <si>
    <t>வரைபடத்தில் இடத்தை குறிக்க வரைபடத்தை நகர்த்தவும்</t>
  </si>
  <si>
    <t>my_rides</t>
  </si>
  <si>
    <t>My Rides</t>
  </si>
  <si>
    <t>எனது சவாரிகள்</t>
  </si>
  <si>
    <t>myself</t>
  </si>
  <si>
    <t>Myself</t>
  </si>
  <si>
    <t>எனக்கு</t>
  </si>
  <si>
    <t>name_validation_error</t>
  </si>
  <si>
    <t>Name should be at least 2 characters and contain only letters.</t>
  </si>
  <si>
    <t>பெயர் குறைந்தது 2 எழுத்துக்களைக் கொண்டிருக்க வேண்டும் மற்றும் எழுத்துக்களை மட்டும் கொண்டிருக்க வேண்டும்.</t>
  </si>
  <si>
    <t>network_error</t>
  </si>
  <si>
    <t>Network Error</t>
  </si>
  <si>
    <t>பிணைய பிழை</t>
  </si>
  <si>
    <t>network_error_check_connection</t>
  </si>
  <si>
    <t>Network error. Please check your connection and try again.</t>
  </si>
  <si>
    <t>பிணைய பிழை. தயவுசெய்து உங்கள் இணைப்பைச் சரிபார்த்து மீண்டும் முயற்சிக்கவும்.</t>
  </si>
  <si>
    <t>network_error_occurred</t>
  </si>
  <si>
    <t>Network error occurred</t>
  </si>
  <si>
    <t>நெட்வொர்க் பிழை ஏற்பட்டது</t>
  </si>
  <si>
    <t>night_ride_description</t>
  </si>
  <si>
    <t>Ride safely at night with our top-rated, most trusted drivers</t>
  </si>
  <si>
    <t>எங்கள் சிறந்த தரமதிப்பீடு பெற்ற, மிகவும் நம்பகமான ஓட்டுநர்களுடன் இரவில் பாதுகாப்பாக சவாரி செய்யுங்கள்</t>
  </si>
  <si>
    <t>night_time_range</t>
  </si>
  <si>
    <t>(12 AM - 4 AM)</t>
  </si>
  <si>
    <t>(காலை 12 - காலை 4 மணி)</t>
  </si>
  <si>
    <t>no_cancellation_fees_will_be_charged</t>
  </si>
  <si>
    <t>No cancellation fees will be charged</t>
  </si>
  <si>
    <t>ரத்து கட்டணம் வசூலிக்கப்படாது</t>
  </si>
  <si>
    <t>no_contacts_found</t>
  </si>
  <si>
    <t>No contacts found</t>
  </si>
  <si>
    <t>தொடர்புகள் எதுவும் இல்லை</t>
  </si>
  <si>
    <t>no_coupons_available</t>
  </si>
  <si>
    <t>No coupons available</t>
  </si>
  <si>
    <t>கூப்பன்கள் இல்லை</t>
  </si>
  <si>
    <t>no_drivers_available_for_vehicle</t>
  </si>
  <si>
    <t>No drivers are currently available for the selected vehicle type. Please try again later or choose a different vehicle.</t>
  </si>
  <si>
    <t>தேர்ந்தெடுக்கப்பட்ட வாகன வகைக்கு தற்போது ஓட்டுநர்கள் யாரும் இல்லை. தயவுசெய்து பின்னர் மீண்டும் முயற்சிக்கவும் அல்லது வேறு வாகனத்தைத் தேர்ந்தெடுக்கவும்.</t>
  </si>
  <si>
    <t>no_drivers_available_generic</t>
  </si>
  <si>
    <t>No drivers are available nearby. Please edit pickup and drop locations.</t>
  </si>
  <si>
    <t>அருகில் ஓட்டுநர்கள் யாரும் இல்லை. தயவுசெய்து பிக்அப் மற்றும் டிராப் இடங்களைத் திருத்தவும்.</t>
  </si>
  <si>
    <t>no_drivers_available_title</t>
  </si>
  <si>
    <t>No Drivers Available</t>
  </si>
  <si>
    <t>no_drivers_for_vehicle</t>
  </si>
  <si>
    <t>No drivers for {vehicle}</t>
  </si>
  <si>
    <t>{vehicle}க்கு ஓட்டுநர்கள் இல்லை</t>
  </si>
  <si>
    <t>no_drivers_for_vehicle_body</t>
  </si>
  <si>
    <t>Your selected {vehicle} has no drivers nearby. We picked another vehicle with available drivers.</t>
  </si>
  <si>
    <t>நீங்கள் தேர்ந்தெடுத்த {vehicle}க்கு அருகில் ஓட்டுநர்கள் இல்லை. நாங்கள் கிடைக்கும் ஓட்டுநர்களுடன் மற்றொரு வாகனத்தைத் தேர்ந்தெடுத்தோம்.</t>
  </si>
  <si>
    <t>no_female_drivers_available</t>
  </si>
  <si>
    <t>No female drivers available</t>
  </si>
  <si>
    <t>பெண் ஓட்டுநர்கள் இல்லை</t>
  </si>
  <si>
    <t>no_female_drivers_hint</t>
  </si>
  <si>
    <t>No female drivers are nearby right now. You can search all drivers instead.</t>
  </si>
  <si>
    <t>அருகில் பெண் ஓட்டுநர்கள் யாரும் இல்லை. நீங்கள் அனைத்து ஓட்டுநர்களையும் தேடலாம்.</t>
  </si>
  <si>
    <t>no_messages_yet</t>
  </si>
  <si>
    <t>No messages yet</t>
  </si>
  <si>
    <t>இதுவரை செய்திகள் இல்லை</t>
  </si>
  <si>
    <t>no_recent_searches</t>
  </si>
  <si>
    <t>No recent searches</t>
  </si>
  <si>
    <t>சமீபத்திய தேடல்கள் இல்லை</t>
  </si>
  <si>
    <t>no_results_found</t>
  </si>
  <si>
    <t>No results found</t>
  </si>
  <si>
    <t>முடிவுகள் எதுவும் கிடைக்கவில்லை</t>
  </si>
  <si>
    <t>no_saved_places</t>
  </si>
  <si>
    <t>No Saved Places</t>
  </si>
  <si>
    <t>சேமிக்கப்பட்ட இடங்கள் இல்லை</t>
  </si>
  <si>
    <t>no_trusted_drivers_available</t>
  </si>
  <si>
    <t>No Night drivers available</t>
  </si>
  <si>
    <t>இரவு நேர ஓட்டுநர்கள் இல்லை</t>
  </si>
  <si>
    <t>no_trusted_drivers_hint</t>
  </si>
  <si>
    <t>No Night drivers are nearby right now. You can search all drivers instead.</t>
  </si>
  <si>
    <t>அருகில் இரவு நேர ஓட்டுநர்கள் யாரும் இல்லை. நீங்கள் அனைத்து ஓட்டுநர்களையும் தேடலாம்.</t>
  </si>
  <si>
    <t>not_reached</t>
  </si>
  <si>
    <t>Not Reached</t>
  </si>
  <si>
    <t>சவாரி அடையவில்லை</t>
  </si>
  <si>
    <t>not_serving_area_message</t>
  </si>
  <si>
    <t>We're sorry, but we are not currently serving your area.</t>
  </si>
  <si>
    <t>மன்னிக்கவும், தற்போது உங்கள் பகுதியில் எங்கள் சேவை இல்லை.</t>
  </si>
  <si>
    <t>not_serving_area_title</t>
  </si>
  <si>
    <t>Service Unavailable</t>
  </si>
  <si>
    <t>சேவை கிடைக்கவில்லை</t>
  </si>
  <si>
    <t>notification</t>
  </si>
  <si>
    <t>Notification</t>
  </si>
  <si>
    <t>அறிவிப்பு</t>
  </si>
  <si>
    <t>notifications</t>
  </si>
  <si>
    <t>Notifications</t>
  </si>
  <si>
    <t>அறிவிப்புகள்</t>
  </si>
  <si>
    <t>offer_coupons</t>
  </si>
  <si>
    <t>Offer Coupons</t>
  </si>
  <si>
    <t>கூப்பன்</t>
  </si>
  <si>
    <t>ok</t>
  </si>
  <si>
    <t>OK</t>
  </si>
  <si>
    <t>சரி</t>
  </si>
  <si>
    <t>on_ride</t>
  </si>
  <si>
    <t>On Ride</t>
  </si>
  <si>
    <t>சவாரியில்</t>
  </si>
  <si>
    <t>ongoing</t>
  </si>
  <si>
    <t>Ongoing</t>
  </si>
  <si>
    <t>நடந்து கொண்டிருக்கிறது</t>
  </si>
  <si>
    <t>open_settings</t>
  </si>
  <si>
    <t>Open settings</t>
  </si>
  <si>
    <t>அமைப்புகளைத் திறக்கவும்</t>
  </si>
  <si>
    <t>order_creation_failed</t>
  </si>
  <si>
    <t>Order creation failed</t>
  </si>
  <si>
    <t>வரிசை உருவாக்கம் தோல்வியடைந்தது</t>
  </si>
  <si>
    <t>other</t>
  </si>
  <si>
    <t>Other</t>
  </si>
  <si>
    <t>மற்றவை</t>
  </si>
  <si>
    <t>others</t>
  </si>
  <si>
    <t>Others</t>
  </si>
  <si>
    <t>otp_resend</t>
  </si>
  <si>
    <t>OTP Resend</t>
  </si>
  <si>
    <t>OTP ஐ மீண்டும் அனுப்பு</t>
  </si>
  <si>
    <t>otp_resend_successfully</t>
  </si>
  <si>
    <t>OTP Resent Successfully</t>
  </si>
  <si>
    <t>OTP வெற்றிகரமாக மீண்டும் அனுப்பப்பட்டது</t>
  </si>
  <si>
    <t>otp_resended</t>
  </si>
  <si>
    <t>OTP Resent</t>
  </si>
  <si>
    <t>OTP மீண்டும் அனுப்பப்பட்டது</t>
  </si>
  <si>
    <t>otp_sent</t>
  </si>
  <si>
    <t>OTP Sent</t>
  </si>
  <si>
    <t>OTP அனுப்பப்பட்டது</t>
  </si>
  <si>
    <t>otp_sent_to_mobile</t>
  </si>
  <si>
    <t>OTP Sent to your mobile number</t>
  </si>
  <si>
    <t>OTP உங்கள் மொபைல் எண்ணுக்கு அனுப்பப்பட்டது</t>
  </si>
  <si>
    <t>otp_verified</t>
  </si>
  <si>
    <t>OTP Verified</t>
  </si>
  <si>
    <t>OTP சரிபார்க்கப்பட்டது</t>
  </si>
  <si>
    <t>overdue_cancellation_note_helper</t>
  </si>
  <si>
    <t>We will share this note with support.</t>
  </si>
  <si>
    <t>இந்த குறிப்பை ஆதரவு அணியுடன் பகிர்வோம்.</t>
  </si>
  <si>
    <t>overdue_cancellation_note_placeholder</t>
  </si>
  <si>
    <t>Tell us why you are ending the trip</t>
  </si>
  <si>
    <t>நீங்கள் ஏன் பயணத்தை முடிக்கிறீர்கள் என்பதை சொல்லுங்கள்</t>
  </si>
  <si>
    <t>overdue_cancelled_midway</t>
  </si>
  <si>
    <t>Cancelled midway</t>
  </si>
  <si>
    <t>நடுவில் ரத்து</t>
  </si>
  <si>
    <t>overdue_end_trip</t>
  </si>
  <si>
    <t>பயணத்தை முடிக்கவும்</t>
  </si>
  <si>
    <t>overdue_image_alt</t>
  </si>
  <si>
    <t>Trip overdue illustration</t>
  </si>
  <si>
    <t>பயணம் தாமதமான படிமம்</t>
  </si>
  <si>
    <t>overdue_message</t>
  </si>
  <si>
    <t>May I know your trip status? Please select one option below.</t>
  </si>
  <si>
    <t>உங்கள் பயண நிலையை தெரிவிக்க முடியுமா? கீழே உள்ள விருப்பங்களில் ஒன்றைத் தேர்ந்தெடுக்கவும்.</t>
  </si>
  <si>
    <t>overdue_no_im_on_ride</t>
  </si>
  <si>
    <t>No, I'm on ride</t>
  </si>
  <si>
    <t>இல்லை, நான் பயணத்தில் இருக்கிறேன்</t>
  </si>
  <si>
    <t>overdue_send_cancellation</t>
  </si>
  <si>
    <t>Send &amp; End Trip</t>
  </si>
  <si>
    <t>செய்தி அனுப்பி பயணத்தை ரத்து செய்க</t>
  </si>
  <si>
    <t>overdue_title</t>
  </si>
  <si>
    <t>Trip duration exceeded the estimate</t>
  </si>
  <si>
    <t>பயண காலம் மதிப்பீட்டை மீறியுள்ளது</t>
  </si>
  <si>
    <t>pay</t>
  </si>
  <si>
    <t>PAY</t>
  </si>
  <si>
    <t>செலுத்து</t>
  </si>
  <si>
    <t>pay_by</t>
  </si>
  <si>
    <t>Pay by</t>
  </si>
  <si>
    <t>மூலம் செலுத்தவும்</t>
  </si>
  <si>
    <t>pay_through_upi</t>
  </si>
  <si>
    <t>PAY THROUGH UPI</t>
  </si>
  <si>
    <t>UPI மூலம் பணம் செலுத்துங்கள்</t>
  </si>
  <si>
    <t>payment</t>
  </si>
  <si>
    <t>Payment</t>
  </si>
  <si>
    <t>கட்டணம்</t>
  </si>
  <si>
    <t>payment_failed</t>
  </si>
  <si>
    <t>Payment Failed</t>
  </si>
  <si>
    <t>பணம் செலுத்தப்படவில்லை</t>
  </si>
  <si>
    <t>payment_gateway_fee</t>
  </si>
  <si>
    <t>Payment gateway fee</t>
  </si>
  <si>
    <t>payment_gateway_fee_plus_gst</t>
  </si>
  <si>
    <t>Payment gateway fee + GST</t>
  </si>
  <si>
    <t>payment_gateway_gst</t>
  </si>
  <si>
    <t>Payment gateway GST</t>
  </si>
  <si>
    <t>payment_info</t>
  </si>
  <si>
    <t>Payment Info</t>
  </si>
  <si>
    <t>கட்டணத் தகவல்</t>
  </si>
  <si>
    <t>payment_method_label</t>
  </si>
  <si>
    <t>கட்டண முறை</t>
  </si>
  <si>
    <t>payment_method_required</t>
  </si>
  <si>
    <t>Payment method is required</t>
  </si>
  <si>
    <t>கட்டண முறை தேவை</t>
  </si>
  <si>
    <t>payment_methods</t>
  </si>
  <si>
    <t>Payment Methods</t>
  </si>
  <si>
    <t>பணம் செலுத்தும் முறைகள்</t>
  </si>
  <si>
    <t>payment_status</t>
  </si>
  <si>
    <t>கட்டண நிலை</t>
  </si>
  <si>
    <t>payment_successful</t>
  </si>
  <si>
    <t>Payment Successful</t>
  </si>
  <si>
    <t>பணம் செலுத்தப்பட்டது</t>
  </si>
  <si>
    <t>pick_location</t>
  </si>
  <si>
    <t>Pick Location</t>
  </si>
  <si>
    <t>இருப்பிடத்தைத் தேர்ந்தெடுக்கவும்</t>
  </si>
  <si>
    <t>pickup</t>
  </si>
  <si>
    <t>தொடக்க இடம்</t>
  </si>
  <si>
    <t>pickup_location</t>
  </si>
  <si>
    <t>Pickup Location</t>
  </si>
  <si>
    <t>பிக்கப் இடம்</t>
  </si>
  <si>
    <t>pickup_now</t>
  </si>
  <si>
    <t>Pickup Now</t>
  </si>
  <si>
    <t>இப்போது</t>
  </si>
  <si>
    <t>pickup_point</t>
  </si>
  <si>
    <t>Pickup Point</t>
  </si>
  <si>
    <t>பிக்கப் பாயிண்ட்</t>
  </si>
  <si>
    <t>place_deleted_successfully</t>
  </si>
  <si>
    <t>Place deleted successfully</t>
  </si>
  <si>
    <t>இடம் வெற்றிகரமாக நீக்கப்பட்டது</t>
  </si>
  <si>
    <t>place_saved_successfully</t>
  </si>
  <si>
    <t>Place saved successfully</t>
  </si>
  <si>
    <t>இடம் வெற்றிகரமாக சேமிக்கப்பட்டது</t>
  </si>
  <si>
    <t>place_updated_successfully</t>
  </si>
  <si>
    <t>Place updated successfully</t>
  </si>
  <si>
    <t>இடம் வெற்றிகரமாக புதுப்பிக்கப்பட்டது</t>
  </si>
  <si>
    <t>plan_your_trip</t>
  </si>
  <si>
    <t>Plan your trip</t>
  </si>
  <si>
    <t>பயணத்தைத் திட்டமிடு</t>
  </si>
  <si>
    <t>please_contact_support</t>
  </si>
  <si>
    <t>Please contact support</t>
  </si>
  <si>
    <t>please_enter_valid_email</t>
  </si>
  <si>
    <t>Please enter a valid email address.</t>
  </si>
  <si>
    <t>தயவுசெய்து சரியான மின்னஞ்சல் முகவரியை உள்ளிடவும்.</t>
  </si>
  <si>
    <t>please_enter_your_email</t>
  </si>
  <si>
    <t>Please enter your email address.</t>
  </si>
  <si>
    <t>தயவுசெய்து உங்கள் மின்னஞ்சல் முகவரியை உள்ளிடவும்.</t>
  </si>
  <si>
    <t>please_enter_your_name</t>
  </si>
  <si>
    <t>Please enter your name.</t>
  </si>
  <si>
    <t>தயவுசெய்து உங்கள் பெயரை உள்ளிடவும்.</t>
  </si>
  <si>
    <t>please_pay_trip_fare</t>
  </si>
  <si>
    <t>Please pay trip fare</t>
  </si>
  <si>
    <t>பயணக் கட்டணத்தைச் செலுத்தவும்</t>
  </si>
  <si>
    <t>please_proceed_with_the_payment</t>
  </si>
  <si>
    <t>Please proceed with the payment</t>
  </si>
  <si>
    <t>கட்டணத்தைத் தொடரவும்</t>
  </si>
  <si>
    <t>please_select_emergency_contacts</t>
  </si>
  <si>
    <t>Please Select Emergency Conatcts</t>
  </si>
  <si>
    <t>please_select_payment_method</t>
  </si>
  <si>
    <t>கட்டண முறையைத் தேர்ந்தெடுக்கவும்</t>
  </si>
  <si>
    <t>please_select_start_end_locations</t>
  </si>
  <si>
    <t>Please select start and end locations</t>
  </si>
  <si>
    <t>தொடக்க மற்றும் முடிவு இடங்களைத் தேர்ந்தெடுக்கவும்</t>
  </si>
  <si>
    <t>please_select_time_greater</t>
  </si>
  <si>
    <t>Please Select Time Greater then Current Time</t>
  </si>
  <si>
    <t>தயவு செய்து தற்போதைய நேரத்தை விட பெரிய நேரத்தைத் தேர்ந்தெடுக்கவும்</t>
  </si>
  <si>
    <t>please_select_vehicle</t>
  </si>
  <si>
    <t>Please select a vehicle</t>
  </si>
  <si>
    <t>வாகனத்தைத் தேர்ந்தெடுக்கவும்</t>
  </si>
  <si>
    <t>please_select_your_gender</t>
  </si>
  <si>
    <t>Please select your gender.</t>
  </si>
  <si>
    <t>தயவுசெய்து உங்கள் பாலினத்தைத் தேர்ந்தெடுக்கவும்.</t>
  </si>
  <si>
    <t>please_try_again</t>
  </si>
  <si>
    <t>Please try again</t>
  </si>
  <si>
    <t>மீண்டும் முயற்சிக்கவும்</t>
  </si>
  <si>
    <t>please_verify_OTP</t>
  </si>
  <si>
    <t>Please verify OTP</t>
  </si>
  <si>
    <t>OTP ஐ சரிபார்க்கவும்</t>
  </si>
  <si>
    <t>preferences</t>
  </si>
  <si>
    <t>Preferences</t>
  </si>
  <si>
    <t>விருப்பங்கள்</t>
  </si>
  <si>
    <t>preferences_saved</t>
  </si>
  <si>
    <t>Preferences Saved</t>
  </si>
  <si>
    <t>விருப்பத்தேர்வுகள் சேமிக்கப்பட்டன</t>
  </si>
  <si>
    <t>premium_ride</t>
  </si>
  <si>
    <t>Premium Ride</t>
  </si>
  <si>
    <t>பிரீமியம் சவாரி</t>
  </si>
  <si>
    <t>priority</t>
  </si>
  <si>
    <t>Priority:</t>
  </si>
  <si>
    <t>முன்னுரிமை:</t>
  </si>
  <si>
    <t>quick_and_easy_bookings</t>
  </si>
  <si>
    <t>Quick and Easy Bookings</t>
  </si>
  <si>
    <t>விரைவான மற்றும் எளிதான முன்பதிவுகள்</t>
  </si>
  <si>
    <t>quick_and_easy_bookings_description</t>
  </si>
  <si>
    <t>Choose your destination, pick your ride, and you're on your way in just a few taps.</t>
  </si>
  <si>
    <t>உங்கள் இலக்கைத் தேர்வுசெய்து, உங்கள் சவாரியைத் தேர்வுசெய்து, ஒரு சில தட்டல்களில் நீங்கள் உங்கள் பயணத்தைத் தொடங்குவீர்கள்.</t>
  </si>
  <si>
    <t>rate_your_ride</t>
  </si>
  <si>
    <t>Rate Your Ride</t>
  </si>
  <si>
    <t>உங்கள் சவாரியை மதிப்பிடவும்</t>
  </si>
  <si>
    <t>reach_your_destination_in</t>
  </si>
  <si>
    <t>Reach your destination in</t>
  </si>
  <si>
    <t>உங்கள் இலக்கை அடையுங்கள்</t>
  </si>
  <si>
    <t>reach_your_waypoints_in</t>
  </si>
  <si>
    <t>Reach {stop}  in</t>
  </si>
  <si>
    <t>நிறுத்தம் {stop} ஐ அடைய</t>
  </si>
  <si>
    <t>reason_optional</t>
  </si>
  <si>
    <t>Reason (Optional)</t>
  </si>
  <si>
    <t>காரணம் (விரும்பினால்)</t>
  </si>
  <si>
    <t>recent</t>
  </si>
  <si>
    <t>Recent</t>
  </si>
  <si>
    <t>சமீபத்திய தேடல்கள்</t>
  </si>
  <si>
    <t>recent_searches</t>
  </si>
  <si>
    <t>Recent Searches</t>
  </si>
  <si>
    <t>recipient_info</t>
  </si>
  <si>
    <t>Recipient Info</t>
  </si>
  <si>
    <t>பெறுநர் தகவல்</t>
  </si>
  <si>
    <t>registration</t>
  </si>
  <si>
    <t>Registration</t>
  </si>
  <si>
    <t>registration_completed_successfully</t>
  </si>
  <si>
    <t>Registration Completed Successfully</t>
  </si>
  <si>
    <t>பதிவு வெற்றிகரமாக முடிந்தது</t>
  </si>
  <si>
    <t>registration_error</t>
  </si>
  <si>
    <t>Registration Error</t>
  </si>
  <si>
    <t>பதிவு பிழை</t>
  </si>
  <si>
    <t>registration_failed</t>
  </si>
  <si>
    <t>Registration Failed</t>
  </si>
  <si>
    <t>பதிவு தோல்வி</t>
  </si>
  <si>
    <t>remove</t>
  </si>
  <si>
    <t>REMOVE</t>
  </si>
  <si>
    <t>அகற்று</t>
  </si>
  <si>
    <t>remove_coupon</t>
  </si>
  <si>
    <t>Remove Coupon</t>
  </si>
  <si>
    <t>கூப்பனை அகற்று</t>
  </si>
  <si>
    <t>request_failed</t>
  </si>
  <si>
    <t>Request failed</t>
  </si>
  <si>
    <t>retry</t>
  </si>
  <si>
    <t>Retry</t>
  </si>
  <si>
    <t>ride_accepted</t>
  </si>
  <si>
    <t>Ride Accepted</t>
  </si>
  <si>
    <t>சவாரி ஏற்றுக்கொள்ளப்பட்டது</t>
  </si>
  <si>
    <t>ride_bill</t>
  </si>
  <si>
    <t>சவாரி கட்டணம்</t>
  </si>
  <si>
    <t>ride_cancelled</t>
  </si>
  <si>
    <t>Ride Cancelled</t>
  </si>
  <si>
    <t>சவாரி ரத்து செய்யப்பட்டது</t>
  </si>
  <si>
    <t>ride_completed</t>
  </si>
  <si>
    <t>Ride Completed</t>
  </si>
  <si>
    <t>சவாரி முடிந்தது</t>
  </si>
  <si>
    <t>ride_details</t>
  </si>
  <si>
    <t>Ride Details</t>
  </si>
  <si>
    <t>ride_diverged</t>
  </si>
  <si>
    <t>Ride Diverged</t>
  </si>
  <si>
    <t>சவாரி வழிமாறியது</t>
  </si>
  <si>
    <t>ride_estimation_title</t>
  </si>
  <si>
    <t>Ride Estimation</t>
  </si>
  <si>
    <t>ride_failed</t>
  </si>
  <si>
    <t>Ride Failed</t>
  </si>
  <si>
    <t>சவாரி தோல்வியடைந்தது</t>
  </si>
  <si>
    <t>ride_info</t>
  </si>
  <si>
    <t>Ride Info</t>
  </si>
  <si>
    <t>சவாரி தகவல்</t>
  </si>
  <si>
    <t>ride_matched</t>
  </si>
  <si>
    <t>Ride Matched</t>
  </si>
  <si>
    <t>சவாரி பொருந்தியது</t>
  </si>
  <si>
    <t>ride_pending</t>
  </si>
  <si>
    <t>Ride Pending</t>
  </si>
  <si>
    <t>சவாரி நிலுவையில்</t>
  </si>
  <si>
    <t>ride_picked_up</t>
  </si>
  <si>
    <t>Ride Picked Up</t>
  </si>
  <si>
    <t>சவாரி பிக்கப் செய்யப்பட்டது</t>
  </si>
  <si>
    <t>ride_preferences</t>
  </si>
  <si>
    <t>Ride Preferences</t>
  </si>
  <si>
    <t>சவாரி விருப்பங்கள்</t>
  </si>
  <si>
    <t>ride_started</t>
  </si>
  <si>
    <t>Ride Started</t>
  </si>
  <si>
    <t>சவாரி தொடங்கியது</t>
  </si>
  <si>
    <t>ride_stopped</t>
  </si>
  <si>
    <t>Ride Stopped</t>
  </si>
  <si>
    <t>சவாரி நிறுத்தப்பட்டது</t>
  </si>
  <si>
    <t>ride_was_cancelled_midway</t>
  </si>
  <si>
    <t>Ride was cancelled midway</t>
  </si>
  <si>
    <t>பயணம் மதியம் ரத்து செய்யப்பட்டது</t>
  </si>
  <si>
    <t>routeStatus_back</t>
  </si>
  <si>
    <t>பின்</t>
  </si>
  <si>
    <t>routeStatus_errorDescription</t>
  </si>
  <si>
    <t>Please check your connection.</t>
  </si>
  <si>
    <t>தயவுசெய்து உங்கள் நெட்வொர்க் இணைப்பை சரிபார்க்கவும்.</t>
  </si>
  <si>
    <t>routeStatus_errorTitle</t>
  </si>
  <si>
    <t>Failed to fetch route</t>
  </si>
  <si>
    <t>பாதையை பெற முடியவில்லை</t>
  </si>
  <si>
    <t>routeStatus_fetching</t>
  </si>
  <si>
    <t>Fetching route</t>
  </si>
  <si>
    <t>பாதை எடுக்கப்படுகிறது</t>
  </si>
  <si>
    <t>routeStatus_helper</t>
  </si>
  <si>
    <t>Ensure your internet is stable and try again.</t>
  </si>
  <si>
    <t>இணையம் நிலையாக இருப்பதை உறுதிசெய்து மீண்டும் முயற்சிக்கவும்.</t>
  </si>
  <si>
    <t>routeStatus_retry</t>
  </si>
  <si>
    <t>safe_night_rides</t>
  </si>
  <si>
    <t>Safe Night Rides</t>
  </si>
  <si>
    <t>பாதுகாப்பான இரவு சவாரிகள்</t>
  </si>
  <si>
    <t>same_location_message</t>
  </si>
  <si>
    <t>Pickup and drop-off locations are very close. Please choose a farther location.</t>
  </si>
  <si>
    <t>பிக்கப் மற்றும் டிராப்-ஆஃப் இடங்கள் மிக அருகில் உள்ளன. தயவுசெய்து தொலைவில் உள்ள இடத்தைத் தேர்ந்தெடுக்கவும்.</t>
  </si>
  <si>
    <t>same_location_title</t>
  </si>
  <si>
    <t>Locations too close</t>
  </si>
  <si>
    <t>இரு இடங்களும் மிக அருகில்</t>
  </si>
  <si>
    <t>save_as</t>
  </si>
  <si>
    <t>Save as</t>
  </si>
  <si>
    <t>என சேமிக்கவும்</t>
  </si>
  <si>
    <t>save_place</t>
  </si>
  <si>
    <t>SAVE PLACE</t>
  </si>
  <si>
    <t>இடத்தை சேமிக்கவும்</t>
  </si>
  <si>
    <t>save_preferences</t>
  </si>
  <si>
    <t>Save Preferences</t>
  </si>
  <si>
    <t>விருப்பங்களைச் சேமிக்கவும்</t>
  </si>
  <si>
    <t>saved_places</t>
  </si>
  <si>
    <t>Saved Places</t>
  </si>
  <si>
    <t>சேமிக்கப்பட்ட இடங்கள்</t>
  </si>
  <si>
    <t>saved_places_empty_description</t>
  </si>
  <si>
    <t>Tap the + button to add your first saved place</t>
  </si>
  <si>
    <t>நீங்கள் முதலில் சேமித்த இடத்தைச் சேர்க்க + பொத்தானைத் தட்டவும்</t>
  </si>
  <si>
    <t>saved_places_empty_subtitle</t>
  </si>
  <si>
    <t>Your saved locations will appear here</t>
  </si>
  <si>
    <t>நீங்கள் சேமித்த இருப்பிடங்கள் இங்கே தோன்றும்</t>
  </si>
  <si>
    <t>savings</t>
  </si>
  <si>
    <t>Savings</t>
  </si>
  <si>
    <t>சேமிப்பு</t>
  </si>
  <si>
    <t>schedule</t>
  </si>
  <si>
    <t>Schedule</t>
  </si>
  <si>
    <t>அட்டவணை</t>
  </si>
  <si>
    <t>schedule_a_trip</t>
  </si>
  <si>
    <t>Schedule a Trip</t>
  </si>
  <si>
    <t>ஒரு பயணத்தை திட்டமிடுங்கள்</t>
  </si>
  <si>
    <t>schedule_ride</t>
  </si>
  <si>
    <t>Schedule Ride</t>
  </si>
  <si>
    <t>அட்டவணை சவாரி</t>
  </si>
  <si>
    <t>search</t>
  </si>
  <si>
    <t>Search</t>
  </si>
  <si>
    <t>தேடு</t>
  </si>
  <si>
    <t>search_all_drivers</t>
  </si>
  <si>
    <t>Search all drivers</t>
  </si>
  <si>
    <t>அனைத்து ஓட்டுநர்களையும் தேடுங்கள்</t>
  </si>
  <si>
    <t>search_cities_areas_streets</t>
  </si>
  <si>
    <t>Search Cities, Areas, Streets</t>
  </si>
  <si>
    <t>search_contacts_placeholder</t>
  </si>
  <si>
    <t>Search contacts</t>
  </si>
  <si>
    <t>தொடர்புகளைத் தேடு</t>
  </si>
  <si>
    <t>search_destination</t>
  </si>
  <si>
    <t>Search Destination</t>
  </si>
  <si>
    <t>எங்கு செல்ல வேண்டும்</t>
  </si>
  <si>
    <t>search_pickup_location</t>
  </si>
  <si>
    <t>Search Pickup Location</t>
  </si>
  <si>
    <t>search_region</t>
  </si>
  <si>
    <t>Search Region</t>
  </si>
  <si>
    <t>தேடல் மண்டலம்</t>
  </si>
  <si>
    <t>see_all_drivers</t>
  </si>
  <si>
    <t>See available drivers</t>
  </si>
  <si>
    <t>அனைத்து ஓட்டுநர்களையும் காண்க</t>
  </si>
  <si>
    <t>select</t>
  </si>
  <si>
    <t>Select</t>
  </si>
  <si>
    <t>தேர்ந்தெடு</t>
  </si>
  <si>
    <t>select_different_location</t>
  </si>
  <si>
    <t>Select Different Location</t>
  </si>
  <si>
    <t>select_dropoff</t>
  </si>
  <si>
    <t>Select Dropoff</t>
  </si>
  <si>
    <t>டிராப்பாஃப் என்பதைத் தேர்ந்தெடுக்கவும்</t>
  </si>
  <si>
    <t>select_payment</t>
  </si>
  <si>
    <t>Select Payment Method</t>
  </si>
  <si>
    <t>select_pickup</t>
  </si>
  <si>
    <t>Select Pickup</t>
  </si>
  <si>
    <t>பிக்கப்பைத் தேர்ந்தெடுக்கவும்</t>
  </si>
  <si>
    <t>select_ride_type</t>
  </si>
  <si>
    <t>Select Ride Type</t>
  </si>
  <si>
    <t>சவாரி வகையைத் தேர்ந்தெடுக்கவும்</t>
  </si>
  <si>
    <t>select_trip_for</t>
  </si>
  <si>
    <t>Select Trip For</t>
  </si>
  <si>
    <t>பயணத்திற்கான பயணத்தைத் தேர்ந்தெடுக்கவும்</t>
  </si>
  <si>
    <t>select_vehicle</t>
  </si>
  <si>
    <t>Select Vehicle</t>
  </si>
  <si>
    <t>session_logged_out_other_device_message</t>
  </si>
  <si>
    <t>You have been logged out because your account was used on another device</t>
  </si>
  <si>
    <t>session_logged_out_title</t>
  </si>
  <si>
    <t>Logged Out</t>
  </si>
  <si>
    <t>set</t>
  </si>
  <si>
    <t>SET</t>
  </si>
  <si>
    <t>அமைக்கவும்</t>
  </si>
  <si>
    <t>set_your_destination</t>
  </si>
  <si>
    <t>Set Your Destination</t>
  </si>
  <si>
    <t>உங்கள் இலக்கை அமைக்கவும்</t>
  </si>
  <si>
    <t>set_your_destination_description</t>
  </si>
  <si>
    <t>Whether it`s a ride home, the office, or an adventure, "Namma Ooru Taxi ®" is ready to take you there.</t>
  </si>
  <si>
    <t>வீடு, அலுவலகம் அல்லது சாகசப் பயணம் எதுவாக இருந்தாலும், "நம்ம ஊரு டாக்ஸி ®" உங்களை அங்கு அழைத்துச் செல்ல தயாராக உள்ளது.</t>
  </si>
  <si>
    <t>shared_ride</t>
  </si>
  <si>
    <t>Shared Ride</t>
  </si>
  <si>
    <t>பகிரப்பட்ட சவாரி</t>
  </si>
  <si>
    <t>show_invoice</t>
  </si>
  <si>
    <t>Show Invoice</t>
  </si>
  <si>
    <t>விலைப்பட்டியலைக் காட்டு</t>
  </si>
  <si>
    <t>skip</t>
  </si>
  <si>
    <t>SKIP</t>
  </si>
  <si>
    <t>தவிர்க்கவும்</t>
  </si>
  <si>
    <t>skip_for_now</t>
  </si>
  <si>
    <t>Skip for now</t>
  </si>
  <si>
    <t>தற்போது தவிர்க்கவும்</t>
  </si>
  <si>
    <t>slide_to_cancel</t>
  </si>
  <si>
    <t>Slide to Cancel</t>
  </si>
  <si>
    <t>ரத்துசெய்ய ஸ்லைடு செய்யவும்</t>
  </si>
  <si>
    <t>some_error_occurred</t>
  </si>
  <si>
    <t>Some error occurred</t>
  </si>
  <si>
    <t>சில பிழை ஏற்பட்டது</t>
  </si>
  <si>
    <t>star</t>
  </si>
  <si>
    <t>Star</t>
  </si>
  <si>
    <t>நட்சத்திரம்</t>
  </si>
  <si>
    <t>start_conversation_message</t>
  </si>
  <si>
    <t>Start the conversation by sending your first message</t>
  </si>
  <si>
    <t>உங்கள் முதல் செய்தியை அனுப்புவதன் மூலம் உரையாடலைத் தொடங்கவும்</t>
  </si>
  <si>
    <t>start_end_locations_required</t>
  </si>
  <si>
    <t>Start and end locations are required</t>
  </si>
  <si>
    <t>தொடக்க மற்றும் முடிவு இடங்கள் தேவை</t>
  </si>
  <si>
    <t>start_location_required</t>
  </si>
  <si>
    <t>Start location is required</t>
  </si>
  <si>
    <t>தொடக்க இடம் தேவை</t>
  </si>
  <si>
    <t>status_filter</t>
  </si>
  <si>
    <t>Status Filter</t>
  </si>
  <si>
    <t>நிலை வட்டி</t>
  </si>
  <si>
    <t>stop</t>
  </si>
  <si>
    <t>Stop</t>
  </si>
  <si>
    <t>நிறுத்து</t>
  </si>
  <si>
    <t>stop_index</t>
  </si>
  <si>
    <t>Stop {stop}</t>
  </si>
  <si>
    <t>நிறுத்தம் {stop}</t>
  </si>
  <si>
    <t>stops_too_close</t>
  </si>
  <si>
    <t>Two stops are within 100 meters. Please adjust your stops.</t>
  </si>
  <si>
    <t>இரண்டு நிறுத்தங்கள் 100 மீட்டருக்குள் உள்ளன. தயவுசெய்து உங்கள் நிறுத்தங்களை மாற்றவும்.</t>
  </si>
  <si>
    <t>submit</t>
  </si>
  <si>
    <t>Submit</t>
  </si>
  <si>
    <t>சமர்ப்பிக்கவும்</t>
  </si>
  <si>
    <t>success</t>
  </si>
  <si>
    <t>Success</t>
  </si>
  <si>
    <t>வெற்றி</t>
  </si>
  <si>
    <t>support</t>
  </si>
  <si>
    <t>Support</t>
  </si>
  <si>
    <t>உதவி</t>
  </si>
  <si>
    <t>support_categories_driver_app_issues_description</t>
  </si>
  <si>
    <t>Technical problems with the driver mobile application</t>
  </si>
  <si>
    <t>வாடிக்கையாளர் மொபைல் செயலியின் தொழில்நுட்ப பிரச்சினைகள்</t>
  </si>
  <si>
    <t>support_categories_driver_app_issues_name</t>
  </si>
  <si>
    <t>Customer App Issues</t>
  </si>
  <si>
    <t>வாடிக்கையாளர் செயலி குறைபாடுகள்</t>
  </si>
  <si>
    <t>support_categories_driver_late_arrival_description</t>
  </si>
  <si>
    <t>Driver arrived much later than estimated pickup time causing passenger inconvenience</t>
  </si>
  <si>
    <t>முன்கணிக்கப்பட்ட பிக்கப் நேரத்தை விட மிகவும் தாமதமாக டிரைவர் வந்ததால் பயணியுக்கு சிரமம் ஏற்பட்டது</t>
  </si>
  <si>
    <t>support_categories_driver_late_arrival_name</t>
  </si>
  <si>
    <t>Driver Late Arrival</t>
  </si>
  <si>
    <t>டிரைவர் தாமதமாக வருதல்</t>
  </si>
  <si>
    <t>support_categories_lost_item_report_description</t>
  </si>
  <si>
    <t>I left my belongings in the vehicle and need assistance recovering them</t>
  </si>
  <si>
    <t>நான் எனது பொருட்களை வாகனத்தில் விட்டுவிட்டேன்; அவற்றை மீட்க உதவி தேவை</t>
  </si>
  <si>
    <t>support_categories_lost_item_report_name</t>
  </si>
  <si>
    <t>Lost Item Report</t>
  </si>
  <si>
    <t>இழந்த பொருள் புகார்</t>
  </si>
  <si>
    <t>support_categories_trip_cancellation_fee_dispute_description</t>
  </si>
  <si>
    <t>Passenger was wrongly charged a cancellation fee despite valid reasons</t>
  </si>
  <si>
    <t>சரியான காரணங்கள் இருந்தபோதும் பயணியிடமிருந்து தவறாக ரத்து கட்டணம் வசூலிக்கப்பட்டது</t>
  </si>
  <si>
    <t>support_categories_trip_cancellation_fee_dispute_name</t>
  </si>
  <si>
    <t>Trip Cancellation Fee Dispute</t>
  </si>
  <si>
    <t>பயண ரத்து கட்டண சர்ச்சை</t>
  </si>
  <si>
    <t>support_categories_trip_fare_issues_description</t>
  </si>
  <si>
    <t>Issues related to trip pricing, billing, and payment</t>
  </si>
  <si>
    <t>பயண விலை நிர்ணயம், பில்லிங் மற்றும் கட்டணம் தொடர்பான சிக்கல்கள்</t>
  </si>
  <si>
    <t>support_categories_trip_fare_issues_name</t>
  </si>
  <si>
    <t>Trip Fare Issues</t>
  </si>
  <si>
    <t>பயணக் கட்டண சிக்கல்கள்</t>
  </si>
  <si>
    <t>support_categories_vehicle_not_as_expected_description</t>
  </si>
  <si>
    <t>Driver arrived with a different vehicle type than booked (e.g., sedan instead of SUV)</t>
  </si>
  <si>
    <t>புக் செய்த வாகன வகையிலிருந்து மாறுபட்ட வாகனத்தில் டிரைவர் வந்தார் (எ.கா., SUVக்கு பதில் செடான்)</t>
  </si>
  <si>
    <t>support_categories_vehicle_not_as_expected_name</t>
  </si>
  <si>
    <t>Vehicle Not As Expected</t>
  </si>
  <si>
    <t>எதிர்பார்த்தபடி வாகனம் இல்லை</t>
  </si>
  <si>
    <t>support_create_form_app_related</t>
  </si>
  <si>
    <t>செயலி தொடர்பானது</t>
  </si>
  <si>
    <t>support_create_form_category_label</t>
  </si>
  <si>
    <t>Category</t>
  </si>
  <si>
    <t>வகை</t>
  </si>
  <si>
    <t>support_create_form_date</t>
  </si>
  <si>
    <t>தேதி</t>
  </si>
  <si>
    <t>support_create_form_description_label</t>
  </si>
  <si>
    <t>Description</t>
  </si>
  <si>
    <t>விளக்கம்</t>
  </si>
  <si>
    <t>support_create_form_description_placeholder</t>
  </si>
  <si>
    <t>உங்கள் பிரச்சினை பற்றி விரிவாக எழுதவும்...</t>
  </si>
  <si>
    <t>support_create_form_distance</t>
  </si>
  <si>
    <t>support_create_form_driver</t>
  </si>
  <si>
    <t>டிரைவர்</t>
  </si>
  <si>
    <t>support_create_form_error_category_required</t>
  </si>
  <si>
    <t>Please select a category</t>
  </si>
  <si>
    <t>தயவுசெய்து ஒரு வகையைத் தேர்வுசெய்க</t>
  </si>
  <si>
    <t>support_create_form_error_description_required</t>
  </si>
  <si>
    <t>Description is required</t>
  </si>
  <si>
    <t>விளக்கம் அவசியம்</t>
  </si>
  <si>
    <t>support_create_form_error_select_trip</t>
  </si>
  <si>
    <t>Please select a trip</t>
  </si>
  <si>
    <t>தயவுசெய்து ஒரு பயணத்தைத் தேர்வுசெய்க</t>
  </si>
  <si>
    <t>support_create_form_error_subject_required</t>
  </si>
  <si>
    <t>Subject is required</t>
  </si>
  <si>
    <t>தலைப்பு அவசியம்</t>
  </si>
  <si>
    <t>support_create_form_fare</t>
  </si>
  <si>
    <t>support_create_form_from</t>
  </si>
  <si>
    <t>இருந்து</t>
  </si>
  <si>
    <t>support_create_form_loading_categories</t>
  </si>
  <si>
    <t>வகைகள் ஏற்றப்படுகிறது...</t>
  </si>
  <si>
    <t>support_create_form_no_categories</t>
  </si>
  <si>
    <t>இந்த டிக்கெட் வகைக்கு வகைகள் கிடைக்கவில்லை</t>
  </si>
  <si>
    <t>support_create_form_select_trip_label</t>
  </si>
  <si>
    <t>பயணத்தைத் தேர்ந்தெடுக்கவும்</t>
  </si>
  <si>
    <t>support_create_form_select_trip_placeholder</t>
  </si>
  <si>
    <t>உங்கள் பயண வரலாற்றிலிருந்து ஒரு பயணத்தைத் தேர்ந்தெடுக்கவும்</t>
  </si>
  <si>
    <t>support_create_form_status</t>
  </si>
  <si>
    <t>நிலை</t>
  </si>
  <si>
    <t>support_create_form_subtitle</t>
  </si>
  <si>
    <t>உங்கள் பிரச்சினையை விவரிக்கவும், நாங்கள் உதவுவோம்</t>
  </si>
  <si>
    <t>support_create_form_ticket_type</t>
  </si>
  <si>
    <t>Ticket Type</t>
  </si>
  <si>
    <t>டிக்கெட் வகை</t>
  </si>
  <si>
    <t>support_create_form_title</t>
  </si>
  <si>
    <t>புதிய டிக்கெட்டை உருவாக்கு</t>
  </si>
  <si>
    <t>support_create_form_to</t>
  </si>
  <si>
    <t>வரை</t>
  </si>
  <si>
    <t>support_create_form_trip_details</t>
  </si>
  <si>
    <t>பயண விவரங்கள்</t>
  </si>
  <si>
    <t>support_create_form_trip_related</t>
  </si>
  <si>
    <t>பயணம் தொடர்பானது</t>
  </si>
  <si>
    <t>support_section</t>
  </si>
  <si>
    <t>Support Section</t>
  </si>
  <si>
    <t>ஆதரவு பிரிவு</t>
  </si>
  <si>
    <t>swipe_to_logout</t>
  </si>
  <si>
    <t>SWIPE TO LOGOUT</t>
  </si>
  <si>
    <t>வெளியேற ஸ்வைப் செய்யவும்</t>
  </si>
  <si>
    <t>tap_app_name</t>
  </si>
  <si>
    <t>Tap on our app name</t>
  </si>
  <si>
    <t>எங்கள் பயன்பாட்டின் பெயரைத் தட்டவும் (Tap on our app name)</t>
  </si>
  <si>
    <t>tap_location</t>
  </si>
  <si>
    <t>Tap Location</t>
  </si>
  <si>
    <t>இருப்பிடத்தைத் தட்டவும் (Tap Location)</t>
  </si>
  <si>
    <t>tap_permissions</t>
  </si>
  <si>
    <t>Tap Permissions</t>
  </si>
  <si>
    <t>அனுமதிகளைத் தட்டவும் (Tap Permissions)</t>
  </si>
  <si>
    <t>tax</t>
  </si>
  <si>
    <t>Tax</t>
  </si>
  <si>
    <t>வரி</t>
  </si>
  <si>
    <t>test_screen</t>
  </si>
  <si>
    <t>Test Screen</t>
  </si>
  <si>
    <t>சோதனைத் திரை</t>
  </si>
  <si>
    <t>thank_you</t>
  </si>
  <si>
    <t>Thank You</t>
  </si>
  <si>
    <t>நன்றி</t>
  </si>
  <si>
    <t>this_year</t>
  </si>
  <si>
    <t>This Year</t>
  </si>
  <si>
    <t>இந்த ஆண்டு</t>
  </si>
  <si>
    <t>ticket_created_successfully</t>
  </si>
  <si>
    <t>Ticket created successfully!</t>
  </si>
  <si>
    <t>டிக்கெட் வெற்றிகரமாக உருவாக்கப்பட்டது!</t>
  </si>
  <si>
    <t>ticket_not_found</t>
  </si>
  <si>
    <t>Ticket not found</t>
  </si>
  <si>
    <t>டிக்கெட் கிடைக்கவில்லை</t>
  </si>
  <si>
    <t>time_fare</t>
  </si>
  <si>
    <t>Time Fare</t>
  </si>
  <si>
    <t>நேரக் கட்டணம்</t>
  </si>
  <si>
    <t>to_driver</t>
  </si>
  <si>
    <t>to driver</t>
  </si>
  <si>
    <t>டிரைவருக்கு</t>
  </si>
  <si>
    <t>total_fare</t>
  </si>
  <si>
    <t>Total Fare</t>
  </si>
  <si>
    <t>மொத்த கட்டணம்</t>
  </si>
  <si>
    <t>total_payable</t>
  </si>
  <si>
    <t>Total Payable</t>
  </si>
  <si>
    <t>total_spend</t>
  </si>
  <si>
    <t>Total Spend</t>
  </si>
  <si>
    <t>மொத்த செலவு</t>
  </si>
  <si>
    <t>track_your_ride</t>
  </si>
  <si>
    <t>Track Your Ride</t>
  </si>
  <si>
    <t>உங்கள் சவாரியைக் கண்காணிக்கவும்</t>
  </si>
  <si>
    <t>track_your_ride_description</t>
  </si>
  <si>
    <t>Watch your driver's arrival in real-time and stay updated with their location. No more guessing when your ride will arrive.</t>
  </si>
  <si>
    <t>உங்கள் ஓட்டுநரின் வருகையை நிகழ்நேரத்தில் பார்த்து, அவர்களின் இருப்பிடத்தைப் பற்றி தொடர்ந்து தெரிந்துகொள்ளுங்கள். உங்கள் சவாரி எப்போது வரும் என்று இனி யூகிக்க வேண்டாம்.</t>
  </si>
  <si>
    <t>transaction_id</t>
  </si>
  <si>
    <t>Transaction ID</t>
  </si>
  <si>
    <t>பரிவர்த்தனை ஐடி</t>
  </si>
  <si>
    <t>trip_charge</t>
  </si>
  <si>
    <t>Trip Charge</t>
  </si>
  <si>
    <t>பயணக் கட்டணம்</t>
  </si>
  <si>
    <t>trip_distance_exceeded_generic</t>
  </si>
  <si>
    <t>{vehicleName} exceeds its maximum allowed trip distance. Please select a different vehicle or reduce the trip distance.</t>
  </si>
  <si>
    <t>{vehicleName} அனுமதிக்கப்பட்ட அதிகபட்ச பயண தூரத்தை மீறுகிறது. தயவு செய்து வேறு வாகனத்தைத் தேர்வுசெய்யவும் அல்லது பயணத் தூரத்தை குறைக்கவும்.</t>
  </si>
  <si>
    <t>trip_distance_exceeded_title</t>
  </si>
  <si>
    <t>Trip Distance Exceeded</t>
  </si>
  <si>
    <t>பயண தூரம் மீறப்பட்டது</t>
  </si>
  <si>
    <t>trip_distance_exceeded_with_limit</t>
  </si>
  <si>
    <t>{vehicleName} max distance is {maxKm} km. Please select a different vehicle or plan a trip less than {maxKm} km.</t>
  </si>
  <si>
    <t>{vehicleName} அதிகபட்ச தூரம் {maxKm} கி.மீ. தயவு செய்து வேறு வாகனத்தைத் தேர்வுசெய்யவும் அல்லது {maxKm} கி.மீ-க்கும் குறைவாக பயணத்தை திட்டமிடவும்.</t>
  </si>
  <si>
    <t>trip_distance_too_short</t>
  </si>
  <si>
    <t>The trip distance is too short. Minimum allowed distance is {minDistance} meters.</t>
  </si>
  <si>
    <t>பயண தூரம் மிகவும் குறைவு. குறைந்தபட்ச அனுமதிக்கப்பட்ட தூரம் {minDistance} மீட்டர்.</t>
  </si>
  <si>
    <t>trip_distance_too_short_title</t>
  </si>
  <si>
    <t>Trip Distance Too Short</t>
  </si>
  <si>
    <t>பயண தூரம் மிகவும் குறைவு</t>
  </si>
  <si>
    <t>trip_fare</t>
  </si>
  <si>
    <t>பயண கட்டணம்</t>
  </si>
  <si>
    <t>trip_for</t>
  </si>
  <si>
    <t>Trip For</t>
  </si>
  <si>
    <t>பயணம்</t>
  </si>
  <si>
    <t>trip_meta_info</t>
  </si>
  <si>
    <t>Trip Meta Info</t>
  </si>
  <si>
    <t>பயண மெட்டா தகவல்</t>
  </si>
  <si>
    <t>trip_stats</t>
  </si>
  <si>
    <t>Trip Stats</t>
  </si>
  <si>
    <t>பயண புள்ளிவிவரங்கள்</t>
  </si>
  <si>
    <t>trip_status</t>
  </si>
  <si>
    <t>Trip Status</t>
  </si>
  <si>
    <t>பயண நிலை</t>
  </si>
  <si>
    <t>trip_stopped_midway</t>
  </si>
  <si>
    <t>Trip stopped midway</t>
  </si>
  <si>
    <t>பயணம் நடுவில் நிறுத்தப்பட்டது</t>
  </si>
  <si>
    <t>try_adjusting_search</t>
  </si>
  <si>
    <t>உங்கள் தேடல் சொற்களை சரிசெய்ய முயற்சிக்கவும்</t>
  </si>
  <si>
    <t>try_again_later</t>
  </si>
  <si>
    <t>Please try again later</t>
  </si>
  <si>
    <t>பின்னர் மீண்டும் முயற்சிக்கவும்</t>
  </si>
  <si>
    <t>try_different_name_or_number</t>
  </si>
  <si>
    <t>Try a different name or number</t>
  </si>
  <si>
    <t>வேறு பெயர் அல்லது எண்ணை முயற்சி செய்க</t>
  </si>
  <si>
    <t>type_your_message</t>
  </si>
  <si>
    <t>Type your message...</t>
  </si>
  <si>
    <t>உங்கள் செய்தியை உள்ளிடவும்...</t>
  </si>
  <si>
    <t>unable_to_find_driver</t>
  </si>
  <si>
    <t>Unable to find a driver at the moment. Please try again.</t>
  </si>
  <si>
    <t>தற்போது டிரைவரைக் கண்டுபிடிக்க முடியவில்லை. மீண்டும் முயற்சிக்கவும்.</t>
  </si>
  <si>
    <t>unexpected_error_occurred</t>
  </si>
  <si>
    <t>An unexpected error occurred. Please try again.</t>
  </si>
  <si>
    <t>எதிர்பாராத பிழை ஏற்பட்டது. தயவுசெய்து மீண்டும் முயற்சிக்கவும்.</t>
  </si>
  <si>
    <t>unexpected_route_or_detour</t>
  </si>
  <si>
    <t>Unexpected route or detour</t>
  </si>
  <si>
    <t>எதிர்பாராத பாதை அல்லது வளைவு</t>
  </si>
  <si>
    <t>unknown_address</t>
  </si>
  <si>
    <t>Unknown Address</t>
  </si>
  <si>
    <t>தெரியாத முகவரி</t>
  </si>
  <si>
    <t>upcoming_rides</t>
  </si>
  <si>
    <t>Upcoming Rides</t>
  </si>
  <si>
    <t>வரவிருக்கும் சவாரிகள்</t>
  </si>
  <si>
    <t>update_place</t>
  </si>
  <si>
    <t>UPDATE PLACE</t>
  </si>
  <si>
    <t>இடத்தைப் புதுப்பிக்கவும்</t>
  </si>
  <si>
    <t>updated_fare_details</t>
  </si>
  <si>
    <t>Updated Fare Details</t>
  </si>
  <si>
    <t>புதுப்பிக்கப்பட்ட கட்டண விவரங்கள்</t>
  </si>
  <si>
    <t>updated_successfully</t>
  </si>
  <si>
    <t>Updated Successfully</t>
  </si>
  <si>
    <t>upi</t>
  </si>
  <si>
    <t>UPI</t>
  </si>
  <si>
    <t>user_details</t>
  </si>
  <si>
    <t>User Details</t>
  </si>
  <si>
    <t>பயனர் விவரங்கள்</t>
  </si>
  <si>
    <t>user_details_not_available</t>
  </si>
  <si>
    <t>User details not available</t>
  </si>
  <si>
    <t>பயனர் விவரங்கள் கிடைக்கவில்லை</t>
  </si>
  <si>
    <t>user_email_placeholder</t>
  </si>
  <si>
    <t>user@xyz.com</t>
  </si>
  <si>
    <t>vehicle_info</t>
  </si>
  <si>
    <t>Vehicle Info</t>
  </si>
  <si>
    <t>வாகனத் தகவல்</t>
  </si>
  <si>
    <t>vehicle_is_not_clean_or_safe</t>
  </si>
  <si>
    <t>Vehicle is not clean or safe</t>
  </si>
  <si>
    <t>வாகனம் சுத்தமாக அல்லது பாதுகாப்பாக இல்லை</t>
  </si>
  <si>
    <t>vehicle_number</t>
  </si>
  <si>
    <t>Vehicle Number</t>
  </si>
  <si>
    <t>வாகன எண்</t>
  </si>
  <si>
    <t>vehicle_selection_required</t>
  </si>
  <si>
    <t>Vehicle selection is required</t>
  </si>
  <si>
    <t>வாகனம் தேர்வு தேவை</t>
  </si>
  <si>
    <t>verification_failed</t>
  </si>
  <si>
    <t>Verification Failed</t>
  </si>
  <si>
    <t>சரிபார்ப்பு தோல்வியுற்றது</t>
  </si>
  <si>
    <t>view_receipt</t>
  </si>
  <si>
    <t>View Receipt</t>
  </si>
  <si>
    <t>ரசீதைப் பார்வையிடவும்</t>
  </si>
  <si>
    <t>wait_time</t>
  </si>
  <si>
    <t>Wait Time</t>
  </si>
  <si>
    <t>காத்திருக்கும் நேரம்</t>
  </si>
  <si>
    <t>wait_time_charges</t>
  </si>
  <si>
    <t>Wait Time Charges</t>
  </si>
  <si>
    <t>காத்திருப்பு நேரக் கட்டணங்கள்</t>
  </si>
  <si>
    <t>wait_time_charges_info</t>
  </si>
  <si>
    <t xml:space="preserve"> First {defaultwaitingTime} minutes: Free
Additional time: ₹{waitingTimeChargesPerMinute} per minute
 Maximum wait time: {maxwaitingTime} minutes</t>
  </si>
  <si>
    <t xml:space="preserve"> முதல் {defaultwaitingTime} நிமிடங்கள்: இலவசம்
 கூடுதல் நேரம்: நிமிடத்திற்கு ₹{waitingTimeChargesPerMinute}
 அதிகபட்ச காத்திருப்பு நேரம்: {maxwaitingTime} நிமிடங்கள்</t>
  </si>
  <si>
    <t>wait_time_info</t>
  </si>
  <si>
    <t>Add wait time if driver needs to wait above {defaultwaitingTime} minutes for accurate fare.</t>
  </si>
  <si>
    <t>துல்லியமான கட்டணத்திற்கு இயக்கி {defaultwaitingTime} நிமிடங்களுக்கு மேல் காத்திருக்க வேண்டுமானால், காத்திருப்பு நேரத்தைச் சேர்க்கவும்.</t>
  </si>
  <si>
    <t>waiting_for_driver_approval</t>
  </si>
  <si>
    <t>Waiting for driver approval</t>
  </si>
  <si>
    <t>ஓட்டுநரின் ஒப்புதலுக்காகக் காத்திருக்கிறது</t>
  </si>
  <si>
    <t>warning</t>
  </si>
  <si>
    <t>Warning</t>
  </si>
  <si>
    <t>week</t>
  </si>
  <si>
    <t>This Week</t>
  </si>
  <si>
    <t>வாரம்</t>
  </si>
  <si>
    <t>welcome_and_earn_money</t>
  </si>
  <si>
    <t>Welcome</t>
  </si>
  <si>
    <t>&amp; பணம் சம்பாதிக்கவும்</t>
  </si>
  <si>
    <t>welcome_became_a_driver</t>
  </si>
  <si>
    <t>ஆகிவிட்டார்</t>
  </si>
  <si>
    <t>welcome_become_a</t>
  </si>
  <si>
    <t>welcome</t>
  </si>
  <si>
    <t>ஆகவும்</t>
  </si>
  <si>
    <t>welcome_continue_as</t>
  </si>
  <si>
    <t>தொடர</t>
  </si>
  <si>
    <t>welcome_customer</t>
  </si>
  <si>
    <t>பயணியாக</t>
  </si>
  <si>
    <t>welcome_driver</t>
  </si>
  <si>
    <t>ஓட்டுநர்</t>
  </si>
  <si>
    <t>welcome_driver_ta_full</t>
  </si>
  <si>
    <t>ஓட்டுநராக வேண்டுமா ?</t>
  </si>
  <si>
    <t>welcome_subtitle</t>
  </si>
  <si>
    <t>தொடர எப்படி விரும்புகிறீர்கள் என்பதைத் தேர்ந்தெடுக்கவும்.</t>
  </si>
  <si>
    <t>welcome_title</t>
  </si>
  <si>
    <t>நம்ம ஊரு டாக்ஸிக்கு வரவேற்கிறோம்</t>
  </si>
  <si>
    <t>whats_your_email_address</t>
  </si>
  <si>
    <t>What's your Email Address</t>
  </si>
  <si>
    <t>உங்கள் மின்னஞ்சல் முகவரி என்ன</t>
  </si>
  <si>
    <t>whats_your_gender</t>
  </si>
  <si>
    <t>What's your Gender</t>
  </si>
  <si>
    <t>உங்கள் பாலினம் என்ன</t>
  </si>
  <si>
    <t>where_do_you_want_to_go</t>
  </si>
  <si>
    <t>Where do you want to go?</t>
  </si>
  <si>
    <t>நீங்கள் எங்கு செல்ல விரும்புகிறீர்கள்?</t>
  </si>
  <si>
    <t>why_are_you_cancelling_the_trip</t>
  </si>
  <si>
    <t>Why are you cancelling the trip?</t>
  </si>
  <si>
    <t>ஏன் பயணத்தை ரத்து செய்கிறீர்கள்?</t>
  </si>
  <si>
    <t>work</t>
  </si>
  <si>
    <t>Work</t>
  </si>
  <si>
    <t>வேலை</t>
  </si>
  <si>
    <t>you_are_paying_via_razorpay</t>
  </si>
  <si>
    <t>You are paying via Razorpay</t>
  </si>
  <si>
    <t>your_driver_will_arrive_in</t>
  </si>
  <si>
    <t>Your driver will arrive in</t>
  </si>
  <si>
    <t>உங்கள் டிரைவர் வருகை</t>
  </si>
  <si>
    <t>your_feedback_will_help_us_improving_driving_experience_better</t>
  </si>
  <si>
    <t>Your feedback will help us improving driving experience better</t>
  </si>
  <si>
    <t>ஓட்டுநர் அனுபவத்தை மேம்படுத்த உங்கள் கருத்து எங்களுக்கு உதவும்</t>
  </si>
  <si>
    <t>your_location</t>
  </si>
  <si>
    <t>Your Location</t>
  </si>
  <si>
    <t>உங்கள் இருப்பிடம்</t>
  </si>
  <si>
    <t>your_name</t>
  </si>
  <si>
    <t>Your name</t>
  </si>
  <si>
    <t>உங்கள் பெயர்</t>
  </si>
  <si>
    <t>your_recent_searches_will_appear_here</t>
  </si>
  <si>
    <t>Your recent searches will appear here</t>
  </si>
  <si>
    <t>உங்கள் சமீபத்திய தேடல்கள் இங்கே தோன்றும்</t>
  </si>
  <si>
    <t>your_ride_has_been_booked_successfully</t>
  </si>
  <si>
    <t>Your ride has been booked successfully!</t>
  </si>
  <si>
    <t>உங்கள் பயணம் முன்பதிவு செய்தது</t>
  </si>
  <si>
    <t>your_ride_is_cancelled_inbetween_ride</t>
  </si>
  <si>
    <t>Your ride is cancelled inbetween ride</t>
  </si>
  <si>
    <t>சவாரிக்கு இடையில் உங்கள் சவாரி ரத்து செய்யப்பட்டது</t>
  </si>
  <si>
    <t>your_ride_is_completed</t>
  </si>
  <si>
    <t>Your ride is completed.</t>
  </si>
  <si>
    <t>உங்கள் சவாரி முடிந்தது.</t>
  </si>
  <si>
    <t>your_rides</t>
  </si>
  <si>
    <t>Your Rides</t>
  </si>
  <si>
    <t>உங்கள் சவாரிகள்</t>
  </si>
  <si>
    <t>driver_details</t>
  </si>
  <si>
    <t>Driver Details</t>
  </si>
  <si>
    <t>vehicle_details</t>
  </si>
  <si>
    <t>Vehicle Details</t>
  </si>
  <si>
    <t>bank_details</t>
  </si>
  <si>
    <t>Bank Details</t>
  </si>
  <si>
    <t>document_center</t>
  </si>
  <si>
    <t>Document Center</t>
  </si>
  <si>
    <t>document_center_subtitle</t>
  </si>
  <si>
    <t>Finish these steps so you can start accepting rides</t>
  </si>
  <si>
    <t>valid_phone</t>
  </si>
  <si>
    <t>Please Enter Valid Phone</t>
  </si>
  <si>
    <t>license_number_detected</t>
  </si>
  <si>
    <t>License number detected and filled automatically.</t>
  </si>
  <si>
    <t>dob_detected_auto_filled</t>
  </si>
  <si>
    <t>Date of birth detected and filled automatically.</t>
  </si>
  <si>
    <t>license_details_not_detected</t>
  </si>
  <si>
    <t>Couldn’t detect licence details. Update the fields manually.</t>
  </si>
  <si>
    <t>please_enter_dob</t>
  </si>
  <si>
    <t>Please enter date of birth</t>
  </si>
  <si>
    <t>please_upload_driver_photo</t>
  </si>
  <si>
    <t>Upload the driver photo before proceeding.</t>
  </si>
  <si>
    <t>please_upload_license_document</t>
  </si>
  <si>
    <t>Upload the driving license before proceeding.</t>
  </si>
  <si>
    <t>driver_photo_helper</t>
  </si>
  <si>
    <t>Upload or capture a clear recent photo of the driver.</t>
  </si>
  <si>
    <t>editing_disabled</t>
  </si>
  <si>
    <t>Editing is disabled in this mode.</t>
  </si>
  <si>
    <t>prefer_not_to_say</t>
  </si>
  <si>
    <t>Prefer not to say</t>
  </si>
  <si>
    <t>vehicle_registration_certificate</t>
  </si>
  <si>
    <t>Vehicle RC</t>
  </si>
  <si>
    <t>vehicle_rc_scan_helper</t>
  </si>
  <si>
    <t>Upload or capture the vehicle RC to detect the registration number automatically</t>
  </si>
  <si>
    <t>upload_vehicle_rc</t>
  </si>
  <si>
    <t>Upload or capture vehicle RC</t>
  </si>
  <si>
    <t>aadhaar_card</t>
  </si>
  <si>
    <t>Aadhaar Card</t>
  </si>
  <si>
    <t>details_detected_review</t>
  </si>
  <si>
    <t>Details detected automatically. Review before submitting.</t>
  </si>
  <si>
    <t>details_not_detected_update_manual</t>
  </si>
  <si>
    <t>Could not extract Aadhaar number. Update the field manually.</t>
  </si>
  <si>
    <t>document_upload_in_progress</t>
  </si>
  <si>
    <t>Uploading document. Please wait…</t>
  </si>
  <si>
    <t>document_ready_to_upload</t>
  </si>
  <si>
    <t>Document ready. Tap Upload to send.</t>
  </si>
  <si>
    <t>proof_documents_info</t>
  </si>
  <si>
    <t>Update either Aadhaar or PAN. Provide at least one valid document.</t>
  </si>
  <si>
    <t>please_select_gender</t>
  </si>
  <si>
    <t>Please Select Gender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</si>
</sst>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4.0"/>
      <color theme="1"/>
      <name val="Arial"/>
    </font>
    <font>
      <color theme="1"/>
      <name val="Arial"/>
    </font>
    <font>
      <color theme="1"/>
      <name val="Arial"/>
      <scheme val="minor"/>
    </font>
    <font>
      <sz val="10.0"/>
      <color rgb="FF000000"/>
      <name val="Arial"/>
    </font>
    <font>
      <sz val="11.0"/>
      <color theme="1"/>
      <name val="Arial"/>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Alignment="1" applyFont="1">
      <alignment horizontal="center" shrinkToFit="0" wrapText="1"/>
    </xf>
    <xf borderId="0" fillId="2" fontId="1" numFmtId="0" xfId="0" applyAlignment="1" applyFont="1">
      <alignment horizontal="center" readingOrder="0" shrinkToFit="0" wrapText="1"/>
    </xf>
    <xf borderId="0" fillId="0" fontId="2" numFmtId="0" xfId="0" applyAlignment="1" applyFont="1">
      <alignment shrinkToFit="0" vertical="bottom" wrapText="1"/>
    </xf>
    <xf borderId="0" fillId="0" fontId="2" numFmtId="0" xfId="0" applyAlignment="1" applyFont="1">
      <alignment horizontal="center" shrinkToFit="0" wrapText="1"/>
    </xf>
    <xf borderId="0" fillId="0" fontId="2" numFmtId="0" xfId="0" applyAlignment="1" applyFont="1">
      <alignment horizontal="center" shrinkToFit="0" vertical="bottom" wrapText="1"/>
    </xf>
    <xf borderId="0" fillId="0" fontId="3" numFmtId="0" xfId="0" applyFont="1"/>
    <xf borderId="0" fillId="0" fontId="2" numFmtId="0" xfId="0" applyAlignment="1" applyFont="1">
      <alignment shrinkToFit="0" wrapText="1"/>
    </xf>
    <xf borderId="0" fillId="0" fontId="2"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horizontal="center" readingOrder="0" shrinkToFit="0" wrapText="1"/>
    </xf>
    <xf borderId="0" fillId="3" fontId="4" numFmtId="0" xfId="0" applyAlignment="1" applyFill="1" applyFont="1">
      <alignment readingOrder="0"/>
    </xf>
    <xf borderId="0" fillId="0" fontId="3" numFmtId="0" xfId="0" applyAlignment="1" applyFont="1">
      <alignment readingOrder="0"/>
    </xf>
    <xf borderId="0" fillId="0" fontId="2" numFmtId="0" xfId="0" applyAlignment="1" applyFont="1">
      <alignment horizontal="center" readingOrder="0" shrinkToFit="0" vertical="bottom" wrapText="1"/>
    </xf>
    <xf borderId="0" fillId="3" fontId="5" numFmtId="0" xfId="0" applyAlignment="1" applyFont="1">
      <alignment shrinkToFit="0" vertical="bottom" wrapText="1"/>
    </xf>
    <xf borderId="0" fillId="0" fontId="2" numFmtId="0" xfId="0" applyAlignment="1" applyFont="1">
      <alignment horizontal="center"/>
    </xf>
    <xf borderId="0" fillId="0" fontId="3" numFmtId="0" xfId="0" applyAlignment="1" applyFont="1">
      <alignment horizontal="center"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horizontal="center" readingOrder="0"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customWidth="1" min="2" max="2" width="52.63"/>
    <col customWidth="1" min="3" max="3" width="54.88"/>
    <col customWidth="1" min="4" max="4" width="60.88"/>
    <col customWidth="1" min="5" max="5" width="54.88"/>
    <col customWidth="1" min="6" max="6" width="38.13"/>
    <col customWidth="1" min="7" max="7" width="44.63"/>
  </cols>
  <sheetData>
    <row r="1">
      <c r="A1" s="1" t="s">
        <v>0</v>
      </c>
      <c r="B1" s="2" t="s">
        <v>1</v>
      </c>
      <c r="C1" s="2" t="s">
        <v>2</v>
      </c>
      <c r="D1" s="3" t="s">
        <v>3</v>
      </c>
      <c r="E1" s="3" t="s">
        <v>4</v>
      </c>
      <c r="F1" s="3" t="s">
        <v>5</v>
      </c>
      <c r="G1" s="3" t="s">
        <v>6</v>
      </c>
    </row>
    <row r="2">
      <c r="A2" s="4" t="s">
        <v>7</v>
      </c>
      <c r="B2" s="5" t="s">
        <v>8</v>
      </c>
      <c r="C2" s="6" t="str">
        <f>IFERROR(__xludf.DUMMYFUNCTION("GOOGLETRANSLATE(B2, ""en"", ""ta"")"),"உங்கள் வாடிக்கையாளர்களிடம் பணிவாகப் பேசுங்கள். அவர்கள் எங்கு செல்ல விரும்புகிறார்கள் என்பதையும், பயணத்திற்கான நியாயமான விலை என்ன என்பதையும் கேளுங்கள்.")</f>
        <v>உங்கள் வாடிக்கையாளர்களிடம் பணிவாகப் பேசுங்கள். அவர்கள் எங்கு செல்ல விரும்புகிறார்கள் என்பதையும், பயணத்திற்கான நியாயமான விலை என்ன என்பதையும் கேளுங்கள்.</v>
      </c>
      <c r="D2" s="6" t="str">
        <f>IFERROR(__xludf.DUMMYFUNCTION("GOOGLETRANSLATE(B2, ""en"", ""hi"")"),"अपने ग्राहकों से विनम्रतापूर्वक बात करें। उनसे पूछें कि वे कहाँ जाना चाहते हैं और यात्रा का उचित किराया क्या होगा।")</f>
        <v>अपने ग्राहकों से विनम्रतापूर्वक बात करें। उनसे पूछें कि वे कहाँ जाना चाहते हैं और यात्रा का उचित किराया क्या होगा।</v>
      </c>
      <c r="E2" s="6" t="str">
        <f>IFERROR(__xludf.DUMMYFUNCTION("GOOGLETRANSLATE(B2, ""en"", ""kn"")"),"ನಿಮ್ಮ ಗ್ರಾಹಕರೊಂದಿಗೆ ಸೌಜನ್ಯದಿಂದ ಮಾತನಾಡಿ. ಅವರು ಎಲ್ಲಿಗೆ ಹೋಗಬೇಕೆಂದು ಬಯಸುತ್ತಾರೆ ಮತ್ತು ಪ್ರವಾಸಕ್ಕೆ ಸಮಂಜಸವಾದ ಬೆಲೆಯನ್ನು ಕೇಳಿ.")</f>
        <v>ನಿಮ್ಮ ಗ್ರಾಹಕರೊಂದಿಗೆ ಸೌಜನ್ಯದಿಂದ ಮಾತನಾಡಿ. ಅವರು ಎಲ್ಲಿಗೆ ಹೋಗಬೇಕೆಂದು ಬಯಸುತ್ತಾರೆ ಮತ್ತು ಪ್ರವಾಸಕ್ಕೆ ಸಮಂಜಸವಾದ ಬೆಲೆಯನ್ನು ಕೇಳಿ.</v>
      </c>
      <c r="F2" s="7" t="str">
        <f>IFERROR(__xludf.DUMMYFUNCTION("GOOGLETRANSLATE(B2, ""en"", ""ml"")"),"നിങ്ങളുടെ ഉപഭോക്താക്കളോട് മാന്യമായി സംസാരിക്കുക. അവർ പോകാൻ ആഗ്രഹിക്കുന്ന സ്ഥലം ഏതെന്നും യാത്രയുടെ ന്യായമായ വില എത്രയാണെന്നും ചോദിക്കുക.")</f>
        <v>നിങ്ങളുടെ ഉപഭോക്താക്കളോട് മാന്യമായി സംസാരിക്കുക. അവർ പോകാൻ ആഗ്രഹിക്കുന്ന സ്ഥലം ഏതെന്നും യാത്രയുടെ ന്യായമായ വില എത്രയാണെന്നും ചോദിക്കുക.</v>
      </c>
      <c r="G2" s="7" t="str">
        <f>IFERROR(__xludf.DUMMYFUNCTION("GOOGLETRANSLATE(B2, ""en"", ""te"")"),"మీ కస్టమర్లతో మర్యాదగా మాట్లాడండి. వారు ఎక్కడికి వెళ్లాలనుకుంటున్నారో మరియు ప్రయాణానికి సరసమైన ధర ఎంత అని అడగండి.")</f>
        <v>మీ కస్టమర్లతో మర్యాదగా మాట్లాడండి. వారు ఎక్కడికి వెళ్లాలనుకుంటున్నారో మరియు ప్రయాణానికి సరసమైన ధర ఎంత అని అడగండి.</v>
      </c>
    </row>
    <row r="3">
      <c r="A3" s="4" t="s">
        <v>9</v>
      </c>
      <c r="B3" s="5" t="s">
        <v>10</v>
      </c>
      <c r="C3" s="6" t="str">
        <f>IFERROR(__xludf.DUMMYFUNCTION("GOOGLETRANSLATE(B3, ""en"", ""ta"")"),"எங்கள் நம்ம ஊரு டாக்ஸி® செயலி மூலம் அந்த நபர் அழைக்கிறாரா என்று வாடிக்கையாளரிடம் கேட்கலாம்.")</f>
        <v>எங்கள் நம்ம ஊரு டாக்ஸி® செயலி மூலம் அந்த நபர் அழைக்கிறாரா என்று வாடிக்கையாளரிடம் கேட்கலாம்.</v>
      </c>
      <c r="D3" s="6" t="str">
        <f>IFERROR(__xludf.DUMMYFUNCTION("GOOGLETRANSLATE(B3, ""en"", ""hi"")"),"आप ग्राहक से पूछ सकते हैं कि क्या वह हमारे ऐप Namma Ooru Taxi ® के माध्यम से कॉल कर रहा है।")</f>
        <v>आप ग्राहक से पूछ सकते हैं कि क्या वह हमारे ऐप Namma Ooru Taxi ® के माध्यम से कॉल कर रहा है।</v>
      </c>
      <c r="E3" s="6" t="str">
        <f>IFERROR(__xludf.DUMMYFUNCTION("GOOGLETRANSLATE(B3, ""en"", ""kn"")"),"ನಮ್ಮ ನಮ್ಮ ಊರು ಟ್ಯಾಕ್ಸಿ® ಆ್ಯಪ್ ಮೂಲಕ ಗ್ರಾಹಕರು ಕರೆ ಮಾಡುತ್ತಿದ್ದಾರೆಯೇ ಎಂದು ನೀವು ಕೇಳಬಹುದು.")</f>
        <v>ನಮ್ಮ ನಮ್ಮ ಊರು ಟ್ಯಾಕ್ಸಿ® ಆ್ಯಪ್ ಮೂಲಕ ಗ್ರಾಹಕರು ಕರೆ ಮಾಡುತ್ತಿದ್ದಾರೆಯೇ ಎಂದು ನೀವು ಕೇಳಬಹುದು.</v>
      </c>
      <c r="F3" s="7" t="str">
        <f>IFERROR(__xludf.DUMMYFUNCTION("GOOGLETRANSLATE(B3, ""en"", ""ml"")"),"ഞങ്ങളുടെ നമ്മ ഊരു ടാക്സി® ആപ്പ് വഴി ആ വ്യക്തി വിളിക്കുന്നുണ്ടോ എന്ന് നിങ്ങൾക്ക് ഉപഭോക്താവിനോട് ചോദിക്കാം.")</f>
        <v>ഞങ്ങളുടെ നമ്മ ഊരു ടാക്സി® ആപ്പ് വഴി ആ വ്യക്തി വിളിക്കുന്നുണ്ടോ എന്ന് നിങ്ങൾക്ക് ഉപഭോക്താവിനോട് ചോദിക്കാം.</v>
      </c>
      <c r="G3" s="7" t="str">
        <f>IFERROR(__xludf.DUMMYFUNCTION("GOOGLETRANSLATE(B3, ""en"", ""te"")"),"మా నమ్మ ఊరు టాక్సీ® యాప్ ద్వారా ఆ వ్యక్తి కాల్ చేస్తున్నారా అని మీరు కస్టమర్‌ని అడగవచ్చు.")</f>
        <v>మా నమ్మ ఊరు టాక్సీ® యాప్ ద్వారా ఆ వ్యక్తి కాల్ చేస్తున్నారా అని మీరు కస్టమర్‌ని అడగవచ్చు.</v>
      </c>
    </row>
    <row r="4">
      <c r="A4" s="4" t="s">
        <v>11</v>
      </c>
      <c r="B4" s="5" t="s">
        <v>12</v>
      </c>
      <c r="C4" s="6" t="str">
        <f>IFERROR(__xludf.DUMMYFUNCTION("GOOGLETRANSLATE(B4, ""en"", ""ta"")"),"பிக்அப் இடத்தைப் பெற்றுத் தொடங்குங்கள்")</f>
        <v>பிக்அப் இடத்தைப் பெற்றுத் தொடங்குங்கள்</v>
      </c>
      <c r="D4" s="6" t="str">
        <f>IFERROR(__xludf.DUMMYFUNCTION("GOOGLETRANSLATE(B4, ""en"", ""hi"")"),"पिकअप स्थान प्राप्त करें और शुरू करें")</f>
        <v>पिकअप स्थान प्राप्त करें और शुरू करें</v>
      </c>
      <c r="E4" s="6" t="str">
        <f>IFERROR(__xludf.DUMMYFUNCTION("GOOGLETRANSLATE(B4, ""en"", ""kn"")"),"ಪಿಕಪ್ ಸ್ಥಳವನ್ನು ಪಡೆಯಿರಿ ಮತ್ತು ಪ್ರಾರಂಭಿಸಿ")</f>
        <v>ಪಿಕಪ್ ಸ್ಥಳವನ್ನು ಪಡೆಯಿರಿ ಮತ್ತು ಪ್ರಾರಂಭಿಸಿ</v>
      </c>
      <c r="F4" s="7" t="str">
        <f>IFERROR(__xludf.DUMMYFUNCTION("GOOGLETRANSLATE(B4, ""en"", ""ml"")"),"പിക്കപ്പ് ലൊക്കേഷൻ നേടി ആരംഭിക്കുക")</f>
        <v>പിക്കപ്പ് ലൊക്കേഷൻ നേടി ആരംഭിക്കുക</v>
      </c>
      <c r="G4" s="7" t="str">
        <f>IFERROR(__xludf.DUMMYFUNCTION("GOOGLETRANSLATE(B4, ""en"", ""te"")"),"పికప్ లొకేషన్ తీసుకొని ప్రారంభించండి")</f>
        <v>పికప్ లొకేషన్ తీసుకొని ప్రారంభించండి</v>
      </c>
    </row>
    <row r="5">
      <c r="A5" s="4" t="s">
        <v>13</v>
      </c>
      <c r="B5" s="5" t="s">
        <v>14</v>
      </c>
      <c r="C5" s="6" t="str">
        <f>IFERROR(__xludf.DUMMYFUNCTION("GOOGLETRANSLATE(B5, ""en"", ""ta"")"),"உங்கள் கட்டணத்தை பேசி, நம்ம ஊரு டாக்ஸி® செயலியுடன் பிக்-அப் இடத்தைப் பகிர்ந்து கொள்ளச் சொல்லுங்கள். அறிவிப்பு மூலம் பிக்-அப் இடத்தைப் பெற்று, பயணத்தைத் தொடங்க அதை ஏற்றுக்கொள்ளுங்கள்.")</f>
        <v>உங்கள் கட்டணத்தை பேசி, நம்ம ஊரு டாக்ஸி® செயலியுடன் பிக்-அப் இடத்தைப் பகிர்ந்து கொள்ளச் சொல்லுங்கள். அறிவிப்பு மூலம் பிக்-அப் இடத்தைப் பெற்று, பயணத்தைத் தொடங்க அதை ஏற்றுக்கொள்ளுங்கள்.</v>
      </c>
      <c r="D5" s="6" t="str">
        <f>IFERROR(__xludf.DUMMYFUNCTION("GOOGLETRANSLATE(B5, ""en"", ""hi"")"),"किराया तय करें और उनसे Namma Ooru Taxi ® ऐप के ज़रिए पिकअप लोकेशन शेयर करने के लिए कहें। नोटिफिकेशन के ज़रिए पिकअप लोकेशन मिलने पर उसे स्वीकार करके यात्रा शुरू करें।")</f>
        <v>किराया तय करें और उनसे Namma Ooru Taxi ® ऐप के ज़रिए पिकअप लोकेशन शेयर करने के लिए कहें। नोटिफिकेशन के ज़रिए पिकअप लोकेशन मिलने पर उसे स्वीकार करके यात्रा शुरू करें।</v>
      </c>
      <c r="E5" s="6" t="str">
        <f>IFERROR(__xludf.DUMMYFUNCTION("GOOGLETRANSLATE(B5, ""en"", ""kn"")"),"ನಿಮ್ಮ ದರವನ್ನು ಮಾತುಕತೆ ಮಾಡಿ ಮತ್ತು ನಮ್ಮ ಊರು ಟ್ಯಾಕ್ಸಿ® ಅಪ್ಲಿಕೇಶನ್‌ನೊಂದಿಗೆ ಪಿಕಪ್ ಸ್ಥಳವನ್ನು ಹಂಚಿಕೊಳ್ಳಲು ಅವರನ್ನು ಕೇಳಿ. ಅಧಿಸೂಚನೆಯ ಮೂಲಕ ಪಿಕಪ್ ಸ್ಥಳವನ್ನು ಸ್ವೀಕರಿಸಿ ಮತ್ತು ಪ್ರಯಾಣವನ್ನು ಪ್ರಾರಂಭಿಸಲು ಅದನ್ನು ಸ್ವೀಕರಿಸಿ.")</f>
        <v>ನಿಮ್ಮ ದರವನ್ನು ಮಾತುಕತೆ ಮಾಡಿ ಮತ್ತು ನಮ್ಮ ಊರು ಟ್ಯಾಕ್ಸಿ® ಅಪ್ಲಿಕೇಶನ್‌ನೊಂದಿಗೆ ಪಿಕಪ್ ಸ್ಥಳವನ್ನು ಹಂಚಿಕೊಳ್ಳಲು ಅವರನ್ನು ಕೇಳಿ. ಅಧಿಸೂಚನೆಯ ಮೂಲಕ ಪಿಕಪ್ ಸ್ಥಳವನ್ನು ಸ್ವೀಕರಿಸಿ ಮತ್ತು ಪ್ರಯಾಣವನ್ನು ಪ್ರಾರಂಭಿಸಲು ಅದನ್ನು ಸ್ವೀಕರಿಸಿ.</v>
      </c>
      <c r="F5" s="7" t="str">
        <f>IFERROR(__xludf.DUMMYFUNCTION("GOOGLETRANSLATE(B5, ""en"", ""ml"")"),"നിങ്ങളുടെ നിരക്ക് ചർച്ച ചെയ്ത് നമ്മ ഊരു ടാക്സി® ആപ്പുമായി പിക്കപ്പ് ലൊക്കേഷൻ പങ്കിടാൻ ആവശ്യപ്പെടുക. അറിയിപ്പ് വഴി പിക്ക്-അപ്പ് ലൊക്കേഷൻ സ്വീകരിച്ച് യാത്ര ആരംഭിക്കുക.")</f>
        <v>നിങ്ങളുടെ നിരക്ക് ചർച്ച ചെയ്ത് നമ്മ ഊരു ടാക്സി® ആപ്പുമായി പിക്കപ്പ് ലൊക്കേഷൻ പങ്കിടാൻ ആവശ്യപ്പെടുക. അറിയിപ്പ് വഴി പിക്ക്-അപ്പ് ലൊക്കേഷൻ സ്വീകരിച്ച് യാത്ര ആരംഭിക്കുക.</v>
      </c>
      <c r="G5" s="7" t="str">
        <f>IFERROR(__xludf.DUMMYFUNCTION("GOOGLETRANSLATE(B5, ""en"", ""te"")"),"మీ రేటును బేరసారాలు చేసి, నమ్మ ఊరు టాక్సీ® యాప్‌తో పికప్ లొకేషన్‌ను షేర్ చేయమని వారిని అడగండి. నోటిఫికేషన్ ద్వారా పికప్ లొకేషన్‌ను స్వీకరించి, ట్రిప్ ప్రారంభించడానికి దానిని అంగీకరించండి.")</f>
        <v>మీ రేటును బేరసారాలు చేసి, నమ్మ ఊరు టాక్సీ® యాప్‌తో పికప్ లొకేషన్‌ను షేర్ చేయమని వారిని అడగండి. నోటిఫికేషన్ ద్వారా పికప్ లొకేషన్‌ను స్వీకరించి, ట్రిప్ ప్రారంభించడానికి దానిని అంగీకరించండి.</v>
      </c>
    </row>
    <row r="6">
      <c r="A6" s="4" t="s">
        <v>15</v>
      </c>
      <c r="B6" s="5" t="s">
        <v>16</v>
      </c>
      <c r="C6" s="6" t="str">
        <f>IFERROR(__xludf.DUMMYFUNCTION("GOOGLETRANSLATE(B6, ""en"", ""ta"")"),"பயணத்தை உறுதிசெய்து தொடங்க வாடிக்கையாளரைத் தொடர்பு கொண்டதை உறுதிப்படுத்திக் கொள்ளுங்கள்.")</f>
        <v>பயணத்தை உறுதிசெய்து தொடங்க வாடிக்கையாளரைத் தொடர்பு கொண்டதை உறுதிப்படுத்திக் கொள்ளுங்கள்.</v>
      </c>
      <c r="D6" s="6" t="str">
        <f>IFERROR(__xludf.DUMMYFUNCTION("GOOGLETRANSLATE(B6, ""en"", ""hi"")"),"ग्राहक से संपर्क करके यात्रा की पुष्टि अवश्य कर लें और यात्रा शुरू करें।")</f>
        <v>ग्राहक से संपर्क करके यात्रा की पुष्टि अवश्य कर लें और यात्रा शुरू करें।</v>
      </c>
      <c r="E6" s="6" t="str">
        <f>IFERROR(__xludf.DUMMYFUNCTION("GOOGLETRANSLATE(B6, ""en"", ""kn"")"),"ಖಚಿತಪಡಿಸಲು ಮತ್ತು ಪ್ರಯಾಣವನ್ನು ಪ್ರಾರಂಭಿಸಲು ನೀವು ಗ್ರಾಹಕರನ್ನು ಸಂಪರ್ಕಿಸಿದ್ದೀರಿ ಎಂದು ಖಚಿತಪಡಿಸಿಕೊಳ್ಳಿ.")</f>
        <v>ಖಚಿತಪಡಿಸಲು ಮತ್ತು ಪ್ರಯಾಣವನ್ನು ಪ್ರಾರಂಭಿಸಲು ನೀವು ಗ್ರಾಹಕರನ್ನು ಸಂಪರ್ಕಿಸಿದ್ದೀರಿ ಎಂದು ಖಚಿತಪಡಿಸಿಕೊಳ್ಳಿ.</v>
      </c>
      <c r="F6" s="7" t="str">
        <f>IFERROR(__xludf.DUMMYFUNCTION("GOOGLETRANSLATE(B6, ""en"", ""ml"")"),"യാത്ര സ്ഥിരീകരിക്കുന്നതിനും ആരംഭിക്കുന്നതിനും നിങ്ങൾ ഉപഭോക്താവിനെ ബന്ധപ്പെട്ടിട്ടുണ്ടെന്ന് ഉറപ്പാക്കുക.")</f>
        <v>യാത്ര സ്ഥിരീകരിക്കുന്നതിനും ആരംഭിക്കുന്നതിനും നിങ്ങൾ ഉപഭോക്താവിനെ ബന്ധപ്പെട്ടിട്ടുണ്ടെന്ന് ഉറപ്പാക്കുക.</v>
      </c>
      <c r="G6" s="7" t="str">
        <f>IFERROR(__xludf.DUMMYFUNCTION("GOOGLETRANSLATE(B6, ""en"", ""te"")"),"ట్రిప్‌ను నిర్ధారించుకుని ప్రారంభించడానికి మీరు కస్టమర్‌ను సంప్రదించారని నిర్ధారించుకోండి.")</f>
        <v>ట్రిప్‌ను నిర్ధారించుకుని ప్రారంభించడానికి మీరు కస్టమర్‌ను సంప్రదించారని నిర్ధారించుకోండి.</v>
      </c>
    </row>
    <row r="7">
      <c r="A7" s="4" t="s">
        <v>17</v>
      </c>
      <c r="B7" s="5" t="s">
        <v>18</v>
      </c>
      <c r="C7" s="6" t="str">
        <f>IFERROR(__xludf.DUMMYFUNCTION("GOOGLETRANSLATE(B7, ""en"", ""ta"")"),"வாடிக்கையாளரை அழைத்துச் செல்லுங்கள்")</f>
        <v>வாடிக்கையாளரை அழைத்துச் செல்லுங்கள்</v>
      </c>
      <c r="D7" s="6" t="str">
        <f>IFERROR(__xludf.DUMMYFUNCTION("GOOGLETRANSLATE(B7, ""en"", ""hi"")"),"ग्राहक को ले आओ")</f>
        <v>ग्राहक को ले आओ</v>
      </c>
      <c r="E7" s="6" t="str">
        <f>IFERROR(__xludf.DUMMYFUNCTION("GOOGLETRANSLATE(B7, ""en"", ""kn"")"),"ಗ್ರಾಹಕರನ್ನು ಕರೆದುಕೊಂಡು ಹೋಗಿ")</f>
        <v>ಗ್ರಾಹಕರನ್ನು ಕರೆದುಕೊಂಡು ಹೋಗಿ</v>
      </c>
      <c r="F7" s="7" t="str">
        <f>IFERROR(__xludf.DUMMYFUNCTION("GOOGLETRANSLATE(B7, ""en"", ""ml"")"),"ഉപഭോക്താവിനെ എടുക്കുക")</f>
        <v>ഉപഭോക്താവിനെ എടുക്കുക</v>
      </c>
      <c r="G7" s="7" t="str">
        <f>IFERROR(__xludf.DUMMYFUNCTION("GOOGLETRANSLATE(B7, ""en"", ""te"")"),"కస్టమర్‌ను పికప్ చేయండి")</f>
        <v>కస్టమర్‌ను పికప్ చేయండి</v>
      </c>
    </row>
    <row r="8">
      <c r="A8" s="4" t="s">
        <v>19</v>
      </c>
      <c r="B8" s="5" t="s">
        <v>20</v>
      </c>
      <c r="C8" s="6" t="str">
        <f>IFERROR(__xludf.DUMMYFUNCTION("GOOGLETRANSLATE(B8, ""en"", ""ta"")"),"வாடிக்கையாளரை சரியான நேரத்தில் அழைத்துச் செல்லுங்கள். பயன்பாட்டில் சேருமிட இருப்பிடத்தை அமைத்து, பயன்பாட்டு வழிசெலுத்தலைத் தொடங்கவும்.")</f>
        <v>வாடிக்கையாளரை சரியான நேரத்தில் அழைத்துச் செல்லுங்கள். பயன்பாட்டில் சேருமிட இருப்பிடத்தை அமைத்து, பயன்பாட்டு வழிசெலுத்தலைத் தொடங்கவும்.</v>
      </c>
      <c r="D8" s="6" t="str">
        <f>IFERROR(__xludf.DUMMYFUNCTION("GOOGLETRANSLATE(B8, ""en"", ""hi"")"),"ग्राहक को समय पर पिकअप करें। ऐप में गंतव्य स्थान सेट करें और ऐप नेविगेशन शुरू करें।")</f>
        <v>ग्राहक को समय पर पिकअप करें। ऐप में गंतव्य स्थान सेट करें और ऐप नेविगेशन शुरू करें।</v>
      </c>
      <c r="E8" s="6" t="str">
        <f>IFERROR(__xludf.DUMMYFUNCTION("GOOGLETRANSLATE(B8, ""en"", ""kn"")"),"ಗ್ರಾಹಕರನ್ನು ಸಮಯಕ್ಕೆ ಸರಿಯಾಗಿ ಕರೆದುಕೊಂಡು ಹೋಗಿ. ಆ್ಯಪ್‌ನಲ್ಲಿ ಗಮ್ಯಸ್ಥಾನದ ಸ್ಥಳವನ್ನು ಹೊಂದಿಸಿ ಮತ್ತು ಆ್ಯಪ್ ನ್ಯಾವಿಗೇಷನ್ ಪ್ರಾರಂಭಿಸಿ.")</f>
        <v>ಗ್ರಾಹಕರನ್ನು ಸಮಯಕ್ಕೆ ಸರಿಯಾಗಿ ಕರೆದುಕೊಂಡು ಹೋಗಿ. ಆ್ಯಪ್‌ನಲ್ಲಿ ಗಮ್ಯಸ್ಥಾನದ ಸ್ಥಳವನ್ನು ಹೊಂದಿಸಿ ಮತ್ತು ಆ್ಯಪ್ ನ್ಯಾವಿಗೇಷನ್ ಪ್ರಾರಂಭಿಸಿ.</v>
      </c>
      <c r="F8" s="7" t="str">
        <f>IFERROR(__xludf.DUMMYFUNCTION("GOOGLETRANSLATE(B8, ""en"", ""ml"")"),"കൃത്യസമയത്ത് ഉപഭോക്താവിനെ എത്തിക്കുക. ആപ്പിൽ ലക്ഷ്യസ്ഥാനം സജ്ജീകരിച്ച് ആപ്പ് നാവിഗേഷൻ ആരംഭിക്കുക.")</f>
        <v>കൃത്യസമയത്ത് ഉപഭോക്താവിനെ എത്തിക്കുക. ആപ്പിൽ ലക്ഷ്യസ്ഥാനം സജ്ജീകരിച്ച് ആപ്പ് നാവിഗേഷൻ ആരംഭിക്കുക.</v>
      </c>
      <c r="G8" s="7" t="str">
        <f>IFERROR(__xludf.DUMMYFUNCTION("GOOGLETRANSLATE(B8, ""en"", ""te"")"),"కస్టమర్‌ను సమయానికి పికప్ చేసుకోండి. యాప్‌లో గమ్యస్థాన స్థానాన్ని సెట్ చేసి, యాప్ నావిగేషన్‌ను ప్రారంభించండి.")</f>
        <v>కస్టమర్‌ను సమయానికి పికప్ చేసుకోండి. యాప్‌లో గమ్యస్థాన స్థానాన్ని సెట్ చేసి, యాప్ నావిగేషన్‌ను ప్రారంభించండి.</v>
      </c>
    </row>
    <row r="9">
      <c r="A9" s="4" t="s">
        <v>21</v>
      </c>
      <c r="B9" s="5" t="s">
        <v>22</v>
      </c>
      <c r="C9" s="6" t="str">
        <f>IFERROR(__xludf.DUMMYFUNCTION("GOOGLETRANSLATE(B9, ""en"", ""ta"")"),"மதிப்புரைகள் முக்கியம்")</f>
        <v>மதிப்புரைகள் முக்கியம்</v>
      </c>
      <c r="D9" s="6" t="str">
        <f>IFERROR(__xludf.DUMMYFUNCTION("GOOGLETRANSLATE(B9, ""en"", ""hi"")"),"समीक्षाएँ महत्वपूर्ण हैं")</f>
        <v>समीक्षाएँ महत्वपूर्ण हैं</v>
      </c>
      <c r="E9" s="6" t="str">
        <f>IFERROR(__xludf.DUMMYFUNCTION("GOOGLETRANSLATE(B9, ""en"", ""kn"")"),"ವಿಮರ್ಶೆಗಳು ಮುಖ್ಯ")</f>
        <v>ವಿಮರ್ಶೆಗಳು ಮುಖ್ಯ</v>
      </c>
      <c r="F9" s="7" t="str">
        <f>IFERROR(__xludf.DUMMYFUNCTION("GOOGLETRANSLATE(B9, ""en"", ""ml"")"),"അവലോകനങ്ങൾ പ്രധാനമാണ്")</f>
        <v>അവലോകനങ്ങൾ പ്രധാനമാണ്</v>
      </c>
      <c r="G9" s="7" t="str">
        <f>IFERROR(__xludf.DUMMYFUNCTION("GOOGLETRANSLATE(B9, ""en"", ""te"")"),"సమీక్షలు ముఖ్యమైనవి")</f>
        <v>సమీక్షలు ముఖ్యమైనవి</v>
      </c>
    </row>
    <row r="10">
      <c r="A10" s="4" t="s">
        <v>23</v>
      </c>
      <c r="B10" s="5" t="s">
        <v>24</v>
      </c>
      <c r="C10" s="6" t="str">
        <f>IFERROR(__xludf.DUMMYFUNCTION("GOOGLETRANSLATE(B10, ""en"", ""ta"")"),"தெரிவுநிலை மற்றும் அர்ப்பணிப்பை அதிகரிக்கக்கூடிய வாடிக்கையாளரிடமிருந்து நல்ல மதிப்புரைகளைப் பெற முயற்சிக்கவும். வாடிக்கையாளர் உங்கள் நடத்தை, கட்டணம் மற்றும் வாகனத்தின் தூய்மையை மதிப்பீடு செய்வார்.")</f>
        <v>தெரிவுநிலை மற்றும் அர்ப்பணிப்பை அதிகரிக்கக்கூடிய வாடிக்கையாளரிடமிருந்து நல்ல மதிப்புரைகளைப் பெற முயற்சிக்கவும். வாடிக்கையாளர் உங்கள் நடத்தை, கட்டணம் மற்றும் வாகனத்தின் தூய்மையை மதிப்பீடு செய்வார்.</v>
      </c>
      <c r="D10" s="6" t="str">
        <f>IFERROR(__xludf.DUMMYFUNCTION("GOOGLETRANSLATE(B10, ""en"", ""hi"")"),"ग्राहकों से अच्छी समीक्षाएँ प्राप्त करने का प्रयास करें, इससे दृश्यता और प्रतिबद्धता बढ़ सकती है। ग्राहक आपके व्यवहार, शुल्क और वाहन की स्वच्छता का मूल्यांकन करेंगे।")</f>
        <v>ग्राहकों से अच्छी समीक्षाएँ प्राप्त करने का प्रयास करें, इससे दृश्यता और प्रतिबद्धता बढ़ सकती है। ग्राहक आपके व्यवहार, शुल्क और वाहन की स्वच्छता का मूल्यांकन करेंगे।</v>
      </c>
      <c r="E10" s="6" t="str">
        <f>IFERROR(__xludf.DUMMYFUNCTION("GOOGLETRANSLATE(B10, ""en"", ""kn"")"),"ಗ್ರಾಹಕರಿಂದ ಉತ್ತಮ ವಿಮರ್ಶೆಗಳನ್ನು ಪಡೆಯಲು ಪ್ರಯತ್ನಿಸಿ, ಅವರು ಗೋಚರತೆ ಮತ್ತು ಬದ್ಧತೆಯನ್ನು ಹೆಚ್ಚಿಸಬಹುದು. ಗ್ರಾಹಕರು ನಿಮ್ಮ ನಡವಳಿಕೆ, ಸುಂಕ ಮತ್ತು ವಾಹನದ ಶುಚಿತ್ವವನ್ನು ಮೌಲ್ಯಮಾಪನ ಮಾಡುತ್ತಾರೆ.")</f>
        <v>ಗ್ರಾಹಕರಿಂದ ಉತ್ತಮ ವಿಮರ್ಶೆಗಳನ್ನು ಪಡೆಯಲು ಪ್ರಯತ್ನಿಸಿ, ಅವರು ಗೋಚರತೆ ಮತ್ತು ಬದ್ಧತೆಯನ್ನು ಹೆಚ್ಚಿಸಬಹುದು. ಗ್ರಾಹಕರು ನಿಮ್ಮ ನಡವಳಿಕೆ, ಸುಂಕ ಮತ್ತು ವಾಹನದ ಶುಚಿತ್ವವನ್ನು ಮೌಲ್ಯಮಾಪನ ಮಾಡುತ್ತಾರೆ.</v>
      </c>
      <c r="F10" s="7" t="str">
        <f>IFERROR(__xludf.DUMMYFUNCTION("GOOGLETRANSLATE(B10, ""en"", ""ml"")"),"ദൃശ്യപരതയും പ്രതിബദ്ധതയും വർദ്ധിപ്പിക്കാൻ കഴിയുന്ന നല്ല അവലോകനങ്ങൾ ഉപഭോക്താവിൽ നിന്ന് നേടാൻ ശ്രമിക്കുക. ഉപഭോക്താവ് നിങ്ങളുടെ പെരുമാറ്റം, താരിഫ്, വാഹനത്തിന്റെ ശുചിത്വം എന്നിവ വിലയിരുത്തും.")</f>
        <v>ദൃശ്യപരതയും പ്രതിബദ്ധതയും വർദ്ധിപ്പിക്കാൻ കഴിയുന്ന നല്ല അവലോകനങ്ങൾ ഉപഭോക്താവിൽ നിന്ന് നേടാൻ ശ്രമിക്കുക. ഉപഭോക്താവ് നിങ്ങളുടെ പെരുമാറ്റം, താരിഫ്, വാഹനത്തിന്റെ ശുചിത്വം എന്നിവ വിലയിരുത്തും.</v>
      </c>
      <c r="G10" s="7" t="str">
        <f>IFERROR(__xludf.DUMMYFUNCTION("GOOGLETRANSLATE(B10, ""en"", ""te"")"),"దృశ్యమానత మరియు నిబద్ధతను పెంచగల కస్టమర్ నుండి మంచి సమీక్షలను పొందడానికి ప్రయత్నించండి. కస్టమర్ మీ ప్రవర్తన, సుంకం మరియు వాహనం యొక్క శుభ్రతను అంచనా వేస్తారు.")</f>
        <v>దృశ్యమానత మరియు నిబద్ధతను పెంచగల కస్టమర్ నుండి మంచి సమీక్షలను పొందడానికి ప్రయత్నించండి. కస్టమర్ మీ ప్రవర్తన, సుంకం మరియు వాహనం యొక్క శుభ్రతను అంచనా వేస్తారు.</v>
      </c>
    </row>
    <row r="11">
      <c r="A11" s="4" t="s">
        <v>25</v>
      </c>
      <c r="B11" s="5" t="s">
        <v>26</v>
      </c>
      <c r="C11" s="6" t="str">
        <f>IFERROR(__xludf.DUMMYFUNCTION("GOOGLETRANSLATE(B11, ""en"", ""ta"")"),"எங்கள் வாடிக்கையாளர்கள் அழைக்கும்போது அவர்களை அடையாளம் கண்டு, அவர்களுடன் பணிவாகப் பேசுங்கள்.")</f>
        <v>எங்கள் வாடிக்கையாளர்கள் அழைக்கும்போது அவர்களை அடையாளம் கண்டு, அவர்களுடன் பணிவாகப் பேசுங்கள்.</v>
      </c>
      <c r="D11" s="6" t="str">
        <f>IFERROR(__xludf.DUMMYFUNCTION("GOOGLETRANSLATE(B11, ""en"", ""hi"")"),"हमारे ग्राहकों की पहचान करें जब वे कॉल करें और उनसे विनम्रतापूर्वक बात करें")</f>
        <v>हमारे ग्राहकों की पहचान करें जब वे कॉल करें और उनसे विनम्रतापूर्वक बात करें</v>
      </c>
      <c r="E11" s="6" t="str">
        <f>IFERROR(__xludf.DUMMYFUNCTION("GOOGLETRANSLATE(B11, ""en"", ""kn"")"),"ನಮ್ಮ ಗ್ರಾಹಕರು ಕರೆ ಮಾಡುವಾಗ ಅವರನ್ನು ಗುರುತಿಸಿ ಮತ್ತು ಅವರೊಂದಿಗೆ ಸೌಜನ್ಯದಿಂದ ಮಾತನಾಡಿ.")</f>
        <v>ನಮ್ಮ ಗ್ರಾಹಕರು ಕರೆ ಮಾಡುವಾಗ ಅವರನ್ನು ಗುರುತಿಸಿ ಮತ್ತು ಅವರೊಂದಿಗೆ ಸೌಜನ್ಯದಿಂದ ಮಾತನಾಡಿ.</v>
      </c>
      <c r="F11" s="7" t="str">
        <f>IFERROR(__xludf.DUMMYFUNCTION("GOOGLETRANSLATE(B11, ""en"", ""ml"")"),"ഞങ്ങളുടെ ഉപഭോക്താക്കൾ വിളിക്കുമ്പോൾ അവരെ തിരിച്ചറിയുകയും അവരോട് മാന്യമായി സംസാരിക്കുകയും ചെയ്യുക.")</f>
        <v>ഞങ്ങളുടെ ഉപഭോക്താക്കൾ വിളിക്കുമ്പോൾ അവരെ തിരിച്ചറിയുകയും അവരോട് മാന്യമായി സംസാരിക്കുകയും ചെയ്യുക.</v>
      </c>
      <c r="G11" s="7" t="str">
        <f>IFERROR(__xludf.DUMMYFUNCTION("GOOGLETRANSLATE(B11, ""en"", ""te"")"),"మా కస్టమర్లు కాల్ చేసినప్పుడు వారిని గుర్తించండి మరియు వారితో మర్యాదగా మాట్లాడండి.")</f>
        <v>మా కస్టమర్లు కాల్ చేసినప్పుడు వారిని గుర్తించండి మరియు వారితో మర్యాదగా మాట్లాడండి.</v>
      </c>
    </row>
    <row r="12">
      <c r="A12" s="4" t="s">
        <v>27</v>
      </c>
      <c r="B12" s="5" t="s">
        <v>28</v>
      </c>
      <c r="C12" s="6" t="str">
        <f>IFERROR(__xludf.DUMMYFUNCTION("GOOGLETRANSLATE(B12, ""en"", ""ta"")"),"பயணத்தைத் தொடங்குவதற்கு அல்லது ரத்து செய்வதற்கு முன் வாடிக்கையாளரை அழைக்கவும்.")</f>
        <v>பயணத்தைத் தொடங்குவதற்கு அல்லது ரத்து செய்வதற்கு முன் வாடிக்கையாளரை அழைக்கவும்.</v>
      </c>
      <c r="D12" s="6" t="str">
        <f>IFERROR(__xludf.DUMMYFUNCTION("GOOGLETRANSLATE(B12, ""en"", ""hi"")"),"यात्रा शुरू करने या रद्द करने से पहले ग्राहक को कॉल करें")</f>
        <v>यात्रा शुरू करने या रद्द करने से पहले ग्राहक को कॉल करें</v>
      </c>
      <c r="E12" s="6" t="str">
        <f>IFERROR(__xludf.DUMMYFUNCTION("GOOGLETRANSLATE(B12, ""en"", ""kn"")"),"ಪ್ರಯಾಣವನ್ನು ಪ್ರಾರಂಭಿಸುವ ಅಥವಾ ರದ್ದುಗೊಳಿಸುವ ಮೊದಲು ಗ್ರಾಹಕರಿಗೆ ಕರೆ ಮಾಡಿ")</f>
        <v>ಪ್ರಯಾಣವನ್ನು ಪ್ರಾರಂಭಿಸುವ ಅಥವಾ ರದ್ದುಗೊಳಿಸುವ ಮೊದಲು ಗ್ರಾಹಕರಿಗೆ ಕರೆ ಮಾಡಿ</v>
      </c>
      <c r="F12" s="7" t="str">
        <f>IFERROR(__xludf.DUMMYFUNCTION("GOOGLETRANSLATE(B12, ""en"", ""ml"")"),"യാത്ര ആരംഭിക്കുന്നതിനോ റദ്ദാക്കുന്നതിനോ മുമ്പ് ഉപഭോക്താവിനെ വിളിക്കുക.")</f>
        <v>യാത്ര ആരംഭിക്കുന്നതിനോ റദ്ദാക്കുന്നതിനോ മുമ്പ് ഉപഭോക്താവിനെ വിളിക്കുക.</v>
      </c>
      <c r="G12" s="7" t="str">
        <f>IFERROR(__xludf.DUMMYFUNCTION("GOOGLETRANSLATE(B12, ""en"", ""te"")"),"ట్రిప్ ప్రారంభించడానికి లేదా రద్దు చేయడానికి ముందు కస్టమర్‌కు కాల్ చేయండి")</f>
        <v>ట్రిప్ ప్రారంభించడానికి లేదా రద్దు చేయడానికి ముందు కస్టమర్‌కు కాల్ చేయండి</v>
      </c>
    </row>
    <row r="13">
      <c r="A13" s="4" t="s">
        <v>29</v>
      </c>
      <c r="B13" s="5" t="s">
        <v>30</v>
      </c>
      <c r="C13" s="6" t="str">
        <f>IFERROR(__xludf.DUMMYFUNCTION("GOOGLETRANSLATE(B13, ""en"", ""ta"")"),"பயணத்திற்கான நியாயமான விலையைக் கேட்டு, உங்கள் வாடிக்கையாளர்களுக்கு விருப்பமான ஓட்டுநராகுங்கள், விருப்பமான ஓட்டுநருக்கு மற்றவர்களை விட அதிக முன்னுரிமை உண்டு.")</f>
        <v>பயணத்திற்கான நியாயமான விலையைக் கேட்டு, உங்கள் வாடிக்கையாளர்களுக்கு விருப்பமான ஓட்டுநராகுங்கள், விருப்பமான ஓட்டுநருக்கு மற்றவர்களை விட அதிக முன்னுரிமை உண்டு.</v>
      </c>
      <c r="D13" s="6" t="str">
        <f>IFERROR(__xludf.DUMMYFUNCTION("GOOGLETRANSLATE(B13, ""en"", ""hi"")"),"यात्रा के लिए उचित मूल्य पूछें और अपने ग्राहकों के पसंदीदा ड्राइवर बनें। पसंदीदा ड्राइवर को अन्य ड्राइवरों की तुलना में अधिक प्राथमिकता मिलती है।")</f>
        <v>यात्रा के लिए उचित मूल्य पूछें और अपने ग्राहकों के पसंदीदा ड्राइवर बनें। पसंदीदा ड्राइवर को अन्य ड्राइवरों की तुलना में अधिक प्राथमिकता मिलती है।</v>
      </c>
      <c r="E13" s="6" t="str">
        <f>IFERROR(__xludf.DUMMYFUNCTION("GOOGLETRANSLATE(B13, ""en"", ""kn"")"),"ಪ್ರಯಾಣಕ್ಕೆ ಸಮಂಜಸವಾದ ಬೆಲೆಯನ್ನು ಕೇಳಿ ಮತ್ತು ನಿಮ್ಮ ಗ್ರಾಹಕರಿಗೆ ಆದ್ಯತೆಯ ಚಾಲಕರಾಗಿ, ಆದ್ಯತೆಯ ಚಾಲಕರು ಇತರರಿಗಿಂತ ಹೆಚ್ಚಿನ ಆದ್ಯತೆಯನ್ನು ಹೊಂದಿರುತ್ತಾರೆ.")</f>
        <v>ಪ್ರಯಾಣಕ್ಕೆ ಸಮಂಜಸವಾದ ಬೆಲೆಯನ್ನು ಕೇಳಿ ಮತ್ತು ನಿಮ್ಮ ಗ್ರಾಹಕರಿಗೆ ಆದ್ಯತೆಯ ಚಾಲಕರಾಗಿ, ಆದ್ಯತೆಯ ಚಾಲಕರು ಇತರರಿಗಿಂತ ಹೆಚ್ಚಿನ ಆದ್ಯತೆಯನ್ನು ಹೊಂದಿರುತ್ತಾರೆ.</v>
      </c>
      <c r="F13" s="7" t="str">
        <f>IFERROR(__xludf.DUMMYFUNCTION("GOOGLETRANSLATE(B13, ""en"", ""ml"")"),"യാത്രയ്ക്ക് ന്യായമായ വില ചോദിച്ച് നിങ്ങളുടെ ഉപഭോക്താക്കൾക്ക് ഇഷ്ടപ്പെട്ട ഡ്രൈവർ ആകുക, ഇഷ്ടപ്പെട്ട ഡ്രൈവർമാർക്ക് മറ്റുള്ളവരേക്കാൾ മുൻഗണന ലഭിക്കും.")</f>
        <v>യാത്രയ്ക്ക് ന്യായമായ വില ചോദിച്ച് നിങ്ങളുടെ ഉപഭോക്താക്കൾക്ക് ഇഷ്ടപ്പെട്ട ഡ്രൈവർ ആകുക, ഇഷ്ടപ്പെട്ട ഡ്രൈവർമാർക്ക് മറ്റുള്ളവരേക്കാൾ മുൻഗണന ലഭിക്കും.</v>
      </c>
      <c r="G13" s="7" t="str">
        <f>IFERROR(__xludf.DUMMYFUNCTION("GOOGLETRANSLATE(B13, ""en"", ""te"")"),"ట్రిప్ కి సరసమైన ధర అడగండి మరియు మీ కస్టమర్లకు ఇష్టపడే డ్రైవర్ అవ్వండి, ఇష్టపడే డ్రైవర్ కు ఇతరులకన్నా ఎక్కువ ప్రాధాన్యత ఉంటుంది.")</f>
        <v>ట్రిప్ కి సరసమైన ధర అడగండి మరియు మీ కస్టమర్లకు ఇష్టపడే డ్రైవర్ అవ్వండి, ఇష్టపడే డ్రైవర్ కు ఇతరులకన్నా ఎక్కువ ప్రాధాన్యత ఉంటుంది.</v>
      </c>
    </row>
    <row r="14">
      <c r="A14" s="4" t="s">
        <v>31</v>
      </c>
      <c r="B14" s="5" t="s">
        <v>32</v>
      </c>
      <c r="C14" s="6" t="str">
        <f>IFERROR(__xludf.DUMMYFUNCTION("GOOGLETRANSLATE(B14, ""en"", ""ta"")"),"மதிப்பீடுகள் அதிக அர்ப்பணிப்புக்கு முக்கியமாகும். நல்ல மதிப்பீட்டைப் பெறுவதை உறுதிப்படுத்திக் கொள்ளுங்கள்.")</f>
        <v>மதிப்பீடுகள் அதிக அர்ப்பணிப்புக்கு முக்கியமாகும். நல்ல மதிப்பீட்டைப் பெறுவதை உறுதிப்படுத்திக் கொள்ளுங்கள்.</v>
      </c>
      <c r="D14" s="6" t="str">
        <f>IFERROR(__xludf.DUMMYFUNCTION("GOOGLETRANSLATE(B14, ""en"", ""hi"")"),"रेटिंग ही प्रतिबद्धता बढ़ाने की कुंजी है। सुनिश्चित करें कि आपको अच्छी रेटिंग मिले।")</f>
        <v>रेटिंग ही प्रतिबद्धता बढ़ाने की कुंजी है। सुनिश्चित करें कि आपको अच्छी रेटिंग मिले।</v>
      </c>
      <c r="E14" s="6" t="str">
        <f>IFERROR(__xludf.DUMMYFUNCTION("GOOGLETRANSLATE(B14, ""en"", ""kn"")"),"ಹೆಚ್ಚಿನ ಬದ್ಧತೆಗೆ ರೇಟಿಂಗ್‌ಗಳು ಪ್ರಮುಖವಾಗಿವೆ. ನೀವು ಉತ್ತಮ ರೇಟಿಂಗ್ ಪಡೆಯುವುದನ್ನು ಖಚಿತಪಡಿಸಿಕೊಳ್ಳಿ.")</f>
        <v>ಹೆಚ್ಚಿನ ಬದ್ಧತೆಗೆ ರೇಟಿಂಗ್‌ಗಳು ಪ್ರಮುಖವಾಗಿವೆ. ನೀವು ಉತ್ತಮ ರೇಟಿಂಗ್ ಪಡೆಯುವುದನ್ನು ಖಚಿತಪಡಿಸಿಕೊಳ್ಳಿ.</v>
      </c>
      <c r="F14" s="7" t="str">
        <f>IFERROR(__xludf.DUMMYFUNCTION("GOOGLETRANSLATE(B14, ""en"", ""ml"")"),"കൂടുതൽ പ്രതിബദ്ധതയ്ക്കുള്ള താക്കോലാണ് റേറ്റിംഗുകൾ. നിങ്ങൾക്ക് നല്ല റേറ്റിംഗ് ലഭിക്കുന്നുണ്ടെന്ന് ഉറപ്പാക്കുക.")</f>
        <v>കൂടുതൽ പ്രതിബദ്ധതയ്ക്കുള്ള താക്കോലാണ് റേറ്റിംഗുകൾ. നിങ്ങൾക്ക് നല്ല റേറ്റിംഗ് ലഭിക്കുന്നുണ്ടെന്ന് ഉറപ്പാക്കുക.</v>
      </c>
      <c r="G14" s="7" t="str">
        <f>IFERROR(__xludf.DUMMYFUNCTION("GOOGLETRANSLATE(B14, ""en"", ""te"")"),"మరింత నిబద్ధతకు రేటింగ్‌లు కీలకం. మీరు మంచి రేటింగ్ పొందేలా చూసుకోండి.")</f>
        <v>మరింత నిబద్ధతకు రేటింగ్‌లు కీలకం. మీరు మంచి రేటింగ్ పొందేలా చూసుకోండి.</v>
      </c>
    </row>
    <row r="15">
      <c r="A15" s="4" t="s">
        <v>33</v>
      </c>
      <c r="B15" s="5" t="s">
        <v>34</v>
      </c>
      <c r="C15" s="6" t="str">
        <f>IFERROR(__xludf.DUMMYFUNCTION("GOOGLETRANSLATE(B15, ""en"", ""ta"")"),"தெரிந்து கொள்ள வேண்டிய விஷயங்கள்")</f>
        <v>தெரிந்து கொள்ள வேண்டிய விஷயங்கள்</v>
      </c>
      <c r="D15" s="6" t="str">
        <f>IFERROR(__xludf.DUMMYFUNCTION("GOOGLETRANSLATE(B15, ""en"", ""hi"")"),"जानने योग्य बातें")</f>
        <v>जानने योग्य बातें</v>
      </c>
      <c r="E15" s="6" t="str">
        <f>IFERROR(__xludf.DUMMYFUNCTION("GOOGLETRANSLATE(B15, ""en"", ""kn"")"),"ತಿಳಿದುಕೊಳ್ಳಬೇಕಾದ ವಿಷಯಗಳು")</f>
        <v>ತಿಳಿದುಕೊಳ್ಳಬೇಕಾದ ವಿಷಯಗಳು</v>
      </c>
      <c r="F15" s="7" t="str">
        <f>IFERROR(__xludf.DUMMYFUNCTION("GOOGLETRANSLATE(B15, ""en"", ""ml"")"),"അറിയേണ്ട കാര്യങ്ങൾ")</f>
        <v>അറിയേണ്ട കാര്യങ്ങൾ</v>
      </c>
      <c r="G15" s="7" t="str">
        <f>IFERROR(__xludf.DUMMYFUNCTION("GOOGLETRANSLATE(B15, ""en"", ""te"")"),"తెలుసుకోవలసిన విషయాలు")</f>
        <v>తెలుసుకోవలసిన విషయాలు</v>
      </c>
    </row>
    <row r="16">
      <c r="A16" s="4" t="s">
        <v>35</v>
      </c>
      <c r="B16" s="5" t="s">
        <v>36</v>
      </c>
      <c r="C16" s="6" t="str">
        <f>IFERROR(__xludf.DUMMYFUNCTION("GOOGLETRANSLATE(B16, ""en"", ""ta"")"),"கீழே தொடங்கு என்பதைத் தட்டுவதன் மூலம், நம்ம ஊரு டாக்ஸியை நீங்கள் ஒப்புக்கொள்வீர்கள்.")</f>
        <v>கீழே தொடங்கு என்பதைத் தட்டுவதன் மூலம், நம்ம ஊரு டாக்ஸியை நீங்கள் ஒப்புக்கொள்வீர்கள்.</v>
      </c>
      <c r="D16" s="6" t="str">
        <f>IFERROR(__xludf.DUMMYFUNCTION("GOOGLETRANSLATE(B16, ""en"", ""hi"")"),"नीचे दिए गए ""शुरू करें"" पर टैप करके, आप Namma Ooru Taxi से जुड़ने के लिए सहमत होंगे।")</f>
        <v>नीचे दिए गए "शुरू करें" पर टैप करके, आप Namma Ooru Taxi से जुड़ने के लिए सहमत होंगे।</v>
      </c>
      <c r="E16" s="6" t="str">
        <f>IFERROR(__xludf.DUMMYFUNCTION("GOOGLETRANSLATE(B16, ""en"", ""kn"")"),"ಕೆಳಗೆ ಪ್ರಾರಂಭಿಸಿ ಟ್ಯಾಪ್ ಮಾಡುವ ಮೂಲಕ, ನೀವು ನಮ್ಮ ಊರು ಟ್ಯಾಕ್ಸಿಗೆ ಒಪ್ಪುತ್ತೀರಿ.")</f>
        <v>ಕೆಳಗೆ ಪ್ರಾರಂಭಿಸಿ ಟ್ಯಾಪ್ ಮಾಡುವ ಮೂಲಕ, ನೀವು ನಮ್ಮ ಊರು ಟ್ಯಾಕ್ಸಿಗೆ ಒಪ್ಪುತ್ತೀರಿ.</v>
      </c>
      <c r="F16" s="7" t="str">
        <f>IFERROR(__xludf.DUMMYFUNCTION("GOOGLETRANSLATE(B16, ""en"", ""ml"")"),"താഴെ 'ആരംഭിക്കുക' ടാപ്പ് ചെയ്യുന്നതിലൂടെ, നമ്മ ഊരു ടാക്സി നിങ്ങൾക്ക് സ്വീകാര്യമാകും.")</f>
        <v>താഴെ 'ആരംഭിക്കുക' ടാപ്പ് ചെയ്യുന്നതിലൂടെ, നമ്മ ഊരു ടാക്സി നിങ്ങൾക്ക് സ്വീകാര്യമാകും.</v>
      </c>
      <c r="G16" s="7" t="str">
        <f>IFERROR(__xludf.DUMMYFUNCTION("GOOGLETRANSLATE(B16, ""en"", ""te"")"),"కింద ప్రారంభించండి నొక్కడం ద్వారా, మీరు నమ్మ ఊరు టాక్సీకి అంగీకరిస్తారు.")</f>
        <v>కింద ప్రారంభించండి నొక్కడం ద్వారా, మీరు నమ్మ ఊరు టాక్సీకి అంగీకరిస్తారు.</v>
      </c>
    </row>
    <row r="17">
      <c r="A17" s="4" t="s">
        <v>37</v>
      </c>
      <c r="B17" s="5" t="s">
        <v>38</v>
      </c>
      <c r="C17" s="6" t="str">
        <f>IFERROR(__xludf.DUMMYFUNCTION("GOOGLETRANSLATE(B17, ""en"", ""ta"")"),"தனியுரிமைக் கொள்கை &amp; பொறுப்புத் துறப்பு")</f>
        <v>தனியுரிமைக் கொள்கை &amp; பொறுப்புத் துறப்பு</v>
      </c>
      <c r="D17" s="6" t="str">
        <f>IFERROR(__xludf.DUMMYFUNCTION("GOOGLETRANSLATE(B17, ""en"", ""hi"")"),"गोपनीयता नीति एवं अस्वीकरण")</f>
        <v>गोपनीयता नीति एवं अस्वीकरण</v>
      </c>
      <c r="E17" s="6" t="str">
        <f>IFERROR(__xludf.DUMMYFUNCTION("GOOGLETRANSLATE(B17, ""en"", ""kn"")"),"ಗೌಪ್ಯತಾ ನೀತಿ ಮತ್ತು ಹಕ್ಕು ನಿರಾಕರಣೆ")</f>
        <v>ಗೌಪ್ಯತಾ ನೀತಿ ಮತ್ತು ಹಕ್ಕು ನಿರಾಕರಣೆ</v>
      </c>
      <c r="F17" s="7" t="str">
        <f>IFERROR(__xludf.DUMMYFUNCTION("GOOGLETRANSLATE(B17, ""en"", ""ml"")"),"സ്വകാര്യതാ നയവും നിരാകരണവും")</f>
        <v>സ്വകാര്യതാ നയവും നിരാകരണവും</v>
      </c>
      <c r="G17" s="7" t="str">
        <f>IFERROR(__xludf.DUMMYFUNCTION("GOOGLETRANSLATE(B17, ""en"", ""te"")"),"గోప్యతా విధానం &amp; నిరాకరణ")</f>
        <v>గోప్యతా విధానం &amp; నిరాకరణ</v>
      </c>
    </row>
    <row r="18">
      <c r="A18" s="4" t="s">
        <v>39</v>
      </c>
      <c r="B18" s="5" t="s">
        <v>40</v>
      </c>
      <c r="C18" s="6" t="str">
        <f>IFERROR(__xludf.DUMMYFUNCTION("GOOGLETRANSLATE(B18, ""en"", ""ta"")"),"விதிமுறைகள் மற்றும் நிபந்தனைகளை ஏற்றுக்கொள்ளுங்கள்.")</f>
        <v>விதிமுறைகள் மற்றும் நிபந்தனைகளை ஏற்றுக்கொள்ளுங்கள்.</v>
      </c>
      <c r="D18" s="6" t="str">
        <f>IFERROR(__xludf.DUMMYFUNCTION("GOOGLETRANSLATE(B18, ""en"", ""hi"")"),"कृपया नियम और शर्तें स्वीकार करें")</f>
        <v>कृपया नियम और शर्तें स्वीकार करें</v>
      </c>
      <c r="E18" s="6" t="str">
        <f>IFERROR(__xludf.DUMMYFUNCTION("GOOGLETRANSLATE(B18, ""en"", ""kn"")"),"ದಯವಿಟ್ಟು ನಿಯಮಗಳು ಮತ್ತು ಷರತ್ತುಗಳನ್ನು ಒಪ್ಪಿಕೊಳ್ಳಿ.")</f>
        <v>ದಯವಿಟ್ಟು ನಿಯಮಗಳು ಮತ್ತು ಷರತ್ತುಗಳನ್ನು ಒಪ್ಪಿಕೊಳ್ಳಿ.</v>
      </c>
      <c r="F18" s="7" t="str">
        <f>IFERROR(__xludf.DUMMYFUNCTION("GOOGLETRANSLATE(B18, ""en"", ""ml"")"),"ദയവായി നിബന്ധനകളും വ്യവസ്ഥകളും അംഗീകരിക്കുക.")</f>
        <v>ദയവായി നിബന്ധനകളും വ്യവസ്ഥകളും അംഗീകരിക്കുക.</v>
      </c>
      <c r="G18" s="7" t="str">
        <f>IFERROR(__xludf.DUMMYFUNCTION("GOOGLETRANSLATE(B18, ""en"", ""te"")"),"దయచేసి నిబంధనలు మరియు షరతులను అంగీకరించండి.")</f>
        <v>దయచేసి నిబంధనలు మరియు షరతులను అంగీకరించండి.</v>
      </c>
    </row>
    <row r="19">
      <c r="A19" s="4" t="s">
        <v>41</v>
      </c>
      <c r="B19" s="5" t="s">
        <v>42</v>
      </c>
      <c r="C19" s="6" t="str">
        <f>IFERROR(__xludf.DUMMYFUNCTION("GOOGLETRANSLATE(B19, ""en"", ""ta"")"),"பெயரை உள்ளிடவும்")</f>
        <v>பெயரை உள்ளிடவும்</v>
      </c>
      <c r="D19" s="6" t="str">
        <f>IFERROR(__xludf.DUMMYFUNCTION("GOOGLETRANSLATE(B19, ""en"", ""hi"")"),"कृपया नाम दर्ज करें")</f>
        <v>कृपया नाम दर्ज करें</v>
      </c>
      <c r="E19" s="6" t="str">
        <f>IFERROR(__xludf.DUMMYFUNCTION("GOOGLETRANSLATE(B19, ""en"", ""kn"")"),"ದಯವಿಟ್ಟು ಹೆಸರನ್ನು ನಮೂದಿಸಿ")</f>
        <v>ದಯವಿಟ್ಟು ಹೆಸರನ್ನು ನಮೂದಿಸಿ</v>
      </c>
      <c r="F19" s="7" t="str">
        <f>IFERROR(__xludf.DUMMYFUNCTION("GOOGLETRANSLATE(B19, ""en"", ""ml"")"),"ദയവായി പേര് നൽകുക")</f>
        <v>ദയവായി പേര് നൽകുക</v>
      </c>
      <c r="G19" s="7" t="str">
        <f>IFERROR(__xludf.DUMMYFUNCTION("GOOGLETRANSLATE(B19, ""en"", ""te"")"),"దయచేసి పేరు నమోదు చేయండి")</f>
        <v>దయచేసి పేరు నమోదు చేయండి</v>
      </c>
    </row>
    <row r="20">
      <c r="A20" s="4" t="s">
        <v>43</v>
      </c>
      <c r="B20" s="5" t="s">
        <v>44</v>
      </c>
      <c r="C20" s="6" t="str">
        <f>IFERROR(__xludf.DUMMYFUNCTION("GOOGLETRANSLATE(B20, ""en"", ""ta"")"),"தொலைபேசி எண்ணை உள்ளிடவும்")</f>
        <v>தொலைபேசி எண்ணை உள்ளிடவும்</v>
      </c>
      <c r="D20" s="6" t="str">
        <f>IFERROR(__xludf.DUMMYFUNCTION("GOOGLETRANSLATE(B20, ""en"", ""hi"")"),"कृपया फ़ोन नंबर दर्ज करें")</f>
        <v>कृपया फ़ोन नंबर दर्ज करें</v>
      </c>
      <c r="E20" s="6" t="str">
        <f>IFERROR(__xludf.DUMMYFUNCTION("GOOGLETRANSLATE(B20, ""en"", ""kn"")"),"ದಯವಿಟ್ಟು ಫೋನ್ ನಮೂದಿಸಿ")</f>
        <v>ದಯವಿಟ್ಟು ಫೋನ್ ನಮೂದಿಸಿ</v>
      </c>
      <c r="F20" s="7" t="str">
        <f>IFERROR(__xludf.DUMMYFUNCTION("GOOGLETRANSLATE(B20, ""en"", ""ml"")"),"ദയവായി ഫോൺ നമ്പർ നൽകുക")</f>
        <v>ദയവായി ഫോൺ നമ്പർ നൽകുക</v>
      </c>
      <c r="G20" s="7" t="str">
        <f>IFERROR(__xludf.DUMMYFUNCTION("GOOGLETRANSLATE(B20, ""en"", ""te"")"),"దయచేసి ఫోన్ నంబర్ నమోదు చేయండి")</f>
        <v>దయచేసి ఫోన్ నంబర్ నమోదు చేయండి</v>
      </c>
    </row>
    <row r="21">
      <c r="A21" s="4" t="s">
        <v>45</v>
      </c>
      <c r="B21" s="5" t="s">
        <v>46</v>
      </c>
      <c r="C21" s="6" t="str">
        <f>IFERROR(__xludf.DUMMYFUNCTION("GOOGLETRANSLATE(B21, ""en"", ""ta"")"),"தொலைபேசி எண் 10 இலக்கங்களாக இருக்க வேண்டும்.")</f>
        <v>தொலைபேசி எண் 10 இலக்கங்களாக இருக்க வேண்டும்.</v>
      </c>
      <c r="D21" s="6" t="str">
        <f>IFERROR(__xludf.DUMMYFUNCTION("GOOGLETRANSLATE(B21, ""en"", ""hi"")"),"फ़ोन नंबर 10 अंकों का होना चाहिए")</f>
        <v>फ़ोन नंबर 10 अंकों का होना चाहिए</v>
      </c>
      <c r="E21" s="6" t="str">
        <f>IFERROR(__xludf.DUMMYFUNCTION("GOOGLETRANSLATE(B21, ""en"", ""kn"")"),"ಫೋನ್ ಸಂಖ್ಯೆ 10 ಅಂಕೆಗಳಾಗಿರಬೇಕು.")</f>
        <v>ಫೋನ್ ಸಂಖ್ಯೆ 10 ಅಂಕೆಗಳಾಗಿರಬೇಕು.</v>
      </c>
      <c r="F21" s="7" t="str">
        <f>IFERROR(__xludf.DUMMYFUNCTION("GOOGLETRANSLATE(B21, ""en"", ""ml"")"),"ഫോൺ നമ്പർ 10 അക്കങ്ങൾ ആയിരിക്കണം.")</f>
        <v>ഫോൺ നമ്പർ 10 അക്കങ്ങൾ ആയിരിക്കണം.</v>
      </c>
      <c r="G21" s="7" t="str">
        <f>IFERROR(__xludf.DUMMYFUNCTION("GOOGLETRANSLATE(B21, ""en"", ""te"")"),"ఫోన్ నంబర్ తప్పనిసరిగా 10 అంకెలు ఉండాలి")</f>
        <v>ఫోన్ నంబర్ తప్పనిసరిగా 10 అంకెలు ఉండాలి</v>
      </c>
    </row>
    <row r="22">
      <c r="A22" s="4" t="s">
        <v>47</v>
      </c>
      <c r="B22" s="5" t="s">
        <v>48</v>
      </c>
      <c r="C22" s="6" t="str">
        <f>IFERROR(__xludf.DUMMYFUNCTION("GOOGLETRANSLATE(B22, ""en"", ""ta"")"),"தயவுசெய்து ஆதார் எண்ணை உள்ளிடவும்.")</f>
        <v>தயவுசெய்து ஆதார் எண்ணை உள்ளிடவும்.</v>
      </c>
      <c r="D22" s="6" t="str">
        <f>IFERROR(__xludf.DUMMYFUNCTION("GOOGLETRANSLATE(B22, ""en"", ""hi"")"),"कृपया आधार नंबर दर्ज करें")</f>
        <v>कृपया आधार नंबर दर्ज करें</v>
      </c>
      <c r="E22" s="6" t="str">
        <f>IFERROR(__xludf.DUMMYFUNCTION("GOOGLETRANSLATE(B22, ""en"", ""kn"")"),"ದಯವಿಟ್ಟು ಆಧಾರ್ ಸಂಖ್ಯೆಯನ್ನು ನಮೂದಿಸಿ.")</f>
        <v>ದಯವಿಟ್ಟು ಆಧಾರ್ ಸಂಖ್ಯೆಯನ್ನು ನಮೂದಿಸಿ.</v>
      </c>
      <c r="F22" s="7" t="str">
        <f>IFERROR(__xludf.DUMMYFUNCTION("GOOGLETRANSLATE(B22, ""en"", ""ml"")"),"ദയവായി ആധാർ നമ്പർ നൽകുക")</f>
        <v>ദയവായി ആധാർ നമ്പർ നൽകുക</v>
      </c>
      <c r="G22" s="7" t="str">
        <f>IFERROR(__xludf.DUMMYFUNCTION("GOOGLETRANSLATE(B22, ""en"", ""te"")"),"దయచేసి ఆధార్ నంబర్ నమోదు చేయండి")</f>
        <v>దయచేసి ఆధార్ నంబర్ నమోదు చేయండి</v>
      </c>
    </row>
    <row r="23">
      <c r="A23" s="4" t="s">
        <v>49</v>
      </c>
      <c r="B23" s="5" t="s">
        <v>50</v>
      </c>
      <c r="C23" s="6" t="str">
        <f>IFERROR(__xludf.DUMMYFUNCTION("GOOGLETRANSLATE(B23, ""en"", ""ta"")"),"தயவுசெய்து செல்லுபடியாகும் ஆதாரை உள்ளிடவும்.")</f>
        <v>தயவுசெய்து செல்லுபடியாகும் ஆதாரை உள்ளிடவும்.</v>
      </c>
      <c r="D23" s="6" t="str">
        <f>IFERROR(__xludf.DUMMYFUNCTION("GOOGLETRANSLATE(B23, ""en"", ""hi"")"),"कृपया वैध आधार कार्ड दर्ज करें")</f>
        <v>कृपया वैध आधार कार्ड दर्ज करें</v>
      </c>
      <c r="E23" s="6" t="str">
        <f>IFERROR(__xludf.DUMMYFUNCTION("GOOGLETRANSLATE(B23, ""en"", ""kn"")"),"ದಯವಿಟ್ಟು ಮಾನ್ಯವಾದ ಆಧಾರ್ ಅನ್ನು ನಮೂದಿಸಿ.")</f>
        <v>ದಯವಿಟ್ಟು ಮಾನ್ಯವಾದ ಆಧಾರ್ ಅನ್ನು ನಮೂದಿಸಿ.</v>
      </c>
      <c r="F23" s="7" t="str">
        <f>IFERROR(__xludf.DUMMYFUNCTION("GOOGLETRANSLATE(B23, ""en"", ""ml"")"),"ദയവായി സാധുവായ ഒരു ആധാർ നൽകുക.")</f>
        <v>ദയവായി സാധുവായ ഒരു ആധാർ നൽകുക.</v>
      </c>
      <c r="G23" s="7" t="str">
        <f>IFERROR(__xludf.DUMMYFUNCTION("GOOGLETRANSLATE(B23, ""en"", ""te"")"),"దయచేసి చెల్లుబాటు అయ్యే ఆధార్‌ను నమోదు చేయండి.")</f>
        <v>దయచేసి చెల్లుబాటు అయ్యే ఆధార్‌ను నమోదు చేయండి.</v>
      </c>
    </row>
    <row r="24">
      <c r="A24" s="4" t="s">
        <v>51</v>
      </c>
      <c r="B24" s="5" t="s">
        <v>52</v>
      </c>
      <c r="C24" s="6" t="str">
        <f>IFERROR(__xludf.DUMMYFUNCTION("GOOGLETRANSLATE(B24, ""en"", ""ta"")"),"தயவுசெய்து PAN எண்ணை உள்ளிடவும்.")</f>
        <v>தயவுசெய்து PAN எண்ணை உள்ளிடவும்.</v>
      </c>
      <c r="D24" s="6" t="str">
        <f>IFERROR(__xludf.DUMMYFUNCTION("GOOGLETRANSLATE(B24, ""en"", ""hi"")"),"कृपया पैन नंबर दर्ज करें")</f>
        <v>कृपया पैन नंबर दर्ज करें</v>
      </c>
      <c r="E24" s="6" t="str">
        <f>IFERROR(__xludf.DUMMYFUNCTION("GOOGLETRANSLATE(B24, ""en"", ""kn"")"),"ದಯವಿಟ್ಟು ಪ್ಯಾನ್ ಸಂಖ್ಯೆಯನ್ನು ನಮೂದಿಸಿ")</f>
        <v>ದಯವಿಟ್ಟು ಪ್ಯಾನ್ ಸಂಖ್ಯೆಯನ್ನು ನಮೂದಿಸಿ</v>
      </c>
      <c r="F24" s="7" t="str">
        <f>IFERROR(__xludf.DUMMYFUNCTION("GOOGLETRANSLATE(B24, ""en"", ""ml"")"),"ദയവായി പാൻ നമ്പർ നൽകുക")</f>
        <v>ദയവായി പാൻ നമ്പർ നൽകുക</v>
      </c>
      <c r="G24" s="7" t="str">
        <f>IFERROR(__xludf.DUMMYFUNCTION("GOOGLETRANSLATE(B24, ""en"", ""te"")"),"దయచేసి పాన్ నంబర్ నమోదు చేయండి")</f>
        <v>దయచేసి పాన్ నంబర్ నమోదు చేయండి</v>
      </c>
    </row>
    <row r="25">
      <c r="A25" s="4" t="s">
        <v>53</v>
      </c>
      <c r="B25" s="5" t="s">
        <v>54</v>
      </c>
      <c r="C25" s="6" t="str">
        <f>IFERROR(__xludf.DUMMYFUNCTION("GOOGLETRANSLATE(B25, ""en"", ""ta"")"),"தயவுசெய்து செல்லுபடியாகும் PAN எண்ணை உள்ளிடவும்.")</f>
        <v>தயவுசெய்து செல்லுபடியாகும் PAN எண்ணை உள்ளிடவும்.</v>
      </c>
      <c r="D25" s="6" t="str">
        <f>IFERROR(__xludf.DUMMYFUNCTION("GOOGLETRANSLATE(B25, ""en"", ""hi"")"),"कृपया वैध पैन नंबर दर्ज करें")</f>
        <v>कृपया वैध पैन नंबर दर्ज करें</v>
      </c>
      <c r="E25" s="6" t="str">
        <f>IFERROR(__xludf.DUMMYFUNCTION("GOOGLETRANSLATE(B25, ""en"", ""kn"")"),"ದಯವಿಟ್ಟು ಮಾನ್ಯವಾದ ಪ್ಯಾನ್ ಸಂಖ್ಯೆಯನ್ನು ನಮೂದಿಸಿ.")</f>
        <v>ದಯವಿಟ್ಟು ಮಾನ್ಯವಾದ ಪ್ಯಾನ್ ಸಂಖ್ಯೆಯನ್ನು ನಮೂದಿಸಿ.</v>
      </c>
      <c r="F25" s="7" t="str">
        <f>IFERROR(__xludf.DUMMYFUNCTION("GOOGLETRANSLATE(B25, ""en"", ""ml"")"),"ദയവായി സാധുവായ ഒരു പാൻ നമ്പർ നൽകുക.")</f>
        <v>ദയവായി സാധുവായ ഒരു പാൻ നമ്പർ നൽകുക.</v>
      </c>
      <c r="G25" s="7" t="str">
        <f>IFERROR(__xludf.DUMMYFUNCTION("GOOGLETRANSLATE(B25, ""en"", ""te"")"),"దయచేసి చెల్లుబాటు అయ్యే PAN నంబర్‌ను నమోదు చేయండి.")</f>
        <v>దయచేసి చెల్లుబాటు అయ్యే PAN నంబర్‌ను నమోదు చేయండి.</v>
      </c>
    </row>
    <row r="26">
      <c r="A26" s="4" t="s">
        <v>55</v>
      </c>
      <c r="B26" s="5" t="s">
        <v>56</v>
      </c>
      <c r="C26" s="6" t="str">
        <f>IFERROR(__xludf.DUMMYFUNCTION("GOOGLETRANSLATE(B26, ""en"", ""ta"")"),"உரிம எண்ணை உள்ளிடவும்.")</f>
        <v>உரிம எண்ணை உள்ளிடவும்.</v>
      </c>
      <c r="D26" s="6" t="str">
        <f>IFERROR(__xludf.DUMMYFUNCTION("GOOGLETRANSLATE(B26, ""en"", ""hi"")"),"कृपया लाइसेंस नंबर दर्ज करें")</f>
        <v>कृपया लाइसेंस नंबर दर्ज करें</v>
      </c>
      <c r="E26" s="6" t="str">
        <f>IFERROR(__xludf.DUMMYFUNCTION("GOOGLETRANSLATE(B26, ""en"", ""kn"")"),"ದಯವಿಟ್ಟು ಪರವಾನಗಿ ಸಂಖ್ಯೆಯನ್ನು ನಮೂದಿಸಿ")</f>
        <v>ದಯವಿಟ್ಟು ಪರವಾನಗಿ ಸಂಖ್ಯೆಯನ್ನು ನಮೂದಿಸಿ</v>
      </c>
      <c r="F26" s="7" t="str">
        <f>IFERROR(__xludf.DUMMYFUNCTION("GOOGLETRANSLATE(B26, ""en"", ""ml"")"),"ദയവായി ലൈസൻസ് നമ്പർ നൽകുക")</f>
        <v>ദയവായി ലൈസൻസ് നമ്പർ നൽകുക</v>
      </c>
      <c r="G26" s="7" t="str">
        <f>IFERROR(__xludf.DUMMYFUNCTION("GOOGLETRANSLATE(B26, ""en"", ""te"")"),"దయచేసి లైసెన్స్ నంబర్‌ను నమోదు చేయండి.")</f>
        <v>దయచేసి లైసెన్స్ నంబర్‌ను నమోదు చేయండి.</v>
      </c>
    </row>
    <row r="27">
      <c r="A27" s="4" t="s">
        <v>57</v>
      </c>
      <c r="B27" s="5" t="s">
        <v>58</v>
      </c>
      <c r="C27" s="6" t="str">
        <f>IFERROR(__xludf.DUMMYFUNCTION("GOOGLETRANSLATE(B27, ""en"", ""ta"")"),"செல்லுபடியாகும் உரிம எண்ணை (TN01 20110012345) உள்ளிடவும்.")</f>
        <v>செல்லுபடியாகும் உரிம எண்ணை (TN01 20110012345) உள்ளிடவும்.</v>
      </c>
      <c r="D27" s="6" t="str">
        <f>IFERROR(__xludf.DUMMYFUNCTION("GOOGLETRANSLATE(B27, ""en"", ""hi"")"),"कृपया वैध लाइसेंस नंबर दर्ज करें (TN01 20110012345)")</f>
        <v>कृपया वैध लाइसेंस नंबर दर्ज करें (TN01 20110012345)</v>
      </c>
      <c r="E27" s="6" t="str">
        <f>IFERROR(__xludf.DUMMYFUNCTION("GOOGLETRANSLATE(B27, ""en"", ""kn"")"),"ದಯವಿಟ್ಟು ಮಾನ್ಯವಾದ ಪರವಾನಗಿ ಸಂಖ್ಯೆಯನ್ನು ನಮೂದಿಸಿ (TN01 20110012345)")</f>
        <v>ದಯವಿಟ್ಟು ಮಾನ್ಯವಾದ ಪರವಾನಗಿ ಸಂಖ್ಯೆಯನ್ನು ನಮೂದಿಸಿ (TN01 20110012345)</v>
      </c>
      <c r="F27" s="7" t="str">
        <f>IFERROR(__xludf.DUMMYFUNCTION("GOOGLETRANSLATE(B27, ""en"", ""ml"")"),"ദയവായി സാധുവായ ഒരു ലൈസൻസ് നമ്പർ നൽകുക (TN01 20110012345)")</f>
        <v>ദയവായി സാധുവായ ഒരു ലൈസൻസ് നമ്പർ നൽകുക (TN01 20110012345)</v>
      </c>
      <c r="G27" s="7" t="str">
        <f>IFERROR(__xludf.DUMMYFUNCTION("GOOGLETRANSLATE(B27, ""en"", ""te"")"),"దయచేసి చెల్లుబాటు అయ్యే లైసెన్స్ నంబర్ (TN01 20110012345) నమోదు చేయండి.")</f>
        <v>దయచేసి చెల్లుబాటు అయ్యే లైసెన్స్ నంబర్ (TN01 20110012345) నమోదు చేయండి.</v>
      </c>
    </row>
    <row r="28">
      <c r="A28" s="4" t="s">
        <v>59</v>
      </c>
      <c r="B28" s="5" t="s">
        <v>60</v>
      </c>
      <c r="C28" s="6" t="str">
        <f>IFERROR(__xludf.DUMMYFUNCTION("GOOGLETRANSLATE(B28, ""en"", ""ta"")"),"தயவுசெய்து டிரைவர் இருப்பிடத்தை உள்ளிடவும்.")</f>
        <v>தயவுசெய்து டிரைவர் இருப்பிடத்தை உள்ளிடவும்.</v>
      </c>
      <c r="D28" s="6" t="str">
        <f>IFERROR(__xludf.DUMMYFUNCTION("GOOGLETRANSLATE(B28, ""en"", ""hi"")"),"कृपया ड्राइवर का स्थान दर्ज करें")</f>
        <v>कृपया ड्राइवर का स्थान दर्ज करें</v>
      </c>
      <c r="E28" s="6" t="str">
        <f>IFERROR(__xludf.DUMMYFUNCTION("GOOGLETRANSLATE(B28, ""en"", ""kn"")"),"ದಯವಿಟ್ಟು ಚಾಲಕ ಸ್ಥಳವನ್ನು ನಮೂದಿಸಿ")</f>
        <v>ದಯವಿಟ್ಟು ಚಾಲಕ ಸ್ಥಳವನ್ನು ನಮೂದಿಸಿ</v>
      </c>
      <c r="F28" s="7" t="str">
        <f>IFERROR(__xludf.DUMMYFUNCTION("GOOGLETRANSLATE(B28, ""en"", ""ml"")"),"ദയവായി ഡ്രൈവർ ലൊക്കേഷൻ നൽകുക")</f>
        <v>ദയവായി ഡ്രൈവർ ലൊക്കേഷൻ നൽകുക</v>
      </c>
      <c r="G28" s="7" t="str">
        <f>IFERROR(__xludf.DUMMYFUNCTION("GOOGLETRANSLATE(B28, ""en"", ""te"")"),"దయచేసి డ్రైవర్ స్థానాన్ని నమోదు చేయండి")</f>
        <v>దయచేసి డ్రైవర్ స్థానాన్ని నమోదు చేయండి</v>
      </c>
    </row>
    <row r="29">
      <c r="A29" s="4" t="s">
        <v>61</v>
      </c>
      <c r="B29" s="5" t="s">
        <v>62</v>
      </c>
      <c r="C29" s="6" t="str">
        <f>IFERROR(__xludf.DUMMYFUNCTION("GOOGLETRANSLATE(B29, ""en"", ""ta"")"),"இருப்பிட அனுமதி மறுக்கப்பட்டது")</f>
        <v>இருப்பிட அனுமதி மறுக்கப்பட்டது</v>
      </c>
      <c r="D29" s="6" t="str">
        <f>IFERROR(__xludf.DUMMYFUNCTION("GOOGLETRANSLATE(B29, ""en"", ""hi"")"),"स्थान अनुमति अस्वीकृत")</f>
        <v>स्थान अनुमति अस्वीकृत</v>
      </c>
      <c r="E29" s="6" t="str">
        <f>IFERROR(__xludf.DUMMYFUNCTION("GOOGLETRANSLATE(B29, ""en"", ""kn"")"),"ಸ್ಥಳ ಅನುಮತಿ ನಿರಾಕರಿಸಲಾಗಿದೆ")</f>
        <v>ಸ್ಥಳ ಅನುಮತಿ ನಿರಾಕರಿಸಲಾಗಿದೆ</v>
      </c>
      <c r="F29" s="7" t="str">
        <f>IFERROR(__xludf.DUMMYFUNCTION("GOOGLETRANSLATE(B29, ""en"", ""ml"")"),"ലൊക്കേഷൻ അനുമതി നിരസിച്ചു")</f>
        <v>ലൊക്കേഷൻ അനുമതി നിരസിച്ചു</v>
      </c>
      <c r="G29" s="7" t="str">
        <f>IFERROR(__xludf.DUMMYFUNCTION("GOOGLETRANSLATE(B29, ""en"", ""te"")"),"స్థాన అనుమతి నిరాకరించబడింది")</f>
        <v>స్థాన అనుమతి నిరాకరించబడింది</v>
      </c>
    </row>
    <row r="30">
      <c r="A30" s="4" t="s">
        <v>63</v>
      </c>
      <c r="B30" s="5" t="s">
        <v>64</v>
      </c>
      <c r="C30" s="6" t="str">
        <f>IFERROR(__xludf.DUMMYFUNCTION("GOOGLETRANSLATE(B30, ""en"", ""ta"")"),"இருப்பிட அனுமதியை வழங்கு")</f>
        <v>இருப்பிட அனுமதியை வழங்கு</v>
      </c>
      <c r="D30" s="6" t="str">
        <f>IFERROR(__xludf.DUMMYFUNCTION("GOOGLETRANSLATE(B30, ""en"", ""hi"")"),"स्थान की अनुमति प्रदान करें")</f>
        <v>स्थान की अनुमति प्रदान करें</v>
      </c>
      <c r="E30" s="6" t="str">
        <f>IFERROR(__xludf.DUMMYFUNCTION("GOOGLETRANSLATE(B30, ""en"", ""kn"")"),"ಸ್ಥಳ ಅನುಮತಿ ನೀಡಿ")</f>
        <v>ಸ್ಥಳ ಅನುಮತಿ ನೀಡಿ</v>
      </c>
      <c r="F30" s="7" t="str">
        <f>IFERROR(__xludf.DUMMYFUNCTION("GOOGLETRANSLATE(B30, ""en"", ""ml"")"),"ലൊക്കേഷൻ അനുമതി നൽകുക")</f>
        <v>ലൊക്കേഷൻ അനുമതി നൽകുക</v>
      </c>
      <c r="G30" s="7" t="str">
        <f>IFERROR(__xludf.DUMMYFUNCTION("GOOGLETRANSLATE(B30, ""en"", ""te"")"),"స్థాన అనుమతిని మంజూరు చేయండి")</f>
        <v>స్థాన అనుమతిని మంజూరు చేయండి</v>
      </c>
    </row>
    <row r="31">
      <c r="A31" s="4" t="s">
        <v>65</v>
      </c>
      <c r="B31" s="5" t="s">
        <v>66</v>
      </c>
      <c r="C31" s="6" t="str">
        <f>IFERROR(__xludf.DUMMYFUNCTION("GOOGLETRANSLATE(B31, ""en"", ""ta"")"),"அனுமதி")</f>
        <v>அனுமதி</v>
      </c>
      <c r="D31" s="6" t="str">
        <f>IFERROR(__xludf.DUMMYFUNCTION("GOOGLETRANSLATE(B31, ""en"", ""hi"")"),"अनुमति दें")</f>
        <v>अनुमति दें</v>
      </c>
      <c r="E31" s="6" t="str">
        <f>IFERROR(__xludf.DUMMYFUNCTION("GOOGLETRANSLATE(B31, ""en"", ""kn"")"),"ಅನುಮತಿಸಿ")</f>
        <v>ಅನುಮತಿಸಿ</v>
      </c>
      <c r="F31" s="7" t="str">
        <f>IFERROR(__xludf.DUMMYFUNCTION("GOOGLETRANSLATE(B31, ""en"", ""ml"")"),"അനുവദിക്കുക")</f>
        <v>അനുവദിക്കുക</v>
      </c>
      <c r="G31" s="7" t="str">
        <f>IFERROR(__xludf.DUMMYFUNCTION("GOOGLETRANSLATE(B31, ""en"", ""te"")"),"అనుమతించు")</f>
        <v>అనుమతించు</v>
      </c>
    </row>
    <row r="32">
      <c r="A32" s="4" t="s">
        <v>67</v>
      </c>
      <c r="B32" s="5" t="s">
        <v>68</v>
      </c>
      <c r="C32" s="6" t="str">
        <f>IFERROR(__xludf.DUMMYFUNCTION("GOOGLETRANSLATE(B32, ""en"", ""ta"")"),"ரத்துசெய்")</f>
        <v>ரத்துசெய்</v>
      </c>
      <c r="D32" s="6" t="str">
        <f>IFERROR(__xludf.DUMMYFUNCTION("GOOGLETRANSLATE(B32, ""en"", ""hi"")"),"रद्द करना")</f>
        <v>रद्द करना</v>
      </c>
      <c r="E32" s="6" t="str">
        <f>IFERROR(__xludf.DUMMYFUNCTION("GOOGLETRANSLATE(B32, ""en"", ""kn"")"),"ರದ್ದುಮಾಡಿ")</f>
        <v>ರದ್ದುಮಾಡಿ</v>
      </c>
      <c r="F32" s="7" t="str">
        <f>IFERROR(__xludf.DUMMYFUNCTION("GOOGLETRANSLATE(B32, ""en"", ""ml"")"),"റദ്ദാക്കുക")</f>
        <v>റദ്ദാക്കുക</v>
      </c>
      <c r="G32" s="7" t="str">
        <f>IFERROR(__xludf.DUMMYFUNCTION("GOOGLETRANSLATE(B32, ""en"", ""te"")"),"రద్దు చేయి")</f>
        <v>రద్దు చేయి</v>
      </c>
    </row>
    <row r="33">
      <c r="A33" s="4" t="s">
        <v>69</v>
      </c>
      <c r="B33" s="5" t="s">
        <v>70</v>
      </c>
      <c r="C33" s="6" t="str">
        <f>IFERROR(__xludf.DUMMYFUNCTION("GOOGLETRANSLATE(B33, ""en"", ""ta"")"),"இருப்பிட அணுகலைத் தொடர அனுமதிக்கவும்.
உங்கள் இருப்பிடம் தொடர எங்களுக்குத் தேவை.")</f>
        <v>இருப்பிட அணுகலைத் தொடர அனுமதிக்கவும்.
உங்கள் இருப்பிடம் தொடர எங்களுக்குத் தேவை.</v>
      </c>
      <c r="D33" s="6" t="str">
        <f>IFERROR(__xludf.DUMMYFUNCTION("GOOGLETRANSLATE(B33, ""en"", ""hi"")"),"कृपया स्थान की अनुमति दें ताकि प्रक्रिया जारी रह सके।
हमें प्रक्रिया जारी रखने के लिए आपके स्थान की आवश्यकता है।")</f>
        <v>कृपया स्थान की अनुमति दें ताकि प्रक्रिया जारी रह सके।
हमें प्रक्रिया जारी रखने के लिए आपके स्थान की आवश्यकता है।</v>
      </c>
      <c r="E33" s="6" t="str">
        <f>IFERROR(__xludf.DUMMYFUNCTION("GOOGLETRANSLATE(B33, ""en"", ""kn"")"),"ದಯವಿಟ್ಟು ಸ್ಥಳ ಪ್ರವೇಶವನ್ನು ಮುಂದುವರಿಸಲು ಅನುಮತಿಸಿ.
ಮುಂದುವರಿಯಲು ನಮಗೆ ನಿಮ್ಮ ಸ್ಥಳದ ಅಗತ್ಯವಿದೆ.")</f>
        <v>ದಯವಿಟ್ಟು ಸ್ಥಳ ಪ್ರವೇಶವನ್ನು ಮುಂದುವರಿಸಲು ಅನುಮತಿಸಿ.
ಮುಂದುವರಿಯಲು ನಮಗೆ ನಿಮ್ಮ ಸ್ಥಳದ ಅಗತ್ಯವಿದೆ.</v>
      </c>
      <c r="F33" s="7" t="str">
        <f>IFERROR(__xludf.DUMMYFUNCTION("GOOGLETRANSLATE(B33, ""en"", ""ml"")"),"ദയവായി ലൊക്കേഷൻ ആക്‌സസ് തുടരാൻ അനുവദിക്കുക.
തുടരാൻ ഞങ്ങൾക്ക് നിങ്ങളുടെ ലൊക്കേഷൻ ആവശ്യമാണ്.")</f>
        <v>ദയവായി ലൊക്കേഷൻ ആക്‌സസ് തുടരാൻ അനുവദിക്കുക.
തുടരാൻ ഞങ്ങൾക്ക് നിങ്ങളുടെ ലൊക്കേഷൻ ആവശ്യമാണ്.</v>
      </c>
      <c r="G33" s="7" t="str">
        <f>IFERROR(__xludf.DUMMYFUNCTION("GOOGLETRANSLATE(B33, ""en"", ""te"")"),"దయచేసి స్థాన ప్రాప్యతను కొనసాగించడానికి అనుమతించండి.
మాకు మీ స్థానం కొనసాగడం అవసరం.")</f>
        <v>దయచేసి స్థాన ప్రాప్యతను కొనసాగించడానికి అనుమతించండి.
మాకు మీ స్థానం కొనసాగడం అవసరం.</v>
      </c>
    </row>
    <row r="34">
      <c r="A34" s="4" t="s">
        <v>71</v>
      </c>
      <c r="B34" s="5" t="s">
        <v>72</v>
      </c>
      <c r="C34" s="6" t="str">
        <f>IFERROR(__xludf.DUMMYFUNCTION("GOOGLETRANSLATE(B34, ""en"", ""ta"")"),"விருப்பமான பணியிடம்")</f>
        <v>விருப்பமான பணியிடம்</v>
      </c>
      <c r="D34" s="6" t="str">
        <f>IFERROR(__xludf.DUMMYFUNCTION("GOOGLETRANSLATE(B34, ""en"", ""hi"")"),"पसंदीदा कार्य स्थान")</f>
        <v>पसंदीदा कार्य स्थान</v>
      </c>
      <c r="E34" s="6" t="str">
        <f>IFERROR(__xludf.DUMMYFUNCTION("GOOGLETRANSLATE(B34, ""en"", ""kn"")"),"ಆದ್ಯತೆಯ ಕೆಲಸದ ಸ್ಥಳ")</f>
        <v>ಆದ್ಯತೆಯ ಕೆಲಸದ ಸ್ಥಳ</v>
      </c>
      <c r="F34" s="7" t="str">
        <f>IFERROR(__xludf.DUMMYFUNCTION("GOOGLETRANSLATE(B34, ""en"", ""ml"")"),"ഇഷ്ടപ്പെട്ട ജോലിസ്ഥലം")</f>
        <v>ഇഷ്ടപ്പെട്ട ജോലിസ്ഥലം</v>
      </c>
      <c r="G34" s="7" t="str">
        <f>IFERROR(__xludf.DUMMYFUNCTION("GOOGLETRANSLATE(B34, ""en"", ""te"")"),"ఇష్టపడే పని స్థానం")</f>
        <v>ఇష్టపడే పని స్థానం</v>
      </c>
    </row>
    <row r="35">
      <c r="A35" s="4" t="s">
        <v>73</v>
      </c>
      <c r="B35" s="5" t="s">
        <v>74</v>
      </c>
      <c r="C35" s="6" t="str">
        <f>IFERROR(__xludf.DUMMYFUNCTION("GOOGLETRANSLATE(B35, ""en"", ""ta"")"),"முழு பெயர்")</f>
        <v>முழு பெயர்</v>
      </c>
      <c r="D35" s="6" t="str">
        <f>IFERROR(__xludf.DUMMYFUNCTION("GOOGLETRANSLATE(B35, ""en"", ""hi"")"),"पूरा नाम")</f>
        <v>पूरा नाम</v>
      </c>
      <c r="E35" s="6" t="str">
        <f>IFERROR(__xludf.DUMMYFUNCTION("GOOGLETRANSLATE(B35, ""en"", ""kn"")"),"ಪೂರ್ಣ ಹೆಸರು")</f>
        <v>ಪೂರ್ಣ ಹೆಸರು</v>
      </c>
      <c r="F35" s="7" t="str">
        <f>IFERROR(__xludf.DUMMYFUNCTION("GOOGLETRANSLATE(B35, ""en"", ""ml"")"),"പൂർണ്ണമായ പേര്")</f>
        <v>പൂർണ്ണമായ പേര്</v>
      </c>
      <c r="G35" s="7" t="str">
        <f>IFERROR(__xludf.DUMMYFUNCTION("GOOGLETRANSLATE(B35, ""en"", ""te"")"),"పూర్తి పేరు")</f>
        <v>పూర్తి పేరు</v>
      </c>
    </row>
    <row r="36">
      <c r="A36" s="4" t="s">
        <v>75</v>
      </c>
      <c r="B36" s="5" t="s">
        <v>76</v>
      </c>
      <c r="C36" s="6" t="str">
        <f>IFERROR(__xludf.DUMMYFUNCTION("GOOGLETRANSLATE(B36, ""en"", ""ta"")"),"தொலைபேசி எண்")</f>
        <v>தொலைபேசி எண்</v>
      </c>
      <c r="D36" s="6" t="str">
        <f>IFERROR(__xludf.DUMMYFUNCTION("GOOGLETRANSLATE(B36, ""en"", ""hi"")"),"फ़ोन नंबर")</f>
        <v>फ़ोन नंबर</v>
      </c>
      <c r="E36" s="6" t="str">
        <f>IFERROR(__xludf.DUMMYFUNCTION("GOOGLETRANSLATE(B36, ""en"", ""kn"")"),"ದೂರವಾಣಿ ಸಂಖ್ಯೆ")</f>
        <v>ದೂರವಾಣಿ ಸಂಖ್ಯೆ</v>
      </c>
      <c r="F36" s="7" t="str">
        <f>IFERROR(__xludf.DUMMYFUNCTION("GOOGLETRANSLATE(B36, ""en"", ""ml"")"),"ഫോൺ നമ്പർ")</f>
        <v>ഫോൺ നമ്പർ</v>
      </c>
      <c r="G36" s="7" t="str">
        <f>IFERROR(__xludf.DUMMYFUNCTION("GOOGLETRANSLATE(B36, ""en"", ""te"")"),"ఫోన్ నంబర్")</f>
        <v>ఫోన్ నంబర్</v>
      </c>
    </row>
    <row r="37">
      <c r="A37" s="4" t="s">
        <v>77</v>
      </c>
      <c r="B37" s="5" t="s">
        <v>78</v>
      </c>
      <c r="C37" s="6" t="str">
        <f>IFERROR(__xludf.DUMMYFUNCTION("GOOGLETRANSLATE(B37, ""en"", ""ta"")"),"ஆதார் எண்")</f>
        <v>ஆதார் எண்</v>
      </c>
      <c r="D37" s="6" t="str">
        <f>IFERROR(__xludf.DUMMYFUNCTION("GOOGLETRANSLATE(B37, ""en"", ""hi"")"),"आधार संख्या")</f>
        <v>आधार संख्या</v>
      </c>
      <c r="E37" s="6" t="str">
        <f>IFERROR(__xludf.DUMMYFUNCTION("GOOGLETRANSLATE(B37, ""en"", ""kn"")"),"ಆಧಾರ್ ಸಂಖ್ಯೆ")</f>
        <v>ಆಧಾರ್ ಸಂಖ್ಯೆ</v>
      </c>
      <c r="F37" s="7" t="str">
        <f>IFERROR(__xludf.DUMMYFUNCTION("GOOGLETRANSLATE(B37, ""en"", ""ml"")"),"ആധാർ നമ്പർ")</f>
        <v>ആധാർ നമ്പർ</v>
      </c>
      <c r="G37" s="7" t="str">
        <f>IFERROR(__xludf.DUMMYFUNCTION("GOOGLETRANSLATE(B37, ""en"", ""te"")"),"ఆధార్ నంబర్")</f>
        <v>ఆధార్ నంబర్</v>
      </c>
    </row>
    <row r="38">
      <c r="A38" s="4" t="s">
        <v>79</v>
      </c>
      <c r="B38" s="5" t="s">
        <v>80</v>
      </c>
      <c r="C38" s="6" t="str">
        <f>IFERROR(__xludf.DUMMYFUNCTION("GOOGLETRANSLATE(B38, ""en"", ""ta"")"),"பான் எண்")</f>
        <v>பான் எண்</v>
      </c>
      <c r="D38" s="6" t="str">
        <f>IFERROR(__xludf.DUMMYFUNCTION("GOOGLETRANSLATE(B38, ""en"", ""hi"")"),"पैन नंबर")</f>
        <v>पैन नंबर</v>
      </c>
      <c r="E38" s="6" t="str">
        <f>IFERROR(__xludf.DUMMYFUNCTION("GOOGLETRANSLATE(B38, ""en"", ""kn"")"),"ಪ್ಯಾನ್ ಸಂಖ್ಯೆ")</f>
        <v>ಪ್ಯಾನ್ ಸಂಖ್ಯೆ</v>
      </c>
      <c r="F38" s="7" t="str">
        <f>IFERROR(__xludf.DUMMYFUNCTION("GOOGLETRANSLATE(B38, ""en"", ""ml"")"),"പാൻ നമ്പർ")</f>
        <v>പാൻ നമ്പർ</v>
      </c>
      <c r="G38" s="7" t="str">
        <f>IFERROR(__xludf.DUMMYFUNCTION("GOOGLETRANSLATE(B38, ""en"", ""te"")"),"పాన్ నంబర్")</f>
        <v>పాన్ నంబర్</v>
      </c>
    </row>
    <row r="39">
      <c r="A39" s="4" t="s">
        <v>81</v>
      </c>
      <c r="B39" s="5" t="s">
        <v>82</v>
      </c>
      <c r="C39" s="6" t="str">
        <f>IFERROR(__xludf.DUMMYFUNCTION("GOOGLETRANSLATE(B39, ""en"", ""ta"")"),"உரிம எண்")</f>
        <v>உரிம எண்</v>
      </c>
      <c r="D39" s="6" t="str">
        <f>IFERROR(__xludf.DUMMYFUNCTION("GOOGLETRANSLATE(B39, ""en"", ""hi"")"),"लाइसेंस संख्या")</f>
        <v>लाइसेंस संख्या</v>
      </c>
      <c r="E39" s="6" t="str">
        <f>IFERROR(__xludf.DUMMYFUNCTION("GOOGLETRANSLATE(B39, ""en"", ""kn"")"),"ಪರವಾನಗಿ ಸಂಖ್ಯೆ")</f>
        <v>ಪರವಾನಗಿ ಸಂಖ್ಯೆ</v>
      </c>
      <c r="F39" s="7" t="str">
        <f>IFERROR(__xludf.DUMMYFUNCTION("GOOGLETRANSLATE(B39, ""en"", ""ml"")"),"ലൈസൻസ് നമ്പർ")</f>
        <v>ലൈസൻസ് നമ്പർ</v>
      </c>
      <c r="G39" s="7" t="str">
        <f>IFERROR(__xludf.DUMMYFUNCTION("GOOGLETRANSLATE(B39, ""en"", ""te"")"),"లైసెన్స్ నంబర్")</f>
        <v>లైసెన్స్ నంబర్</v>
      </c>
    </row>
    <row r="40">
      <c r="A40" s="4" t="s">
        <v>83</v>
      </c>
      <c r="B40" s="5" t="s">
        <v>84</v>
      </c>
      <c r="C40" s="6" t="str">
        <f>IFERROR(__xludf.DUMMYFUNCTION("GOOGLETRANSLATE(B40, ""en"", ""ta"")"),"தயவுசெய்து ஒரு செல்லுபடியாகும் ஆண்டை உள்ளிடவும்.")</f>
        <v>தயவுசெய்து ஒரு செல்லுபடியாகும் ஆண்டை உள்ளிடவும்.</v>
      </c>
      <c r="D40" s="6" t="str">
        <f>IFERROR(__xludf.DUMMYFUNCTION("GOOGLETRANSLATE(B40, ""en"", ""hi"")"),"कृपया एक मान्य वर्ष दर्ज करें")</f>
        <v>कृपया एक मान्य वर्ष दर्ज करें</v>
      </c>
      <c r="E40" s="6" t="str">
        <f>IFERROR(__xludf.DUMMYFUNCTION("GOOGLETRANSLATE(B40, ""en"", ""kn"")"),"ದಯವಿಟ್ಟು ಮಾನ್ಯವಾದ ವರ್ಷವನ್ನು ನಮೂದಿಸಿ.")</f>
        <v>ದಯವಿಟ್ಟು ಮಾನ್ಯವಾದ ವರ್ಷವನ್ನು ನಮೂದಿಸಿ.</v>
      </c>
      <c r="F40" s="7" t="str">
        <f>IFERROR(__xludf.DUMMYFUNCTION("GOOGLETRANSLATE(B40, ""en"", ""ml"")"),"ദയവായി സാധുവായ ഒരു വർഷം നൽകുക.")</f>
        <v>ദയവായി സാധുവായ ഒരു വർഷം നൽകുക.</v>
      </c>
      <c r="G40" s="7" t="str">
        <f>IFERROR(__xludf.DUMMYFUNCTION("GOOGLETRANSLATE(B40, ""en"", ""te"")"),"దయచేసి చెల్లుబాటు అయ్యే సంవత్సరాన్ని నమోదు చేయండి.")</f>
        <v>దయచేసి చెల్లుబాటు అయ్యే సంవత్సరాన్ని నమోదు చేయండి.</v>
      </c>
    </row>
    <row r="41">
      <c r="A41" s="4" t="s">
        <v>85</v>
      </c>
      <c r="B41" s="5" t="s">
        <v>86</v>
      </c>
      <c r="C41" s="6" t="str">
        <f>IFERROR(__xludf.DUMMYFUNCTION("GOOGLETRANSLATE(B41, ""en"", ""ta"")"),"ஆண்டு 1900 மற்றும் 2024 க்கு இடையில் இருக்க வேண்டும்.")</f>
        <v>ஆண்டு 1900 மற்றும் 2024 க்கு இடையில் இருக்க வேண்டும்.</v>
      </c>
      <c r="D41" s="6" t="str">
        <f>IFERROR(__xludf.DUMMYFUNCTION("GOOGLETRANSLATE(B41, ""en"", ""hi"")"),"वर्ष 1900 और 2024 के बीच होना चाहिए।")</f>
        <v>वर्ष 1900 और 2024 के बीच होना चाहिए।</v>
      </c>
      <c r="E41" s="6" t="str">
        <f>IFERROR(__xludf.DUMMYFUNCTION("GOOGLETRANSLATE(B41, ""en"", ""kn"")"),"ವರ್ಷವು 1900 ಮತ್ತು 2024 ರ ನಡುವೆ ಇರಬೇಕು.")</f>
        <v>ವರ್ಷವು 1900 ಮತ್ತು 2024 ರ ನಡುವೆ ಇರಬೇಕು.</v>
      </c>
      <c r="F41" s="7" t="str">
        <f>IFERROR(__xludf.DUMMYFUNCTION("GOOGLETRANSLATE(B41, ""en"", ""ml"")"),"വർഷം 1900 നും 2024 നും ഇടയിലായിരിക്കണം.")</f>
        <v>വർഷം 1900 നും 2024 നും ഇടയിലായിരിക്കണം.</v>
      </c>
      <c r="G41" s="7" t="str">
        <f>IFERROR(__xludf.DUMMYFUNCTION("GOOGLETRANSLATE(B41, ""en"", ""te"")"),"సంవత్సరం 1900 మరియు 2024 మధ్య ఉండాలి.")</f>
        <v>సంవత్సరం 1900 మరియు 2024 మధ్య ఉండాలి.</v>
      </c>
    </row>
    <row r="42">
      <c r="A42" s="4" t="s">
        <v>87</v>
      </c>
      <c r="B42" s="5" t="s">
        <v>88</v>
      </c>
      <c r="C42" s="6" t="str">
        <f>IFERROR(__xludf.DUMMYFUNCTION("GOOGLETRANSLATE(B42, ""en"", ""ta"")"),"பதிவு எண்ணை உள்ளிடவும்.")</f>
        <v>பதிவு எண்ணை உள்ளிடவும்.</v>
      </c>
      <c r="D42" s="6" t="str">
        <f>IFERROR(__xludf.DUMMYFUNCTION("GOOGLETRANSLATE(B42, ""en"", ""hi"")"),"कृपया पंजीकरण संख्या दर्ज करें")</f>
        <v>कृपया पंजीकरण संख्या दर्ज करें</v>
      </c>
      <c r="E42" s="6" t="str">
        <f>IFERROR(__xludf.DUMMYFUNCTION("GOOGLETRANSLATE(B42, ""en"", ""kn"")"),"ದಯವಿಟ್ಟು ನೋಂದಣಿ ಸಂಖ್ಯೆಯನ್ನು ನಮೂದಿಸಿ")</f>
        <v>ದಯವಿಟ್ಟು ನೋಂದಣಿ ಸಂಖ್ಯೆಯನ್ನು ನಮೂದಿಸಿ</v>
      </c>
      <c r="F42" s="7" t="str">
        <f>IFERROR(__xludf.DUMMYFUNCTION("GOOGLETRANSLATE(B42, ""en"", ""ml"")"),"ദയവായി രജിസ്ട്രേഷൻ നമ്പർ നൽകുക")</f>
        <v>ദയവായി രജിസ്ട്രേഷൻ നമ്പർ നൽകുക</v>
      </c>
      <c r="G42" s="7" t="str">
        <f>IFERROR(__xludf.DUMMYFUNCTION("GOOGLETRANSLATE(B42, ""en"", ""te"")"),"దయచేసి రిజిస్ట్రేషన్ నంబర్ నమోదు చేయండి")</f>
        <v>దయచేసి రిజిస్ట్రేషన్ నంబర్ నమోదు చేయండి</v>
      </c>
    </row>
    <row r="43">
      <c r="A43" s="4" t="s">
        <v>89</v>
      </c>
      <c r="B43" s="5" t="s">
        <v>90</v>
      </c>
      <c r="C43" s="6" t="str">
        <f>IFERROR(__xludf.DUMMYFUNCTION("GOOGLETRANSLATE(B43, ""en"", ""ta"")"),"தயவுசெய்து செல்லுபடியாகும் வாகனப் பதிவு எண்ணை உள்ளிடவும்.")</f>
        <v>தயவுசெய்து செல்லுபடியாகும் வாகனப் பதிவு எண்ணை உள்ளிடவும்.</v>
      </c>
      <c r="D43" s="6" t="str">
        <f>IFERROR(__xludf.DUMMYFUNCTION("GOOGLETRANSLATE(B43, ""en"", ""hi"")"),"कृपया वैध वाहन पंजीकरण संख्या दर्ज करें")</f>
        <v>कृपया वैध वाहन पंजीकरण संख्या दर्ज करें</v>
      </c>
      <c r="E43" s="6" t="str">
        <f>IFERROR(__xludf.DUMMYFUNCTION("GOOGLETRANSLATE(B43, ""en"", ""kn"")"),"ದಯವಿಟ್ಟು ಮಾನ್ಯವಾದ ವಾಹನ ನೋಂದಣಿ ಸಂಖ್ಯೆಯನ್ನು ನಮೂದಿಸಿ.")</f>
        <v>ದಯವಿಟ್ಟು ಮಾನ್ಯವಾದ ವಾಹನ ನೋಂದಣಿ ಸಂಖ್ಯೆಯನ್ನು ನಮೂದಿಸಿ.</v>
      </c>
      <c r="F43" s="7" t="str">
        <f>IFERROR(__xludf.DUMMYFUNCTION("GOOGLETRANSLATE(B43, ""en"", ""ml"")"),"ദയവായി സാധുവായ ഒരു വാഹന രജിസ്ട്രേഷൻ നമ്പർ നൽകുക.")</f>
        <v>ദയവായി സാധുവായ ഒരു വാഹന രജിസ്ട്രേഷൻ നമ്പർ നൽകുക.</v>
      </c>
      <c r="G43" s="7" t="str">
        <f>IFERROR(__xludf.DUMMYFUNCTION("GOOGLETRANSLATE(B43, ""en"", ""te"")"),"దయచేసి చెల్లుబాటు అయ్యే వాహన రిజిస్ట్రేషన్ నంబర్‌ను నమోదు చేయండి.")</f>
        <v>దయచేసి చెల్లుబాటు అయ్యే వాహన రిజిస్ట్రేషన్ నంబర్‌ను నమోదు చేయండి.</v>
      </c>
    </row>
    <row r="44">
      <c r="A44" s="4" t="s">
        <v>91</v>
      </c>
      <c r="B44" s="5" t="s">
        <v>92</v>
      </c>
      <c r="C44" s="6" t="str">
        <f>IFERROR(__xludf.DUMMYFUNCTION("GOOGLETRANSLATE(B44, ""en"", ""ta"")"),"வாகன பிராண்டை உள்ளிடவும்.")</f>
        <v>வாகன பிராண்டை உள்ளிடவும்.</v>
      </c>
      <c r="D44" s="6" t="str">
        <f>IFERROR(__xludf.DUMMYFUNCTION("GOOGLETRANSLATE(B44, ""en"", ""hi"")"),"कृपया वाहन का ब्रांड दर्ज करें")</f>
        <v>कृपया वाहन का ब्रांड दर्ज करें</v>
      </c>
      <c r="E44" s="6" t="str">
        <f>IFERROR(__xludf.DUMMYFUNCTION("GOOGLETRANSLATE(B44, ""en"", ""kn"")"),"ದಯವಿಟ್ಟು ವಾಹನ ಬ್ರ್ಯಾಂಡ್ ನಮೂದಿಸಿ")</f>
        <v>ದಯವಿಟ್ಟು ವಾಹನ ಬ್ರ್ಯಾಂಡ್ ನಮೂದಿಸಿ</v>
      </c>
      <c r="F44" s="7" t="str">
        <f>IFERROR(__xludf.DUMMYFUNCTION("GOOGLETRANSLATE(B44, ""en"", ""ml"")"),"വാഹന ബ്രാൻഡ് നൽകുക")</f>
        <v>വാഹന ബ്രാൻഡ് നൽകുക</v>
      </c>
      <c r="G44" s="7" t="str">
        <f>IFERROR(__xludf.DUMMYFUNCTION("GOOGLETRANSLATE(B44, ""en"", ""te"")"),"దయచేసి వాహన బ్రాండ్‌ను నమోదు చేయండి")</f>
        <v>దయచేసి వాహన బ్రాండ్‌ను నమోదు చేయండి</v>
      </c>
    </row>
    <row r="45">
      <c r="A45" s="4" t="s">
        <v>93</v>
      </c>
      <c r="B45" s="5" t="s">
        <v>94</v>
      </c>
      <c r="C45" s="6" t="str">
        <f>IFERROR(__xludf.DUMMYFUNCTION("GOOGLETRANSLATE(B45, ""en"", ""ta"")"),"வாகன மாதிரியை உள்ளிடவும்.")</f>
        <v>வாகன மாதிரியை உள்ளிடவும்.</v>
      </c>
      <c r="D45" s="6" t="str">
        <f>IFERROR(__xludf.DUMMYFUNCTION("GOOGLETRANSLATE(B45, ""en"", ""hi"")"),"कृपया वाहन मॉडल दर्ज करें")</f>
        <v>कृपया वाहन मॉडल दर्ज करें</v>
      </c>
      <c r="E45" s="6" t="str">
        <f>IFERROR(__xludf.DUMMYFUNCTION("GOOGLETRANSLATE(B45, ""en"", ""kn"")"),"ದಯವಿಟ್ಟು ವಾಹನ ಮಾದರಿಯನ್ನು ನಮೂದಿಸಿ.")</f>
        <v>ದಯವಿಟ್ಟು ವಾಹನ ಮಾದರಿಯನ್ನು ನಮೂದಿಸಿ.</v>
      </c>
      <c r="F45" s="7" t="str">
        <f>IFERROR(__xludf.DUMMYFUNCTION("GOOGLETRANSLATE(B45, ""en"", ""ml"")"),"ദയവായി വാഹന മോഡൽ നൽകുക.")</f>
        <v>ദയവായി വാഹന മോഡൽ നൽകുക.</v>
      </c>
      <c r="G45" s="7" t="str">
        <f>IFERROR(__xludf.DUMMYFUNCTION("GOOGLETRANSLATE(B45, ""en"", ""te"")"),"దయచేసి వాహన నమూనాను నమోదు చేయండి.")</f>
        <v>దయచేసి వాహన నమూనాను నమోదు చేయండి.</v>
      </c>
    </row>
    <row r="46">
      <c r="A46" s="4" t="s">
        <v>95</v>
      </c>
      <c r="B46" s="5" t="s">
        <v>96</v>
      </c>
      <c r="C46" s="6" t="str">
        <f>IFERROR(__xludf.DUMMYFUNCTION("GOOGLETRANSLATE(B46, ""en"", ""ta"")"),"தயவுசெய்து உற்பத்தி ஆண்டை உள்ளிடவும்.")</f>
        <v>தயவுசெய்து உற்பத்தி ஆண்டை உள்ளிடவும்.</v>
      </c>
      <c r="D46" s="6" t="str">
        <f>IFERROR(__xludf.DUMMYFUNCTION("GOOGLETRANSLATE(B46, ""en"", ""hi"")"),"कृपया निर्माण वर्ष दर्ज करें")</f>
        <v>कृपया निर्माण वर्ष दर्ज करें</v>
      </c>
      <c r="E46" s="6" t="str">
        <f>IFERROR(__xludf.DUMMYFUNCTION("GOOGLETRANSLATE(B46, ""en"", ""kn"")"),"ದಯವಿಟ್ಟು ತಯಾರಿಕಾ ವರ್ಷವನ್ನು ನಮೂದಿಸಿ")</f>
        <v>ದಯವಿಟ್ಟು ತಯಾರಿಕಾ ವರ್ಷವನ್ನು ನಮೂದಿಸಿ</v>
      </c>
      <c r="F46" s="7" t="str">
        <f>IFERROR(__xludf.DUMMYFUNCTION("GOOGLETRANSLATE(B46, ""en"", ""ml"")"),"നിർമ്മാണ വർഷം നൽകുക.")</f>
        <v>നിർമ്മാണ വർഷം നൽകുക.</v>
      </c>
      <c r="G46" s="7" t="str">
        <f>IFERROR(__xludf.DUMMYFUNCTION("GOOGLETRANSLATE(B46, ""en"", ""te"")"),"దయచేసి తయారీ సంవత్సరాన్ని నమోదు చేయండి")</f>
        <v>దయచేసి తయారీ సంవత్సరాన్ని నమోదు చేయండి</v>
      </c>
    </row>
    <row r="47">
      <c r="A47" s="4" t="s">
        <v>97</v>
      </c>
      <c r="B47" s="5" t="s">
        <v>98</v>
      </c>
      <c r="C47" s="6" t="str">
        <f>IFERROR(__xludf.DUMMYFUNCTION("GOOGLETRANSLATE(B47, ""en"", ""ta"")"),"வாகன நிறத்தை உள்ளிடவும்.")</f>
        <v>வாகன நிறத்தை உள்ளிடவும்.</v>
      </c>
      <c r="D47" s="6" t="str">
        <f>IFERROR(__xludf.DUMMYFUNCTION("GOOGLETRANSLATE(B47, ""en"", ""hi"")"),"कृपया वाहन का रंग दर्ज करें")</f>
        <v>कृपया वाहन का रंग दर्ज करें</v>
      </c>
      <c r="E47" s="6" t="str">
        <f>IFERROR(__xludf.DUMMYFUNCTION("GOOGLETRANSLATE(B47, ""en"", ""kn"")"),"ದಯವಿಟ್ಟು ವಾಹನದ ಬಣ್ಣವನ್ನು ನಮೂದಿಸಿ.")</f>
        <v>ದಯವಿಟ್ಟು ವಾಹನದ ಬಣ್ಣವನ್ನು ನಮೂದಿಸಿ.</v>
      </c>
      <c r="F47" s="7" t="str">
        <f>IFERROR(__xludf.DUMMYFUNCTION("GOOGLETRANSLATE(B47, ""en"", ""ml"")"),"വാഹനത്തിന്റെ നിറം നൽകുക.")</f>
        <v>വാഹനത്തിന്റെ നിറം നൽകുക.</v>
      </c>
      <c r="G47" s="7" t="str">
        <f>IFERROR(__xludf.DUMMYFUNCTION("GOOGLETRANSLATE(B47, ""en"", ""te"")"),"దయచేసి వాహనం రంగును నమోదు చేయండి.")</f>
        <v>దయచేసి వాహనం రంగును నమోదు చేయండి.</v>
      </c>
    </row>
    <row r="48">
      <c r="A48" s="4" t="s">
        <v>99</v>
      </c>
      <c r="B48" s="5" t="s">
        <v>100</v>
      </c>
      <c r="C48" s="6" t="str">
        <f>IFERROR(__xludf.DUMMYFUNCTION("GOOGLETRANSLATE(B48, ""en"", ""ta"")"),"எரிபொருள் வகையைத் தேர்ந்தெடுக்கவும்.")</f>
        <v>எரிபொருள் வகையைத் தேர்ந்தெடுக்கவும்.</v>
      </c>
      <c r="D48" s="6" t="str">
        <f>IFERROR(__xludf.DUMMYFUNCTION("GOOGLETRANSLATE(B48, ""en"", ""hi"")"),"कृपया ईंधन का प्रकार चुनें")</f>
        <v>कृपया ईंधन का प्रकार चुनें</v>
      </c>
      <c r="E48" s="6" t="str">
        <f>IFERROR(__xludf.DUMMYFUNCTION("GOOGLETRANSLATE(B48, ""en"", ""kn"")"),"ದಯವಿಟ್ಟು ಇಂಧನ ಪ್ರಕಾರವನ್ನು ಆಯ್ಕೆಮಾಡಿ")</f>
        <v>ದಯವಿಟ್ಟು ಇಂಧನ ಪ್ರಕಾರವನ್ನು ಆಯ್ಕೆಮಾಡಿ</v>
      </c>
      <c r="F48" s="7" t="str">
        <f>IFERROR(__xludf.DUMMYFUNCTION("GOOGLETRANSLATE(B48, ""en"", ""ml"")"),"ദയവായി ഇന്ധന തരം തിരഞ്ഞെടുക്കുക.")</f>
        <v>ദയവായി ഇന്ധന തരം തിരഞ്ഞെടുക്കുക.</v>
      </c>
      <c r="G48" s="7" t="str">
        <f>IFERROR(__xludf.DUMMYFUNCTION("GOOGLETRANSLATE(B48, ""en"", ""te"")"),"దయచేసి ఇంధన రకాన్ని ఎంచుకోండి.")</f>
        <v>దయచేసి ఇంధన రకాన్ని ఎంచుకోండి.</v>
      </c>
    </row>
    <row r="49">
      <c r="A49" s="4" t="s">
        <v>101</v>
      </c>
      <c r="B49" s="5" t="s">
        <v>102</v>
      </c>
      <c r="C49" s="6" t="str">
        <f>IFERROR(__xludf.DUMMYFUNCTION("GOOGLETRANSLATE(B49, ""en"", ""ta"")"),"முதலில் வாகன பிராண்டைத் தேர்ந்தெடுக்கவும்.")</f>
        <v>முதலில் வாகன பிராண்டைத் தேர்ந்தெடுக்கவும்.</v>
      </c>
      <c r="D49" s="6" t="str">
        <f>IFERROR(__xludf.DUMMYFUNCTION("GOOGLETRANSLATE(B49, ""en"", ""hi"")"),"कृपया पहले वाहन का ब्रांड चुनें")</f>
        <v>कृपया पहले वाहन का ब्रांड चुनें</v>
      </c>
      <c r="E49" s="6" t="str">
        <f>IFERROR(__xludf.DUMMYFUNCTION("GOOGLETRANSLATE(B49, ""en"", ""kn"")"),"ದಯವಿಟ್ಟು ಮೊದಲು ವಾಹನ ಬ್ರ್ಯಾಂಡ್ ಆಯ್ಕೆಮಾಡಿ")</f>
        <v>ದಯವಿಟ್ಟು ಮೊದಲು ವಾಹನ ಬ್ರ್ಯಾಂಡ್ ಆಯ್ಕೆಮಾಡಿ</v>
      </c>
      <c r="F49" s="7" t="str">
        <f>IFERROR(__xludf.DUMMYFUNCTION("GOOGLETRANSLATE(B49, ""en"", ""ml"")"),"ആദ്യം വാഹന ബ്രാൻഡ് തിരഞ്ഞെടുക്കുക.")</f>
        <v>ആദ്യം വാഹന ബ്രാൻഡ് തിരഞ്ഞെടുക്കുക.</v>
      </c>
      <c r="G49" s="7" t="str">
        <f>IFERROR(__xludf.DUMMYFUNCTION("GOOGLETRANSLATE(B49, ""en"", ""te"")"),"దయచేసి ముందుగా వాహన బ్రాండ్‌ను ఎంచుకోండి.")</f>
        <v>దయచేసి ముందుగా వాహన బ్రాండ్‌ను ఎంచుకోండి.</v>
      </c>
    </row>
    <row r="50">
      <c r="A50" s="4" t="s">
        <v>103</v>
      </c>
      <c r="B50" s="5" t="s">
        <v>104</v>
      </c>
      <c r="C50" s="6" t="str">
        <f>IFERROR(__xludf.DUMMYFUNCTION("GOOGLETRANSLATE(B50, ""en"", ""ta"")"),"வாகன வகை")</f>
        <v>வாகன வகை</v>
      </c>
      <c r="D50" s="6" t="str">
        <f>IFERROR(__xludf.DUMMYFUNCTION("GOOGLETRANSLATE(B50, ""en"", ""hi"")"),"वाहन का प्रकार")</f>
        <v>वाहन का प्रकार</v>
      </c>
      <c r="E50" s="6" t="str">
        <f>IFERROR(__xludf.DUMMYFUNCTION("GOOGLETRANSLATE(B50, ""en"", ""kn"")"),"ವಾಹನದ ಪ್ರಕಾರ")</f>
        <v>ವಾಹನದ ಪ್ರಕಾರ</v>
      </c>
      <c r="F50" s="7" t="str">
        <f>IFERROR(__xludf.DUMMYFUNCTION("GOOGLETRANSLATE(B50, ""en"", ""ml"")"),"വാഹന തരം")</f>
        <v>വാഹന തരം</v>
      </c>
      <c r="G50" s="7" t="str">
        <f>IFERROR(__xludf.DUMMYFUNCTION("GOOGLETRANSLATE(B50, ""en"", ""te"")"),"వాహన రకం")</f>
        <v>వాహన రకం</v>
      </c>
    </row>
    <row r="51">
      <c r="A51" s="4" t="s">
        <v>105</v>
      </c>
      <c r="B51" s="5" t="s">
        <v>106</v>
      </c>
      <c r="C51" s="6" t="str">
        <f>IFERROR(__xludf.DUMMYFUNCTION("GOOGLETRANSLATE(B51, ""en"", ""ta"")"),"வாகனப் பதிவு எண்")</f>
        <v>வாகனப் பதிவு எண்</v>
      </c>
      <c r="D51" s="6" t="str">
        <f>IFERROR(__xludf.DUMMYFUNCTION("GOOGLETRANSLATE(B51, ""en"", ""hi"")"),"वाहन पंजीकरण संख्या")</f>
        <v>वाहन पंजीकरण संख्या</v>
      </c>
      <c r="E51" s="6" t="str">
        <f>IFERROR(__xludf.DUMMYFUNCTION("GOOGLETRANSLATE(B51, ""en"", ""kn"")"),"ವಾಹನ ನೋಂದಣಿ ಸಂಖ್ಯೆ")</f>
        <v>ವಾಹನ ನೋಂದಣಿ ಸಂಖ್ಯೆ</v>
      </c>
      <c r="F51" s="7" t="str">
        <f>IFERROR(__xludf.DUMMYFUNCTION("GOOGLETRANSLATE(B51, ""en"", ""ml"")"),"വാഹന രജിസ്ട്രേഷൻ നമ്പർ")</f>
        <v>വാഹന രജിസ്ട്രേഷൻ നമ്പർ</v>
      </c>
      <c r="G51" s="7" t="str">
        <f>IFERROR(__xludf.DUMMYFUNCTION("GOOGLETRANSLATE(B51, ""en"", ""te"")"),"వాహన రిజిస్ట్రేషన్ నంబర్")</f>
        <v>వాహన రిజిస్ట్రేషన్ నంబర్</v>
      </c>
    </row>
    <row r="52">
      <c r="A52" s="4" t="s">
        <v>107</v>
      </c>
      <c r="B52" s="5" t="s">
        <v>108</v>
      </c>
      <c r="C52" s="6" t="str">
        <f>IFERROR(__xludf.DUMMYFUNCTION("GOOGLETRANSLATE(B52, ""en"", ""ta"")"),"வாகன பிராண்ட்")</f>
        <v>வாகன பிராண்ட்</v>
      </c>
      <c r="D52" s="6" t="str">
        <f>IFERROR(__xludf.DUMMYFUNCTION("GOOGLETRANSLATE(B52, ""en"", ""hi"")"),"वाहन ब्रांड")</f>
        <v>वाहन ब्रांड</v>
      </c>
      <c r="E52" s="6" t="str">
        <f>IFERROR(__xludf.DUMMYFUNCTION("GOOGLETRANSLATE(B52, ""en"", ""kn"")"),"ವಾಹನ ಬ್ರಾಂಡ್")</f>
        <v>ವಾಹನ ಬ್ರಾಂಡ್</v>
      </c>
      <c r="F52" s="7" t="str">
        <f>IFERROR(__xludf.DUMMYFUNCTION("GOOGLETRANSLATE(B52, ""en"", ""ml"")"),"വാഹന ബ്രാൻഡ്")</f>
        <v>വാഹന ബ്രാൻഡ്</v>
      </c>
      <c r="G52" s="7" t="str">
        <f>IFERROR(__xludf.DUMMYFUNCTION("GOOGLETRANSLATE(B52, ""en"", ""te"")"),"వాహన బ్రాండ్")</f>
        <v>వాహన బ్రాండ్</v>
      </c>
    </row>
    <row r="53">
      <c r="A53" s="4" t="s">
        <v>109</v>
      </c>
      <c r="B53" s="5" t="s">
        <v>110</v>
      </c>
      <c r="C53" s="6" t="str">
        <f>IFERROR(__xludf.DUMMYFUNCTION("GOOGLETRANSLATE(B53, ""en"", ""ta"")"),"வாகன மாதிரி")</f>
        <v>வாகன மாதிரி</v>
      </c>
      <c r="D53" s="6" t="str">
        <f>IFERROR(__xludf.DUMMYFUNCTION("GOOGLETRANSLATE(B53, ""en"", ""hi"")"),"वाहन मॉडल")</f>
        <v>वाहन मॉडल</v>
      </c>
      <c r="E53" s="6" t="str">
        <f>IFERROR(__xludf.DUMMYFUNCTION("GOOGLETRANSLATE(B53, ""en"", ""kn"")"),"ವಾಹನ ಮಾದರಿ")</f>
        <v>ವಾಹನ ಮಾದರಿ</v>
      </c>
      <c r="F53" s="7" t="str">
        <f>IFERROR(__xludf.DUMMYFUNCTION("GOOGLETRANSLATE(B53, ""en"", ""ml"")"),"വാഹന മോഡൽ")</f>
        <v>വാഹന മോഡൽ</v>
      </c>
      <c r="G53" s="7" t="str">
        <f>IFERROR(__xludf.DUMMYFUNCTION("GOOGLETRANSLATE(B53, ""en"", ""te"")"),"వాహన నమూనా")</f>
        <v>వాహన నమూనా</v>
      </c>
    </row>
    <row r="54">
      <c r="A54" s="4" t="s">
        <v>111</v>
      </c>
      <c r="B54" s="5" t="s">
        <v>112</v>
      </c>
      <c r="C54" s="6" t="str">
        <f>IFERROR(__xludf.DUMMYFUNCTION("GOOGLETRANSLATE(B54, ""en"", ""ta"")"),"உற்பத்தி ஆண்டு")</f>
        <v>உற்பத்தி ஆண்டு</v>
      </c>
      <c r="D54" s="6" t="str">
        <f>IFERROR(__xludf.DUMMYFUNCTION("GOOGLETRANSLATE(B54, ""en"", ""hi"")"),"विनिर्माण वर्ष")</f>
        <v>विनिर्माण वर्ष</v>
      </c>
      <c r="E54" s="6" t="str">
        <f>IFERROR(__xludf.DUMMYFUNCTION("GOOGLETRANSLATE(B54, ""en"", ""kn"")"),"ಉತ್ಪಾದನಾ ವರ್ಷ")</f>
        <v>ಉತ್ಪಾದನಾ ವರ್ಷ</v>
      </c>
      <c r="F54" s="7" t="str">
        <f>IFERROR(__xludf.DUMMYFUNCTION("GOOGLETRANSLATE(B54, ""en"", ""ml"")"),"നിർമ്മാണ വർഷം")</f>
        <v>നിർമ്മാണ വർഷം</v>
      </c>
      <c r="G54" s="7" t="str">
        <f>IFERROR(__xludf.DUMMYFUNCTION("GOOGLETRANSLATE(B54, ""en"", ""te"")"),"తయారీ సంవత్సరం")</f>
        <v>తయారీ సంవత్సరం</v>
      </c>
    </row>
    <row r="55">
      <c r="A55" s="4" t="s">
        <v>113</v>
      </c>
      <c r="B55" s="5" t="s">
        <v>114</v>
      </c>
      <c r="C55" s="6" t="str">
        <f>IFERROR(__xludf.DUMMYFUNCTION("GOOGLETRANSLATE(B55, ""en"", ""ta"")"),"வாகன நிறம்")</f>
        <v>வாகன நிறம்</v>
      </c>
      <c r="D55" s="6" t="str">
        <f>IFERROR(__xludf.DUMMYFUNCTION("GOOGLETRANSLATE(B55, ""en"", ""hi"")"),"वाहन का रंग")</f>
        <v>वाहन का रंग</v>
      </c>
      <c r="E55" s="6" t="str">
        <f>IFERROR(__xludf.DUMMYFUNCTION("GOOGLETRANSLATE(B55, ""en"", ""kn"")"),"ವಾಹನದ ಬಣ್ಣ")</f>
        <v>ವಾಹನದ ಬಣ್ಣ</v>
      </c>
      <c r="F55" s="7" t="str">
        <f>IFERROR(__xludf.DUMMYFUNCTION("GOOGLETRANSLATE(B55, ""en"", ""ml"")"),"വാഹന നിറം")</f>
        <v>വാഹന നിറം</v>
      </c>
      <c r="G55" s="7" t="str">
        <f>IFERROR(__xludf.DUMMYFUNCTION("GOOGLETRANSLATE(B55, ""en"", ""te"")"),"వాహనం రంగు")</f>
        <v>వాహనం రంగు</v>
      </c>
    </row>
    <row r="56">
      <c r="A56" s="4" t="s">
        <v>115</v>
      </c>
      <c r="B56" s="5" t="s">
        <v>116</v>
      </c>
      <c r="C56" s="6" t="str">
        <f>IFERROR(__xludf.DUMMYFUNCTION("GOOGLETRANSLATE(B56, ""en"", ""ta"")"),"எரிபொருள் வகை")</f>
        <v>எரிபொருள் வகை</v>
      </c>
      <c r="D56" s="6" t="str">
        <f>IFERROR(__xludf.DUMMYFUNCTION("GOOGLETRANSLATE(B56, ""en"", ""hi"")"),"ईंधन प्रकार")</f>
        <v>ईंधन प्रकार</v>
      </c>
      <c r="E56" s="6" t="str">
        <f>IFERROR(__xludf.DUMMYFUNCTION("GOOGLETRANSLATE(B56, ""en"", ""kn"")"),"ಇಂಧನ ಪ್ರಕಾರ")</f>
        <v>ಇಂಧನ ಪ್ರಕಾರ</v>
      </c>
      <c r="F56" s="7" t="str">
        <f>IFERROR(__xludf.DUMMYFUNCTION("GOOGLETRANSLATE(B56, ""en"", ""ml"")"),"ഇന്ധന തരം")</f>
        <v>ഇന്ധന തരം</v>
      </c>
      <c r="G56" s="7" t="str">
        <f>IFERROR(__xludf.DUMMYFUNCTION("GOOGLETRANSLATE(B56, ""en"", ""te"")"),"ఇంధన రకం")</f>
        <v>ఇంధన రకం</v>
      </c>
    </row>
    <row r="57">
      <c r="A57" s="4" t="s">
        <v>117</v>
      </c>
      <c r="B57" s="5" t="s">
        <v>118</v>
      </c>
      <c r="C57" s="6" t="str">
        <f>IFERROR(__xludf.DUMMYFUNCTION("GOOGLETRANSLATE(B57, ""en"", ""ta"")"),"அனுமதி எண்")</f>
        <v>அனுமதி எண்</v>
      </c>
      <c r="D57" s="6" t="str">
        <f>IFERROR(__xludf.DUMMYFUNCTION("GOOGLETRANSLATE(B57, ""en"", ""hi"")"),"परमिट संख्या")</f>
        <v>परमिट संख्या</v>
      </c>
      <c r="E57" s="6" t="str">
        <f>IFERROR(__xludf.DUMMYFUNCTION("GOOGLETRANSLATE(B57, ""en"", ""kn"")"),"ಪರವಾನಗಿ ಸಂಖ್ಯೆ")</f>
        <v>ಪರವಾನಗಿ ಸಂಖ್ಯೆ</v>
      </c>
      <c r="F57" s="7" t="str">
        <f>IFERROR(__xludf.DUMMYFUNCTION("GOOGLETRANSLATE(B57, ""en"", ""ml"")"),"പെർമിറ്റ് നമ്പർ")</f>
        <v>പെർമിറ്റ് നമ്പർ</v>
      </c>
      <c r="G57" s="7" t="str">
        <f>IFERROR(__xludf.DUMMYFUNCTION("GOOGLETRANSLATE(B57, ""en"", ""te"")"),"పర్మిట్ నంబర్")</f>
        <v>పర్మిట్ నంబర్</v>
      </c>
    </row>
    <row r="58">
      <c r="A58" s="4" t="s">
        <v>119</v>
      </c>
      <c r="B58" s="5" t="s">
        <v>120</v>
      </c>
      <c r="C58" s="6" t="str">
        <f>IFERROR(__xludf.DUMMYFUNCTION("GOOGLETRANSLATE(B58, ""en"", ""ta"")"),"காப்பீட்டு காலாவதி")</f>
        <v>காப்பீட்டு காலாவதி</v>
      </c>
      <c r="D58" s="6" t="str">
        <f>IFERROR(__xludf.DUMMYFUNCTION("GOOGLETRANSLATE(B58, ""en"", ""hi"")"),"बीमा समाप्ति")</f>
        <v>बीमा समाप्ति</v>
      </c>
      <c r="E58" s="6" t="str">
        <f>IFERROR(__xludf.DUMMYFUNCTION("GOOGLETRANSLATE(B58, ""en"", ""kn"")"),"ವಿಮೆಯ ಅವಧಿ ಮುಕ್ತಾಯ")</f>
        <v>ವಿಮೆಯ ಅವಧಿ ಮುಕ್ತಾಯ</v>
      </c>
      <c r="F58" s="7" t="str">
        <f>IFERROR(__xludf.DUMMYFUNCTION("GOOGLETRANSLATE(B58, ""en"", ""ml"")"),"ഇൻഷുറൻസ് കാലാവധി")</f>
        <v>ഇൻഷുറൻസ് കാലാവധി</v>
      </c>
      <c r="G58" s="7" t="str">
        <f>IFERROR(__xludf.DUMMYFUNCTION("GOOGLETRANSLATE(B58, ""en"", ""te"")"),"బీమా గడువు")</f>
        <v>బీమా గడువు</v>
      </c>
    </row>
    <row r="59">
      <c r="A59" s="4" t="s">
        <v>121</v>
      </c>
      <c r="B59" s="5" t="s">
        <v>122</v>
      </c>
      <c r="C59" s="6" t="str">
        <f>IFERROR(__xludf.DUMMYFUNCTION("GOOGLETRANSLATE(B59, ""en"", ""ta"")"),"சாலை வரி காலாவதி")</f>
        <v>சாலை வரி காலாவதி</v>
      </c>
      <c r="D59" s="6" t="str">
        <f>IFERROR(__xludf.DUMMYFUNCTION("GOOGLETRANSLATE(B59, ""en"", ""hi"")"),"सड़क कर की समाप्ति")</f>
        <v>सड़क कर की समाप्ति</v>
      </c>
      <c r="E59" s="6" t="str">
        <f>IFERROR(__xludf.DUMMYFUNCTION("GOOGLETRANSLATE(B59, ""en"", ""kn"")"),"ರಸ್ತೆ ತೆರಿಗೆ ಅವಧಿ ಮುಕ್ತಾಯ")</f>
        <v>ರಸ್ತೆ ತೆರಿಗೆ ಅವಧಿ ಮುಕ್ತಾಯ</v>
      </c>
      <c r="F59" s="7" t="str">
        <f>IFERROR(__xludf.DUMMYFUNCTION("GOOGLETRANSLATE(B59, ""en"", ""ml"")"),"റോഡ് നികുതി കാലാവധി")</f>
        <v>റോഡ് നികുതി കാലാവധി</v>
      </c>
      <c r="G59" s="7" t="str">
        <f>IFERROR(__xludf.DUMMYFUNCTION("GOOGLETRANSLATE(B59, ""en"", ""te"")"),"రోడ్డు పన్ను గడువు ముగింపు")</f>
        <v>రోడ్డు పన్ను గడువు ముగింపు</v>
      </c>
    </row>
    <row r="60">
      <c r="A60" s="4" t="s">
        <v>123</v>
      </c>
      <c r="B60" s="5" t="s">
        <v>124</v>
      </c>
      <c r="C60" s="6" t="str">
        <f>IFERROR(__xludf.DUMMYFUNCTION("GOOGLETRANSLATE(B60, ""en"", ""ta"")"),"உடற்பயிற்சி காலாவதி")</f>
        <v>உடற்பயிற்சி காலாவதி</v>
      </c>
      <c r="D60" s="6" t="str">
        <f>IFERROR(__xludf.DUMMYFUNCTION("GOOGLETRANSLATE(B60, ""en"", ""hi"")"),"फिटनेस समाप्ति")</f>
        <v>फिटनेस समाप्ति</v>
      </c>
      <c r="E60" s="6" t="str">
        <f>IFERROR(__xludf.DUMMYFUNCTION("GOOGLETRANSLATE(B60, ""en"", ""kn"")"),"ಫಿಟ್‌ನೆಸ್ ಅವಧಿ")</f>
        <v>ಫಿಟ್‌ನೆಸ್ ಅವಧಿ</v>
      </c>
      <c r="F60" s="7" t="str">
        <f>IFERROR(__xludf.DUMMYFUNCTION("GOOGLETRANSLATE(B60, ""en"", ""ml"")"),"ഫിറ്റ്നസ് കാലാവധി")</f>
        <v>ഫിറ്റ്നസ് കാലാവധി</v>
      </c>
      <c r="G60" s="7" t="str">
        <f>IFERROR(__xludf.DUMMYFUNCTION("GOOGLETRANSLATE(B60, ""en"", ""te"")"),"ఫిట్‌నెస్ గడువు")</f>
        <v>ఫిట్‌నెస్ గడువు</v>
      </c>
    </row>
    <row r="61">
      <c r="A61" s="4" t="s">
        <v>125</v>
      </c>
      <c r="B61" s="5" t="s">
        <v>126</v>
      </c>
      <c r="C61" s="6" t="str">
        <f>IFERROR(__xludf.DUMMYFUNCTION("GOOGLETRANSLATE(B61, ""en"", ""ta"")"),"பி.யூ.சி காலாவதி")</f>
        <v>பி.யூ.சி காலாவதி</v>
      </c>
      <c r="D61" s="6" t="str">
        <f>IFERROR(__xludf.DUMMYFUNCTION("GOOGLETRANSLATE(B61, ""en"", ""hi"")"),"पीयूसी समाप्ति")</f>
        <v>पीयूसी समाप्ति</v>
      </c>
      <c r="E61" s="6" t="str">
        <f>IFERROR(__xludf.DUMMYFUNCTION("GOOGLETRANSLATE(B61, ""en"", ""kn"")"),"ಪಿಯುಸಿ ಅವಧಿ ಮುಗಿದಿದೆ")</f>
        <v>ಪಿಯುಸಿ ಅವಧಿ ಮುಗಿದಿದೆ</v>
      </c>
      <c r="F61" s="7" t="str">
        <f>IFERROR(__xludf.DUMMYFUNCTION("GOOGLETRANSLATE(B61, ""en"", ""ml"")"),"പി.യു.സി. കാലാവധി")</f>
        <v>പി.യു.സി. കാലാവധി</v>
      </c>
      <c r="G61" s="7" t="str">
        <f>IFERROR(__xludf.DUMMYFUNCTION("GOOGLETRANSLATE(B61, ""en"", ""te"")"),"పియుసి గడువు")</f>
        <v>పియుసి గడువు</v>
      </c>
    </row>
    <row r="62">
      <c r="A62" s="4" t="s">
        <v>127</v>
      </c>
      <c r="B62" s="5" t="s">
        <v>128</v>
      </c>
      <c r="C62" s="6" t="str">
        <f>IFERROR(__xludf.DUMMYFUNCTION("GOOGLETRANSLATE(B62, ""en"", ""ta"")"),"வாகன நிறத்தைத் தேர்ந்தெடுக்கவும்")</f>
        <v>வாகன நிறத்தைத் தேர்ந்தெடுக்கவும்</v>
      </c>
      <c r="D62" s="6" t="str">
        <f>IFERROR(__xludf.DUMMYFUNCTION("GOOGLETRANSLATE(B62, ""en"", ""hi"")"),"वाहन का रंग चुनें")</f>
        <v>वाहन का रंग चुनें</v>
      </c>
      <c r="E62" s="6" t="str">
        <f>IFERROR(__xludf.DUMMYFUNCTION("GOOGLETRANSLATE(B62, ""en"", ""kn"")"),"ವಾಹನದ ಬಣ್ಣವನ್ನು ಆಯ್ಕೆಮಾಡಿ")</f>
        <v>ವಾಹನದ ಬಣ್ಣವನ್ನು ಆಯ್ಕೆಮಾಡಿ</v>
      </c>
      <c r="F62" s="7" t="str">
        <f>IFERROR(__xludf.DUMMYFUNCTION("GOOGLETRANSLATE(B62, ""en"", ""ml"")"),"വാഹനത്തിന്റെ നിറം തിരഞ്ഞെടുക്കുക")</f>
        <v>വാഹനത്തിന്റെ നിറം തിരഞ്ഞെടുക്കുക</v>
      </c>
      <c r="G62" s="7" t="str">
        <f>IFERROR(__xludf.DUMMYFUNCTION("GOOGLETRANSLATE(B62, ""en"", ""te"")"),"వాహనం రంగును ఎంచుకోండి")</f>
        <v>వాహనం రంగును ఎంచుకోండి</v>
      </c>
    </row>
    <row r="63">
      <c r="A63" s="4" t="s">
        <v>129</v>
      </c>
      <c r="B63" s="5" t="s">
        <v>130</v>
      </c>
      <c r="C63" s="6" t="str">
        <f>IFERROR(__xludf.DUMMYFUNCTION("GOOGLETRANSLATE(B63, ""en"", ""ta"")"),"உற்பத்தி ஆண்டைத் தேர்ந்தெடுக்கவும்")</f>
        <v>உற்பத்தி ஆண்டைத் தேர்ந்தெடுக்கவும்</v>
      </c>
      <c r="D63" s="6" t="str">
        <f>IFERROR(__xludf.DUMMYFUNCTION("GOOGLETRANSLATE(B63, ""en"", ""hi"")"),"निर्माण वर्ष का चयन करें")</f>
        <v>निर्माण वर्ष का चयन करें</v>
      </c>
      <c r="E63" s="6" t="str">
        <f>IFERROR(__xludf.DUMMYFUNCTION("GOOGLETRANSLATE(B63, ""en"", ""kn"")"),"ಉತ್ಪಾದನಾ ವರ್ಷವನ್ನು ಆಯ್ಕೆಮಾಡಿ")</f>
        <v>ಉತ್ಪಾದನಾ ವರ್ಷವನ್ನು ಆಯ್ಕೆಮಾಡಿ</v>
      </c>
      <c r="F63" s="7" t="str">
        <f>IFERROR(__xludf.DUMMYFUNCTION("GOOGLETRANSLATE(B63, ""en"", ""ml"")"),"നിർമ്മാണ വർഷം തിരഞ്ഞെടുക്കുക")</f>
        <v>നിർമ്മാണ വർഷം തിരഞ്ഞെടുക്കുക</v>
      </c>
      <c r="G63" s="7" t="str">
        <f>IFERROR(__xludf.DUMMYFUNCTION("GOOGLETRANSLATE(B63, ""en"", ""te"")"),"తయారీ సంవత్సరాన్ని ఎంచుకోండి")</f>
        <v>తయారీ సంవత్సరాన్ని ఎంచుకోండి</v>
      </c>
    </row>
    <row r="64">
      <c r="A64" s="4" t="s">
        <v>131</v>
      </c>
      <c r="B64" s="5" t="s">
        <v>132</v>
      </c>
      <c r="C64" s="6" t="str">
        <f>IFERROR(__xludf.DUMMYFUNCTION("GOOGLETRANSLATE(B64, ""en"", ""ta"")"),"வாகன பிராண்டைத் தேர்ந்தெடுக்கவும்")</f>
        <v>வாகன பிராண்டைத் தேர்ந்தெடுக்கவும்</v>
      </c>
      <c r="D64" s="6" t="str">
        <f>IFERROR(__xludf.DUMMYFUNCTION("GOOGLETRANSLATE(B64, ""en"", ""hi"")"),"वाहन ब्रांड का चयन करें")</f>
        <v>वाहन ब्रांड का चयन करें</v>
      </c>
      <c r="E64" s="6" t="str">
        <f>IFERROR(__xludf.DUMMYFUNCTION("GOOGLETRANSLATE(B64, ""en"", ""kn"")"),"ವಾಹನ ಬ್ರಾಂಡ್ ಆಯ್ಕೆಮಾಡಿ")</f>
        <v>ವಾಹನ ಬ್ರಾಂಡ್ ಆಯ್ಕೆಮಾಡಿ</v>
      </c>
      <c r="F64" s="7" t="str">
        <f>IFERROR(__xludf.DUMMYFUNCTION("GOOGLETRANSLATE(B64, ""en"", ""ml"")"),"വാഹന ബ്രാൻഡ് തിരഞ്ഞെടുക്കുക")</f>
        <v>വാഹന ബ്രാൻഡ് തിരഞ്ഞെടുക്കുക</v>
      </c>
      <c r="G64" s="7" t="str">
        <f>IFERROR(__xludf.DUMMYFUNCTION("GOOGLETRANSLATE(B64, ""en"", ""te"")"),"వాహన బ్రాండ్‌ను ఎంచుకోండి")</f>
        <v>వాహన బ్రాండ్‌ను ఎంచుకోండి</v>
      </c>
    </row>
    <row r="65">
      <c r="A65" s="4" t="s">
        <v>133</v>
      </c>
      <c r="B65" s="5" t="s">
        <v>134</v>
      </c>
      <c r="C65" s="6" t="str">
        <f>IFERROR(__xludf.DUMMYFUNCTION("GOOGLETRANSLATE(B65, ""en"", ""ta"")"),"வாகன மாதிரியைத் தேர்ந்தெடுக்கவும்")</f>
        <v>வாகன மாதிரியைத் தேர்ந்தெடுக்கவும்</v>
      </c>
      <c r="D65" s="6" t="str">
        <f>IFERROR(__xludf.DUMMYFUNCTION("GOOGLETRANSLATE(B65, ""en"", ""hi"")"),"वाहन मॉडल का चयन करें")</f>
        <v>वाहन मॉडल का चयन करें</v>
      </c>
      <c r="E65" s="6" t="str">
        <f>IFERROR(__xludf.DUMMYFUNCTION("GOOGLETRANSLATE(B65, ""en"", ""kn"")"),"ವಾಹನ ಮಾದರಿಯನ್ನು ಆಯ್ಕೆಮಾಡಿ")</f>
        <v>ವಾಹನ ಮಾದರಿಯನ್ನು ಆಯ್ಕೆಮಾಡಿ</v>
      </c>
      <c r="F65" s="7" t="str">
        <f>IFERROR(__xludf.DUMMYFUNCTION("GOOGLETRANSLATE(B65, ""en"", ""ml"")"),"വാഹന മോഡൽ തിരഞ്ഞെടുക്കുക")</f>
        <v>വാഹന മോഡൽ തിരഞ്ഞെടുക്കുക</v>
      </c>
      <c r="G65" s="7" t="str">
        <f>IFERROR(__xludf.DUMMYFUNCTION("GOOGLETRANSLATE(B65, ""en"", ""te"")"),"వాహన నమూనాను ఎంచుకోండి")</f>
        <v>వాహన నమూనాను ఎంచుకోండి</v>
      </c>
    </row>
    <row r="66">
      <c r="A66" s="4" t="s">
        <v>135</v>
      </c>
      <c r="B66" s="5" t="s">
        <v>136</v>
      </c>
      <c r="C66" s="6" t="str">
        <f>IFERROR(__xludf.DUMMYFUNCTION("GOOGLETRANSLATE(B66, ""en"", ""ta"")"),"எரிபொருள் வகையைத் தேர்ந்தெடுக்கவும்")</f>
        <v>எரிபொருள் வகையைத் தேர்ந்தெடுக்கவும்</v>
      </c>
      <c r="D66" s="6" t="str">
        <f>IFERROR(__xludf.DUMMYFUNCTION("GOOGLETRANSLATE(B66, ""en"", ""hi"")"),"ईंधन का प्रकार चुनें")</f>
        <v>ईंधन का प्रकार चुनें</v>
      </c>
      <c r="E66" s="6" t="str">
        <f>IFERROR(__xludf.DUMMYFUNCTION("GOOGLETRANSLATE(B66, ""en"", ""kn"")"),"ಇಂಧನ ಪ್ರಕಾರವನ್ನು ಆಯ್ಕೆಮಾಡಿ")</f>
        <v>ಇಂಧನ ಪ್ರಕಾರವನ್ನು ಆಯ್ಕೆಮಾಡಿ</v>
      </c>
      <c r="F66" s="7" t="str">
        <f>IFERROR(__xludf.DUMMYFUNCTION("GOOGLETRANSLATE(B66, ""en"", ""ml"")"),"ഇന്ധന തരം തിരഞ്ഞെടുക്കുക")</f>
        <v>ഇന്ധന തരം തിരഞ്ഞെടുക്കുക</v>
      </c>
      <c r="G66" s="7" t="str">
        <f>IFERROR(__xludf.DUMMYFUNCTION("GOOGLETRANSLATE(B66, ""en"", ""te"")"),"ఇంధన రకాన్ని ఎంచుకోండి")</f>
        <v>ఇంధన రకాన్ని ఎంచుకోండి</v>
      </c>
    </row>
    <row r="67">
      <c r="A67" s="4" t="s">
        <v>137</v>
      </c>
      <c r="B67" s="5" t="s">
        <v>138</v>
      </c>
      <c r="C67" s="6" t="str">
        <f>IFERROR(__xludf.DUMMYFUNCTION("GOOGLETRANSLATE(B67, ""en"", ""ta"")"),"வாகன பிராண்டின் வகை...")</f>
        <v>வாகன பிராண்டின் வகை...</v>
      </c>
      <c r="D67" s="6" t="str">
        <f>IFERROR(__xludf.DUMMYFUNCTION("GOOGLETRANSLATE(B67, ""en"", ""hi"")"),"वाहन का प्रकार...")</f>
        <v>वाहन का प्रकार...</v>
      </c>
      <c r="E67" s="6" t="str">
        <f>IFERROR(__xludf.DUMMYFUNCTION("GOOGLETRANSLATE(B67, ""en"", ""kn"")"),"ವಾಹನ ಬ್ರಾಂಡ್ ಪ್ರಕಾರ...")</f>
        <v>ವಾಹನ ಬ್ರಾಂಡ್ ಪ್ರಕಾರ...</v>
      </c>
      <c r="F67" s="7" t="str">
        <f>IFERROR(__xludf.DUMMYFUNCTION("GOOGLETRANSLATE(B67, ""en"", ""ml"")"),"വാഹന ബ്രാൻഡ് തരം...")</f>
        <v>വാഹന ബ്രാൻഡ് തരം...</v>
      </c>
      <c r="G67" s="7" t="str">
        <f>IFERROR(__xludf.DUMMYFUNCTION("GOOGLETRANSLATE(B67, ""en"", ""te"")"),"వాహన బ్రాండ్ రకం...")</f>
        <v>వాహన బ్రాండ్ రకం...</v>
      </c>
    </row>
    <row r="68">
      <c r="A68" s="4" t="s">
        <v>139</v>
      </c>
      <c r="B68" s="5" t="s">
        <v>140</v>
      </c>
      <c r="C68" s="6" t="str">
        <f>IFERROR(__xludf.DUMMYFUNCTION("GOOGLETRANSLATE(B68, ""en"", ""ta"")"),"வாகன மாதிரி வகை...")</f>
        <v>வாகன மாதிரி வகை...</v>
      </c>
      <c r="D68" s="6" t="str">
        <f>IFERROR(__xludf.DUMMYFUNCTION("GOOGLETRANSLATE(B68, ""en"", ""hi"")"),"वाहन का प्रकार, मॉडल...")</f>
        <v>वाहन का प्रकार, मॉडल...</v>
      </c>
      <c r="E68" s="6" t="str">
        <f>IFERROR(__xludf.DUMMYFUNCTION("GOOGLETRANSLATE(B68, ""en"", ""kn"")"),"ವಾಹನ ಮಾದರಿಯ ಪ್ರಕಾರ...")</f>
        <v>ವಾಹನ ಮಾದರಿಯ ಪ್ರಕಾರ...</v>
      </c>
      <c r="F68" s="7" t="str">
        <f>IFERROR(__xludf.DUMMYFUNCTION("GOOGLETRANSLATE(B68, ""en"", ""ml"")"),"വാഹന മോഡൽ തരം...")</f>
        <v>വാഹന മോഡൽ തരം...</v>
      </c>
      <c r="G68" s="7" t="str">
        <f>IFERROR(__xludf.DUMMYFUNCTION("GOOGLETRANSLATE(B68, ""en"", ""te"")"),"వాహన నమూనా రకం...")</f>
        <v>వాహన నమూనా రకం...</v>
      </c>
    </row>
    <row r="69">
      <c r="A69" s="4" t="s">
        <v>141</v>
      </c>
      <c r="B69" s="5" t="s">
        <v>142</v>
      </c>
      <c r="C69" s="6" t="str">
        <f>IFERROR(__xludf.DUMMYFUNCTION("GOOGLETRANSLATE(B69, ""en"", ""ta"")"),"அடுத்து")</f>
        <v>அடுத்து</v>
      </c>
      <c r="D69" s="6" t="str">
        <f>IFERROR(__xludf.DUMMYFUNCTION("GOOGLETRANSLATE(B69, ""en"", ""hi"")"),"अगला")</f>
        <v>अगला</v>
      </c>
      <c r="E69" s="6" t="str">
        <f>IFERROR(__xludf.DUMMYFUNCTION("GOOGLETRANSLATE(B69, ""en"", ""kn"")"),"ಮುಂದೆ")</f>
        <v>ಮುಂದೆ</v>
      </c>
      <c r="F69" s="7" t="str">
        <f>IFERROR(__xludf.DUMMYFUNCTION("GOOGLETRANSLATE(B69, ""en"", ""ml"")"),"അടുത്തത്")</f>
        <v>അടുത്തത്</v>
      </c>
      <c r="G69" s="7" t="str">
        <f>IFERROR(__xludf.DUMMYFUNCTION("GOOGLETRANSLATE(B69, ""en"", ""te"")"),"తరువాతి")</f>
        <v>తరువాతి</v>
      </c>
    </row>
    <row r="70">
      <c r="A70" s="4" t="s">
        <v>143</v>
      </c>
      <c r="B70" s="5" t="s">
        <v>144</v>
      </c>
      <c r="C70" s="6" t="str">
        <f>IFERROR(__xludf.DUMMYFUNCTION("GOOGLETRANSLATE(B70, ""en"", ""ta"")"),"நிறத்தைத் தேர்ந்தெடுக்கவும்")</f>
        <v>நிறத்தைத் தேர்ந்தெடுக்கவும்</v>
      </c>
      <c r="D70" s="6" t="str">
        <f>IFERROR(__xludf.DUMMYFUNCTION("GOOGLETRANSLATE(B70, ""en"", ""hi"")"),"रंग चुनो")</f>
        <v>रंग चुनो</v>
      </c>
      <c r="E70" s="6" t="str">
        <f>IFERROR(__xludf.DUMMYFUNCTION("GOOGLETRANSLATE(B70, ""en"", ""kn"")"),"ಬಣ್ಣವನ್ನು ಆಯ್ಕೆಮಾಡಿ")</f>
        <v>ಬಣ್ಣವನ್ನು ಆಯ್ಕೆಮಾಡಿ</v>
      </c>
      <c r="F70" s="7" t="str">
        <f>IFERROR(__xludf.DUMMYFUNCTION("GOOGLETRANSLATE(B70, ""en"", ""ml"")"),"നിറം തിരഞ്ഞെടുക്കുക")</f>
        <v>നിറം തിരഞ്ഞെടുക്കുക</v>
      </c>
      <c r="G70" s="7" t="str">
        <f>IFERROR(__xludf.DUMMYFUNCTION("GOOGLETRANSLATE(B70, ""en"", ""te"")"),"రంగును ఎంచుకోండి")</f>
        <v>రంగును ఎంచుకోండి</v>
      </c>
    </row>
    <row r="71">
      <c r="A71" s="4" t="s">
        <v>145</v>
      </c>
      <c r="B71" s="5" t="s">
        <v>146</v>
      </c>
      <c r="C71" s="6" t="str">
        <f>IFERROR(__xludf.DUMMYFUNCTION("GOOGLETRANSLATE(B71, ""en"", ""ta"")"),"சிவப்பு")</f>
        <v>சிவப்பு</v>
      </c>
      <c r="D71" s="6" t="str">
        <f>IFERROR(__xludf.DUMMYFUNCTION("GOOGLETRANSLATE(B71, ""en"", ""hi"")"),"लाल")</f>
        <v>लाल</v>
      </c>
      <c r="E71" s="6" t="str">
        <f>IFERROR(__xludf.DUMMYFUNCTION("GOOGLETRANSLATE(B71, ""en"", ""kn"")"),"ಕೆಂಪು")</f>
        <v>ಕೆಂಪು</v>
      </c>
      <c r="F71" s="7" t="str">
        <f>IFERROR(__xludf.DUMMYFUNCTION("GOOGLETRANSLATE(B71, ""en"", ""ml"")"),"ചുവപ്പ്")</f>
        <v>ചുവപ്പ്</v>
      </c>
      <c r="G71" s="7" t="str">
        <f>IFERROR(__xludf.DUMMYFUNCTION("GOOGLETRANSLATE(B71, ""en"", ""te"")"),"ఎరుపు")</f>
        <v>ఎరుపు</v>
      </c>
    </row>
    <row r="72">
      <c r="A72" s="4" t="s">
        <v>147</v>
      </c>
      <c r="B72" s="5" t="s">
        <v>148</v>
      </c>
      <c r="C72" s="6" t="str">
        <f>IFERROR(__xludf.DUMMYFUNCTION("GOOGLETRANSLATE(B72, ""en"", ""ta"")"),"பச்சை")</f>
        <v>பச்சை</v>
      </c>
      <c r="D72" s="6" t="str">
        <f>IFERROR(__xludf.DUMMYFUNCTION("GOOGLETRANSLATE(B72, ""en"", ""hi"")"),"हरा")</f>
        <v>हरा</v>
      </c>
      <c r="E72" s="6" t="str">
        <f>IFERROR(__xludf.DUMMYFUNCTION("GOOGLETRANSLATE(B72, ""en"", ""kn"")"),"ಹಸಿರು")</f>
        <v>ಹಸಿರು</v>
      </c>
      <c r="F72" s="7" t="str">
        <f>IFERROR(__xludf.DUMMYFUNCTION("GOOGLETRANSLATE(B72, ""en"", ""ml"")"),"പച്ച")</f>
        <v>പച്ച</v>
      </c>
      <c r="G72" s="7" t="str">
        <f>IFERROR(__xludf.DUMMYFUNCTION("GOOGLETRANSLATE(B72, ""en"", ""te"")"),"ఆకుపచ్చ")</f>
        <v>ఆకుపచ్చ</v>
      </c>
    </row>
    <row r="73">
      <c r="A73" s="4" t="s">
        <v>149</v>
      </c>
      <c r="B73" s="5" t="s">
        <v>150</v>
      </c>
      <c r="C73" s="6" t="str">
        <f>IFERROR(__xludf.DUMMYFUNCTION("GOOGLETRANSLATE(B73, ""en"", ""ta"")"),"நீலம்")</f>
        <v>நீலம்</v>
      </c>
      <c r="D73" s="6" t="str">
        <f>IFERROR(__xludf.DUMMYFUNCTION("GOOGLETRANSLATE(B73, ""en"", ""hi"")"),"नीला")</f>
        <v>नीला</v>
      </c>
      <c r="E73" s="6" t="str">
        <f>IFERROR(__xludf.DUMMYFUNCTION("GOOGLETRANSLATE(B73, ""en"", ""kn"")"),"ನೀಲಿ")</f>
        <v>ನೀಲಿ</v>
      </c>
      <c r="F73" s="7" t="str">
        <f>IFERROR(__xludf.DUMMYFUNCTION("GOOGLETRANSLATE(B73, ""en"", ""ml"")"),"നീല")</f>
        <v>നീല</v>
      </c>
      <c r="G73" s="7" t="str">
        <f>IFERROR(__xludf.DUMMYFUNCTION("GOOGLETRANSLATE(B73, ""en"", ""te"")"),"నీలం")</f>
        <v>నీలం</v>
      </c>
    </row>
    <row r="74">
      <c r="A74" s="4" t="s">
        <v>151</v>
      </c>
      <c r="B74" s="5" t="s">
        <v>152</v>
      </c>
      <c r="C74" s="6" t="str">
        <f>IFERROR(__xludf.DUMMYFUNCTION("GOOGLETRANSLATE(B74, ""en"", ""ta"")"),"மஞ்சள்")</f>
        <v>மஞ்சள்</v>
      </c>
      <c r="D74" s="6" t="str">
        <f>IFERROR(__xludf.DUMMYFUNCTION("GOOGLETRANSLATE(B74, ""en"", ""hi"")"),"पीला")</f>
        <v>पीला</v>
      </c>
      <c r="E74" s="6" t="str">
        <f>IFERROR(__xludf.DUMMYFUNCTION("GOOGLETRANSLATE(B74, ""en"", ""kn"")"),"ಹಳದಿ")</f>
        <v>ಹಳದಿ</v>
      </c>
      <c r="F74" s="7" t="str">
        <f>IFERROR(__xludf.DUMMYFUNCTION("GOOGLETRANSLATE(B74, ""en"", ""ml"")"),"മഞ്ഞ")</f>
        <v>മഞ്ഞ</v>
      </c>
      <c r="G74" s="7" t="str">
        <f>IFERROR(__xludf.DUMMYFUNCTION("GOOGLETRANSLATE(B74, ""en"", ""te"")"),"పసుపు")</f>
        <v>పసుపు</v>
      </c>
    </row>
    <row r="75">
      <c r="A75" s="4" t="s">
        <v>153</v>
      </c>
      <c r="B75" s="5" t="s">
        <v>154</v>
      </c>
      <c r="C75" s="6" t="str">
        <f>IFERROR(__xludf.DUMMYFUNCTION("GOOGLETRANSLATE(B75, ""en"", ""ta"")"),"மெஜந்தா")</f>
        <v>மெஜந்தா</v>
      </c>
      <c r="D75" s="6" t="str">
        <f>IFERROR(__xludf.DUMMYFUNCTION("GOOGLETRANSLATE(B75, ""en"", ""hi"")"),"मैजेंटा")</f>
        <v>मैजेंटा</v>
      </c>
      <c r="E75" s="6" t="str">
        <f>IFERROR(__xludf.DUMMYFUNCTION("GOOGLETRANSLATE(B75, ""en"", ""kn"")"),"ಕೆನ್ನೇರಳೆ ಬಣ್ಣ")</f>
        <v>ಕೆನ್ನೇರಳೆ ಬಣ್ಣ</v>
      </c>
      <c r="F75" s="7" t="str">
        <f>IFERROR(__xludf.DUMMYFUNCTION("GOOGLETRANSLATE(B75, ""en"", ""ml"")"),"മജന്ത")</f>
        <v>മജന്ത</v>
      </c>
      <c r="G75" s="7" t="str">
        <f>IFERROR(__xludf.DUMMYFUNCTION("GOOGLETRANSLATE(B75, ""en"", ""te"")"),"మెజెంటా")</f>
        <v>మెజెంటా</v>
      </c>
    </row>
    <row r="76">
      <c r="A76" s="4" t="s">
        <v>155</v>
      </c>
      <c r="B76" s="5" t="s">
        <v>156</v>
      </c>
      <c r="C76" s="6" t="str">
        <f>IFERROR(__xludf.DUMMYFUNCTION("GOOGLETRANSLATE(B76, ""en"", ""ta"")"),"சியான்")</f>
        <v>சியான்</v>
      </c>
      <c r="D76" s="6" t="str">
        <f>IFERROR(__xludf.DUMMYFUNCTION("GOOGLETRANSLATE(B76, ""en"", ""hi"")"),"सियान")</f>
        <v>सियान</v>
      </c>
      <c r="E76" s="6" t="str">
        <f>IFERROR(__xludf.DUMMYFUNCTION("GOOGLETRANSLATE(B76, ""en"", ""kn"")"),"ನೀಲಿ")</f>
        <v>ನೀಲಿ</v>
      </c>
      <c r="F76" s="7" t="str">
        <f>IFERROR(__xludf.DUMMYFUNCTION("GOOGLETRANSLATE(B76, ""en"", ""ml"")"),"സിയാൻ")</f>
        <v>സിയാൻ</v>
      </c>
      <c r="G76" s="7" t="str">
        <f>IFERROR(__xludf.DUMMYFUNCTION("GOOGLETRANSLATE(B76, ""en"", ""te"")"),"నీలి నీలం")</f>
        <v>నీలి నీలం</v>
      </c>
    </row>
    <row r="77">
      <c r="A77" s="4" t="s">
        <v>157</v>
      </c>
      <c r="B77" s="5" t="s">
        <v>158</v>
      </c>
      <c r="C77" s="6" t="str">
        <f>IFERROR(__xludf.DUMMYFUNCTION("GOOGLETRANSLATE(B77, ""en"", ""ta"")"),"கருப்பு")</f>
        <v>கருப்பு</v>
      </c>
      <c r="D77" s="6" t="str">
        <f>IFERROR(__xludf.DUMMYFUNCTION("GOOGLETRANSLATE(B77, ""en"", ""hi"")"),"काला")</f>
        <v>काला</v>
      </c>
      <c r="E77" s="6" t="str">
        <f>IFERROR(__xludf.DUMMYFUNCTION("GOOGLETRANSLATE(B77, ""en"", ""kn"")"),"ಕಪ್ಪು")</f>
        <v>ಕಪ್ಪು</v>
      </c>
      <c r="F77" s="7" t="str">
        <f>IFERROR(__xludf.DUMMYFUNCTION("GOOGLETRANSLATE(B77, ""en"", ""ml"")"),"കറുപ്പ്")</f>
        <v>കറുപ്പ്</v>
      </c>
      <c r="G77" s="7" t="str">
        <f>IFERROR(__xludf.DUMMYFUNCTION("GOOGLETRANSLATE(B77, ""en"", ""te"")"),"నలుపు")</f>
        <v>నలుపు</v>
      </c>
    </row>
    <row r="78">
      <c r="A78" s="4" t="s">
        <v>159</v>
      </c>
      <c r="B78" s="5" t="s">
        <v>160</v>
      </c>
      <c r="C78" s="6" t="str">
        <f>IFERROR(__xludf.DUMMYFUNCTION("GOOGLETRANSLATE(B78, ""en"", ""ta"")"),"வெள்ளை")</f>
        <v>வெள்ளை</v>
      </c>
      <c r="D78" s="6" t="str">
        <f>IFERROR(__xludf.DUMMYFUNCTION("GOOGLETRANSLATE(B78, ""en"", ""hi"")"),"सफ़ेद")</f>
        <v>सफ़ेद</v>
      </c>
      <c r="E78" s="6" t="str">
        <f>IFERROR(__xludf.DUMMYFUNCTION("GOOGLETRANSLATE(B78, ""en"", ""kn"")"),"ಬಿಳಿ")</f>
        <v>ಬಿಳಿ</v>
      </c>
      <c r="F78" s="7" t="str">
        <f>IFERROR(__xludf.DUMMYFUNCTION("GOOGLETRANSLATE(B78, ""en"", ""ml"")"),"വെള്ള")</f>
        <v>വെള്ള</v>
      </c>
      <c r="G78" s="7" t="str">
        <f>IFERROR(__xludf.DUMMYFUNCTION("GOOGLETRANSLATE(B78, ""en"", ""te"")"),"తెలుపు")</f>
        <v>తెలుపు</v>
      </c>
    </row>
    <row r="79">
      <c r="A79" s="4" t="s">
        <v>161</v>
      </c>
      <c r="B79" s="5" t="s">
        <v>162</v>
      </c>
      <c r="C79" s="6" t="str">
        <f>IFERROR(__xludf.DUMMYFUNCTION("GOOGLETRANSLATE(B79, ""en"", ""ta"")"),"சாம்பல்")</f>
        <v>சாம்பல்</v>
      </c>
      <c r="D79" s="6" t="str">
        <f>IFERROR(__xludf.DUMMYFUNCTION("GOOGLETRANSLATE(B79, ""en"", ""hi"")"),"स्लेटी")</f>
        <v>स्लेटी</v>
      </c>
      <c r="E79" s="6" t="str">
        <f>IFERROR(__xludf.DUMMYFUNCTION("GOOGLETRANSLATE(B79, ""en"", ""kn"")"),"ಬೂದು")</f>
        <v>ಬೂದು</v>
      </c>
      <c r="F79" s="7" t="str">
        <f>IFERROR(__xludf.DUMMYFUNCTION("GOOGLETRANSLATE(B79, ""en"", ""ml"")"),"ചാരനിറം")</f>
        <v>ചാരനിറം</v>
      </c>
      <c r="G79" s="7" t="str">
        <f>IFERROR(__xludf.DUMMYFUNCTION("GOOGLETRANSLATE(B79, ""en"", ""te"")"),"బూడిద రంగు")</f>
        <v>బూడిద రంగు</v>
      </c>
    </row>
    <row r="80">
      <c r="A80" s="4" t="s">
        <v>163</v>
      </c>
      <c r="B80" s="5" t="s">
        <v>164</v>
      </c>
      <c r="C80" s="6" t="str">
        <f>IFERROR(__xludf.DUMMYFUNCTION("GOOGLETRANSLATE(B80, ""en"", ""ta"")"),"ஆரஞ்சு")</f>
        <v>ஆரஞ்சு</v>
      </c>
      <c r="D80" s="6" t="str">
        <f>IFERROR(__xludf.DUMMYFUNCTION("GOOGLETRANSLATE(B80, ""en"", ""hi"")"),"नारंगी")</f>
        <v>नारंगी</v>
      </c>
      <c r="E80" s="6" t="str">
        <f>IFERROR(__xludf.DUMMYFUNCTION("GOOGLETRANSLATE(B80, ""en"", ""kn"")"),"ಕಿತ್ತಳೆ")</f>
        <v>ಕಿತ್ತಳೆ</v>
      </c>
      <c r="F80" s="7" t="str">
        <f>IFERROR(__xludf.DUMMYFUNCTION("GOOGLETRANSLATE(B80, ""en"", ""ml"")"),"ഓറഞ്ച്")</f>
        <v>ഓറഞ്ച്</v>
      </c>
      <c r="G80" s="7" t="str">
        <f>IFERROR(__xludf.DUMMYFUNCTION("GOOGLETRANSLATE(B80, ""en"", ""te"")"),"నారింజ")</f>
        <v>నారింజ</v>
      </c>
    </row>
    <row r="81">
      <c r="A81" s="4" t="s">
        <v>165</v>
      </c>
      <c r="B81" s="5" t="s">
        <v>166</v>
      </c>
      <c r="C81" s="6" t="str">
        <f>IFERROR(__xludf.DUMMYFUNCTION("GOOGLETRANSLATE(B81, ""en"", ""ta"")"),"ஊதா")</f>
        <v>ஊதா</v>
      </c>
      <c r="D81" s="6" t="str">
        <f>IFERROR(__xludf.DUMMYFUNCTION("GOOGLETRANSLATE(B81, ""en"", ""hi"")"),"बैंगनी")</f>
        <v>बैंगनी</v>
      </c>
      <c r="E81" s="6" t="str">
        <f>IFERROR(__xludf.DUMMYFUNCTION("GOOGLETRANSLATE(B81, ""en"", ""kn"")"),"ನೇರಳೆ")</f>
        <v>ನೇರಳೆ</v>
      </c>
      <c r="F81" s="7" t="str">
        <f>IFERROR(__xludf.DUMMYFUNCTION("GOOGLETRANSLATE(B81, ""en"", ""ml"")"),"പർപ്പിൾ")</f>
        <v>പർപ്പിൾ</v>
      </c>
      <c r="G81" s="7" t="str">
        <f>IFERROR(__xludf.DUMMYFUNCTION("GOOGLETRANSLATE(B81, ""en"", ""te"")"),"ఊదా")</f>
        <v>ఊదా</v>
      </c>
    </row>
    <row r="82">
      <c r="A82" s="4" t="s">
        <v>167</v>
      </c>
      <c r="B82" s="5" t="s">
        <v>168</v>
      </c>
      <c r="C82" s="6" t="str">
        <f>IFERROR(__xludf.DUMMYFUNCTION("GOOGLETRANSLATE(B82, ""en"", ""ta"")"),"பழுப்பு")</f>
        <v>பழுப்பு</v>
      </c>
      <c r="D82" s="6" t="str">
        <f>IFERROR(__xludf.DUMMYFUNCTION("GOOGLETRANSLATE(B82, ""en"", ""hi"")"),"भूरा")</f>
        <v>भूरा</v>
      </c>
      <c r="E82" s="6" t="str">
        <f>IFERROR(__xludf.DUMMYFUNCTION("GOOGLETRANSLATE(B82, ""en"", ""kn"")"),"ಕಂದು")</f>
        <v>ಕಂದು</v>
      </c>
      <c r="F82" s="7" t="str">
        <f>IFERROR(__xludf.DUMMYFUNCTION("GOOGLETRANSLATE(B82, ""en"", ""ml"")"),"തവിട്ട്")</f>
        <v>തവിട്ട്</v>
      </c>
      <c r="G82" s="7" t="str">
        <f>IFERROR(__xludf.DUMMYFUNCTION("GOOGLETRANSLATE(B82, ""en"", ""te"")"),"గోధుమ రంగు")</f>
        <v>గోధుమ రంగు</v>
      </c>
    </row>
    <row r="83">
      <c r="A83" s="4" t="s">
        <v>169</v>
      </c>
      <c r="B83" s="5" t="s">
        <v>170</v>
      </c>
      <c r="C83" s="6" t="str">
        <f>IFERROR(__xludf.DUMMYFUNCTION("GOOGLETRANSLATE(B83, ""en"", ""ta"")"),"இளஞ்சிவப்பு")</f>
        <v>இளஞ்சிவப்பு</v>
      </c>
      <c r="D83" s="6" t="str">
        <f>IFERROR(__xludf.DUMMYFUNCTION("GOOGLETRANSLATE(B83, ""en"", ""hi"")"),"गुलाबी")</f>
        <v>गुलाबी</v>
      </c>
      <c r="E83" s="6" t="str">
        <f>IFERROR(__xludf.DUMMYFUNCTION("GOOGLETRANSLATE(B83, ""en"", ""kn"")"),"ಗುಲಾಬಿ")</f>
        <v>ಗುಲಾಬಿ</v>
      </c>
      <c r="F83" s="7" t="str">
        <f>IFERROR(__xludf.DUMMYFUNCTION("GOOGLETRANSLATE(B83, ""en"", ""ml"")"),"പിങ്ക്")</f>
        <v>പിങ്ക്</v>
      </c>
      <c r="G83" s="7" t="str">
        <f>IFERROR(__xludf.DUMMYFUNCTION("GOOGLETRANSLATE(B83, ""en"", ""te"")"),"పింక్")</f>
        <v>పింక్</v>
      </c>
    </row>
    <row r="84">
      <c r="A84" s="4" t="s">
        <v>171</v>
      </c>
      <c r="B84" s="5" t="s">
        <v>172</v>
      </c>
      <c r="C84" s="6" t="str">
        <f>IFERROR(__xludf.DUMMYFUNCTION("GOOGLETRANSLATE(B84, ""en"", ""ta"")"),"ஆலிவ்")</f>
        <v>ஆலிவ்</v>
      </c>
      <c r="D84" s="6" t="str">
        <f>IFERROR(__xludf.DUMMYFUNCTION("GOOGLETRANSLATE(B84, ""en"", ""hi"")"),"जैतून")</f>
        <v>जैतून</v>
      </c>
      <c r="E84" s="6" t="str">
        <f>IFERROR(__xludf.DUMMYFUNCTION("GOOGLETRANSLATE(B84, ""en"", ""kn"")"),"ಆಲಿವ್")</f>
        <v>ಆಲಿವ್</v>
      </c>
      <c r="F84" s="7" t="str">
        <f>IFERROR(__xludf.DUMMYFUNCTION("GOOGLETRANSLATE(B84, ""en"", ""ml"")"),"ഒലിവ്")</f>
        <v>ഒലിവ്</v>
      </c>
      <c r="G84" s="7" t="str">
        <f>IFERROR(__xludf.DUMMYFUNCTION("GOOGLETRANSLATE(B84, ""en"", ""te"")"),"ఆలివ్")</f>
        <v>ఆలివ్</v>
      </c>
    </row>
    <row r="85">
      <c r="A85" s="4" t="s">
        <v>173</v>
      </c>
      <c r="B85" s="5" t="s">
        <v>174</v>
      </c>
      <c r="C85" s="6" t="str">
        <f>IFERROR(__xludf.DUMMYFUNCTION("GOOGLETRANSLATE(B85, ""en"", ""ta"")"),"மெரூன்")</f>
        <v>மெரூன்</v>
      </c>
      <c r="D85" s="6" t="str">
        <f>IFERROR(__xludf.DUMMYFUNCTION("GOOGLETRANSLATE(B85, ""en"", ""hi"")"),"लाल रंग")</f>
        <v>लाल रंग</v>
      </c>
      <c r="E85" s="6" t="str">
        <f>IFERROR(__xludf.DUMMYFUNCTION("GOOGLETRANSLATE(B85, ""en"", ""kn"")"),"ಮರೂನ್")</f>
        <v>ಮರೂನ್</v>
      </c>
      <c r="F85" s="7" t="str">
        <f>IFERROR(__xludf.DUMMYFUNCTION("GOOGLETRANSLATE(B85, ""en"", ""ml"")"),"മറൂൺ")</f>
        <v>മറൂൺ</v>
      </c>
      <c r="G85" s="7" t="str">
        <f>IFERROR(__xludf.DUMMYFUNCTION("GOOGLETRANSLATE(B85, ""en"", ""te"")"),"మెరూన్")</f>
        <v>మెరూన్</v>
      </c>
    </row>
    <row r="86">
      <c r="A86" s="4" t="s">
        <v>175</v>
      </c>
      <c r="B86" s="5" t="s">
        <v>176</v>
      </c>
      <c r="C86" s="6" t="str">
        <f>IFERROR(__xludf.DUMMYFUNCTION("GOOGLETRANSLATE(B86, ""en"", ""ta"")"),"நீலம்")</f>
        <v>நீலம்</v>
      </c>
      <c r="D86" s="6" t="str">
        <f>IFERROR(__xludf.DUMMYFUNCTION("GOOGLETRANSLATE(B86, ""en"", ""hi"")"),"टील")</f>
        <v>टील</v>
      </c>
      <c r="E86" s="6" t="str">
        <f>IFERROR(__xludf.DUMMYFUNCTION("GOOGLETRANSLATE(B86, ""en"", ""kn"")"),"ಟೀಲ್")</f>
        <v>ಟೀಲ್</v>
      </c>
      <c r="F86" s="7" t="str">
        <f>IFERROR(__xludf.DUMMYFUNCTION("GOOGLETRANSLATE(B86, ""en"", ""ml"")"),"ടീൽ")</f>
        <v>ടീൽ</v>
      </c>
      <c r="G86" s="7" t="str">
        <f>IFERROR(__xludf.DUMMYFUNCTION("GOOGLETRANSLATE(B86, ""en"", ""te"")"),"టీల్")</f>
        <v>టీల్</v>
      </c>
    </row>
    <row r="87">
      <c r="A87" s="4" t="s">
        <v>177</v>
      </c>
      <c r="B87" s="5" t="s">
        <v>178</v>
      </c>
      <c r="C87" s="6" t="str">
        <f>IFERROR(__xludf.DUMMYFUNCTION("GOOGLETRANSLATE(B87, ""en"", ""ta"")"),"கடற்படை")</f>
        <v>கடற்படை</v>
      </c>
      <c r="D87" s="6" t="str">
        <f>IFERROR(__xludf.DUMMYFUNCTION("GOOGLETRANSLATE(B87, ""en"", ""hi"")"),"नौसेना")</f>
        <v>नौसेना</v>
      </c>
      <c r="E87" s="6" t="str">
        <f>IFERROR(__xludf.DUMMYFUNCTION("GOOGLETRANSLATE(B87, ""en"", ""kn"")"),"ನೌಕಾಪಡೆ")</f>
        <v>ನೌಕಾಪಡೆ</v>
      </c>
      <c r="F87" s="7" t="str">
        <f>IFERROR(__xludf.DUMMYFUNCTION("GOOGLETRANSLATE(B87, ""en"", ""ml"")"),"നാവികസേന")</f>
        <v>നാവികസേന</v>
      </c>
      <c r="G87" s="7" t="str">
        <f>IFERROR(__xludf.DUMMYFUNCTION("GOOGLETRANSLATE(B87, ""en"", ""te"")"),"నేవీ")</f>
        <v>నేవీ</v>
      </c>
    </row>
    <row r="88">
      <c r="A88" s="4" t="s">
        <v>179</v>
      </c>
      <c r="B88" s="5" t="s">
        <v>180</v>
      </c>
      <c r="C88" s="6" t="str">
        <f>IFERROR(__xludf.DUMMYFUNCTION("GOOGLETRANSLATE(B88, ""en"", ""ta"")"),"தனிப்பயன்")</f>
        <v>தனிப்பயன்</v>
      </c>
      <c r="D88" s="6" t="str">
        <f>IFERROR(__xludf.DUMMYFUNCTION("GOOGLETRANSLATE(B88, ""en"", ""hi"")"),"रिवाज़")</f>
        <v>रिवाज़</v>
      </c>
      <c r="E88" s="6" t="str">
        <f>IFERROR(__xludf.DUMMYFUNCTION("GOOGLETRANSLATE(B88, ""en"", ""kn"")"),"ಕಸ್ಟಮ್")</f>
        <v>ಕಸ್ಟಮ್</v>
      </c>
      <c r="F88" s="7" t="str">
        <f>IFERROR(__xludf.DUMMYFUNCTION("GOOGLETRANSLATE(B88, ""en"", ""ml"")"),"കസ്റ്റം")</f>
        <v>കസ്റ്റം</v>
      </c>
      <c r="G88" s="7" t="str">
        <f>IFERROR(__xludf.DUMMYFUNCTION("GOOGLETRANSLATE(B88, ""en"", ""te"")"),"కస్టమ్")</f>
        <v>కస్టమ్</v>
      </c>
    </row>
    <row r="89">
      <c r="A89" s="4" t="s">
        <v>181</v>
      </c>
      <c r="B89" s="5" t="s">
        <v>182</v>
      </c>
      <c r="C89" s="6" t="str">
        <f>IFERROR(__xludf.DUMMYFUNCTION("GOOGLETRANSLATE(B89, ""en"", ""ta"")"),"பெட்ரோல்")</f>
        <v>பெட்ரோல்</v>
      </c>
      <c r="D89" s="6" t="str">
        <f>IFERROR(__xludf.DUMMYFUNCTION("GOOGLETRANSLATE(B89, ""en"", ""hi"")"),"पेट्रोल")</f>
        <v>पेट्रोल</v>
      </c>
      <c r="E89" s="6" t="str">
        <f>IFERROR(__xludf.DUMMYFUNCTION("GOOGLETRANSLATE(B89, ""en"", ""kn"")"),"ಪೆಟ್ರೋಲ್")</f>
        <v>ಪೆಟ್ರೋಲ್</v>
      </c>
      <c r="F89" s="7" t="str">
        <f>IFERROR(__xludf.DUMMYFUNCTION("GOOGLETRANSLATE(B89, ""en"", ""ml"")"),"പെട്രോൾ")</f>
        <v>പെട്രോൾ</v>
      </c>
      <c r="G89" s="7" t="str">
        <f>IFERROR(__xludf.DUMMYFUNCTION("GOOGLETRANSLATE(B89, ""en"", ""te"")"),"పెట్రోల్")</f>
        <v>పెట్రోల్</v>
      </c>
    </row>
    <row r="90">
      <c r="A90" s="4" t="s">
        <v>183</v>
      </c>
      <c r="B90" s="5" t="s">
        <v>184</v>
      </c>
      <c r="C90" s="6" t="str">
        <f>IFERROR(__xludf.DUMMYFUNCTION("GOOGLETRANSLATE(B90, ""en"", ""ta"")"),"டீசல்")</f>
        <v>டீசல்</v>
      </c>
      <c r="D90" s="6" t="str">
        <f>IFERROR(__xludf.DUMMYFUNCTION("GOOGLETRANSLATE(B90, ""en"", ""hi"")"),"डीज़ल")</f>
        <v>डीज़ल</v>
      </c>
      <c r="E90" s="6" t="str">
        <f>IFERROR(__xludf.DUMMYFUNCTION("GOOGLETRANSLATE(B90, ""en"", ""kn"")"),"ಡೀಸೆಲ್")</f>
        <v>ಡೀಸೆಲ್</v>
      </c>
      <c r="F90" s="7" t="str">
        <f>IFERROR(__xludf.DUMMYFUNCTION("GOOGLETRANSLATE(B90, ""en"", ""ml"")"),"ഡീസൽ")</f>
        <v>ഡീസൽ</v>
      </c>
      <c r="G90" s="7" t="str">
        <f>IFERROR(__xludf.DUMMYFUNCTION("GOOGLETRANSLATE(B90, ""en"", ""te"")"),"డీజిల్")</f>
        <v>డీజిల్</v>
      </c>
    </row>
    <row r="91">
      <c r="A91" s="4" t="s">
        <v>185</v>
      </c>
      <c r="B91" s="5" t="s">
        <v>186</v>
      </c>
      <c r="C91" s="6" t="str">
        <f>IFERROR(__xludf.DUMMYFUNCTION("GOOGLETRANSLATE(B91, ""en"", ""ta"")"),"சி.என்.ஜி.")</f>
        <v>சி.என்.ஜி.</v>
      </c>
      <c r="D91" s="6" t="str">
        <f>IFERROR(__xludf.DUMMYFUNCTION("GOOGLETRANSLATE(B91, ""en"", ""hi"")"),"सीएनजी")</f>
        <v>सीएनजी</v>
      </c>
      <c r="E91" s="6" t="str">
        <f>IFERROR(__xludf.DUMMYFUNCTION("GOOGLETRANSLATE(B91, ""en"", ""kn"")"),"ಸಿಎನ್‌ಜಿ")</f>
        <v>ಸಿಎನ್‌ಜಿ</v>
      </c>
      <c r="F91" s="7" t="str">
        <f>IFERROR(__xludf.DUMMYFUNCTION("GOOGLETRANSLATE(B91, ""en"", ""ml"")"),"സിഎൻജി")</f>
        <v>സിഎൻജി</v>
      </c>
      <c r="G91" s="7" t="str">
        <f>IFERROR(__xludf.DUMMYFUNCTION("GOOGLETRANSLATE(B91, ""en"", ""te"")"),"సిఎన్‌జి")</f>
        <v>సిఎన్‌జి</v>
      </c>
    </row>
    <row r="92">
      <c r="A92" s="4" t="s">
        <v>187</v>
      </c>
      <c r="B92" s="5" t="s">
        <v>188</v>
      </c>
      <c r="C92" s="6" t="str">
        <f>IFERROR(__xludf.DUMMYFUNCTION("GOOGLETRANSLATE(B92, ""en"", ""ta"")"),"மின்சார வாகனம்")</f>
        <v>மின்சார வாகனம்</v>
      </c>
      <c r="D92" s="6" t="str">
        <f>IFERROR(__xludf.DUMMYFUNCTION("GOOGLETRANSLATE(B92, ""en"", ""hi"")"),"ईवी")</f>
        <v>ईवी</v>
      </c>
      <c r="E92" s="6" t="str">
        <f>IFERROR(__xludf.DUMMYFUNCTION("GOOGLETRANSLATE(B92, ""en"", ""kn"")"),"ಇವಿ")</f>
        <v>ಇವಿ</v>
      </c>
      <c r="F92" s="7" t="str">
        <f>IFERROR(__xludf.DUMMYFUNCTION("GOOGLETRANSLATE(B92, ""en"", ""ml"")"),"ഇ.വി.")</f>
        <v>ഇ.വി.</v>
      </c>
      <c r="G92" s="7" t="str">
        <f>IFERROR(__xludf.DUMMYFUNCTION("GOOGLETRANSLATE(B92, ""en"", ""te"")"),"ఇవి")</f>
        <v>ఇవి</v>
      </c>
    </row>
    <row r="93">
      <c r="A93" s="4" t="s">
        <v>189</v>
      </c>
      <c r="B93" s="5" t="s">
        <v>190</v>
      </c>
      <c r="C93" s="6" t="str">
        <f>IFERROR(__xludf.DUMMYFUNCTION("GOOGLETRANSLATE(B93, ""en"", ""ta"")"),"எல்பிஜி")</f>
        <v>எல்பிஜி</v>
      </c>
      <c r="D93" s="6" t="str">
        <f>IFERROR(__xludf.DUMMYFUNCTION("GOOGLETRANSLATE(B93, ""en"", ""hi"")"),"रसोई गैस")</f>
        <v>रसोई गैस</v>
      </c>
      <c r="E93" s="6" t="str">
        <f>IFERROR(__xludf.DUMMYFUNCTION("GOOGLETRANSLATE(B93, ""en"", ""kn"")"),"ಎಲ್‌ಪಿಜಿ")</f>
        <v>ಎಲ್‌ಪಿಜಿ</v>
      </c>
      <c r="F93" s="7" t="str">
        <f>IFERROR(__xludf.DUMMYFUNCTION("GOOGLETRANSLATE(B93, ""en"", ""ml"")"),"എൽപിജി")</f>
        <v>എൽപിജി</v>
      </c>
      <c r="G93" s="7" t="str">
        <f>IFERROR(__xludf.DUMMYFUNCTION("GOOGLETRANSLATE(B93, ""en"", ""te"")"),"ఎల్‌పిజి")</f>
        <v>ఎల్‌పిజి</v>
      </c>
    </row>
    <row r="94">
      <c r="A94" s="4" t="s">
        <v>191</v>
      </c>
      <c r="B94" s="5" t="s">
        <v>192</v>
      </c>
      <c r="C94" s="6" t="str">
        <f>IFERROR(__xludf.DUMMYFUNCTION("GOOGLETRANSLATE(B94, ""en"", ""ta"")"),"பெட்ரோல் + சிஎன்ஜி")</f>
        <v>பெட்ரோல் + சிஎன்ஜி</v>
      </c>
      <c r="D94" s="6" t="str">
        <f>IFERROR(__xludf.DUMMYFUNCTION("GOOGLETRANSLATE(B94, ""en"", ""hi"")"),"पेट्रोल + सीएनजी")</f>
        <v>पेट्रोल + सीएनजी</v>
      </c>
      <c r="E94" s="6" t="str">
        <f>IFERROR(__xludf.DUMMYFUNCTION("GOOGLETRANSLATE(B94, ""en"", ""kn"")"),"ಪೆಟ್ರೋಲ್ + ಸಿಎನ್‌ಜಿ")</f>
        <v>ಪೆಟ್ರೋಲ್ + ಸಿಎನ್‌ಜಿ</v>
      </c>
      <c r="F94" s="7" t="str">
        <f>IFERROR(__xludf.DUMMYFUNCTION("GOOGLETRANSLATE(B94, ""en"", ""ml"")"),"പെട്രോൾ + സിഎൻജി")</f>
        <v>പെട്രോൾ + സിഎൻജി</v>
      </c>
      <c r="G94" s="7" t="str">
        <f>IFERROR(__xludf.DUMMYFUNCTION("GOOGLETRANSLATE(B94, ""en"", ""te"")"),"పెట్రోల్ + సిఎన్‌జి")</f>
        <v>పెట్రోల్ + సిఎన్‌జి</v>
      </c>
    </row>
    <row r="95">
      <c r="A95" s="4" t="s">
        <v>193</v>
      </c>
      <c r="B95" s="5" t="s">
        <v>194</v>
      </c>
      <c r="C95" s="6" t="str">
        <f>IFERROR(__xludf.DUMMYFUNCTION("GOOGLETRANSLATE(B95, ""en"", ""ta"")"),"ஹைட்ரஜன்")</f>
        <v>ஹைட்ரஜன்</v>
      </c>
      <c r="D95" s="6" t="str">
        <f>IFERROR(__xludf.DUMMYFUNCTION("GOOGLETRANSLATE(B95, ""en"", ""hi"")"),"हाइड्रोजन")</f>
        <v>हाइड्रोजन</v>
      </c>
      <c r="E95" s="6" t="str">
        <f>IFERROR(__xludf.DUMMYFUNCTION("GOOGLETRANSLATE(B95, ""en"", ""kn"")"),"ಹೈಡ್ರೋಜನ್")</f>
        <v>ಹೈಡ್ರೋಜನ್</v>
      </c>
      <c r="F95" s="7" t="str">
        <f>IFERROR(__xludf.DUMMYFUNCTION("GOOGLETRANSLATE(B95, ""en"", ""ml"")"),"ഹൈഡ്രജൻ")</f>
        <v>ഹൈഡ്രജൻ</v>
      </c>
      <c r="G95" s="7" t="str">
        <f>IFERROR(__xludf.DUMMYFUNCTION("GOOGLETRANSLATE(B95, ""en"", ""te"")"),"హైడ్రోజన్")</f>
        <v>హైడ్రోజన్</v>
      </c>
    </row>
    <row r="96">
      <c r="A96" s="4" t="s">
        <v>195</v>
      </c>
      <c r="B96" s="5" t="s">
        <v>196</v>
      </c>
      <c r="C96" s="6" t="str">
        <f>IFERROR(__xludf.DUMMYFUNCTION("GOOGLETRANSLATE(B96, ""en"", ""ta"")"),"சேர்")</f>
        <v>சேர்</v>
      </c>
      <c r="D96" s="6" t="str">
        <f>IFERROR(__xludf.DUMMYFUNCTION("GOOGLETRANSLATE(B96, ""en"", ""hi"")"),"जोड़ना")</f>
        <v>जोड़ना</v>
      </c>
      <c r="E96" s="6" t="str">
        <f>IFERROR(__xludf.DUMMYFUNCTION("GOOGLETRANSLATE(B96, ""en"", ""kn"")"),"ಸೇರಿಸಿ")</f>
        <v>ಸೇರಿಸಿ</v>
      </c>
      <c r="F96" s="7" t="str">
        <f>IFERROR(__xludf.DUMMYFUNCTION("GOOGLETRANSLATE(B96, ""en"", ""ml"")"),"ചേർക്കുക")</f>
        <v>ചേർക്കുക</v>
      </c>
      <c r="G96" s="7" t="str">
        <f>IFERROR(__xludf.DUMMYFUNCTION("GOOGLETRANSLATE(B96, ""en"", ""te"")"),"జోడించు")</f>
        <v>జోడించు</v>
      </c>
    </row>
    <row r="97">
      <c r="A97" s="4" t="s">
        <v>197</v>
      </c>
      <c r="B97" s="5" t="s">
        <v>198</v>
      </c>
      <c r="C97" s="6" t="str">
        <f>IFERROR(__xludf.DUMMYFUNCTION("GOOGLETRANSLATE(B97, ""en"", ""ta"")"),"வாகன பிராண்டாக")</f>
        <v>வாகன பிராண்டாக</v>
      </c>
      <c r="D97" s="6" t="str">
        <f>IFERROR(__xludf.DUMMYFUNCTION("GOOGLETRANSLATE(B97, ""en"", ""hi"")"),"वाहन ब्रांड के रूप में")</f>
        <v>वाहन ब्रांड के रूप में</v>
      </c>
      <c r="E97" s="6" t="str">
        <f>IFERROR(__xludf.DUMMYFUNCTION("GOOGLETRANSLATE(B97, ""en"", ""kn"")"),"ವಾಹನ ಬ್ರಾಂಡ್ ಆಗಿ")</f>
        <v>ವಾಹನ ಬ್ರಾಂಡ್ ಆಗಿ</v>
      </c>
      <c r="F97" s="7" t="str">
        <f>IFERROR(__xludf.DUMMYFUNCTION("GOOGLETRANSLATE(B97, ""en"", ""ml"")"),"വാഹന ബ്രാൻഡായി")</f>
        <v>വാഹന ബ്രാൻഡായി</v>
      </c>
      <c r="G97" s="7" t="str">
        <f>IFERROR(__xludf.DUMMYFUNCTION("GOOGLETRANSLATE(B97, ""en"", ""te"")"),"వాహన బ్రాండ్‌గా")</f>
        <v>వాహన బ్రాండ్‌గా</v>
      </c>
    </row>
    <row r="98">
      <c r="A98" s="4" t="s">
        <v>199</v>
      </c>
      <c r="B98" s="5" t="s">
        <v>200</v>
      </c>
      <c r="C98" s="6" t="str">
        <f>IFERROR(__xludf.DUMMYFUNCTION("GOOGLETRANSLATE(B98, ""en"", ""ta"")"),"வாகன மாதிரியாக")</f>
        <v>வாகன மாதிரியாக</v>
      </c>
      <c r="D98" s="6" t="str">
        <f>IFERROR(__xludf.DUMMYFUNCTION("GOOGLETRANSLATE(B98, ""en"", ""hi"")"),"वाहन मॉडल के रूप में")</f>
        <v>वाहन मॉडल के रूप में</v>
      </c>
      <c r="E98" s="6" t="str">
        <f>IFERROR(__xludf.DUMMYFUNCTION("GOOGLETRANSLATE(B98, ""en"", ""kn"")"),"ವಾಹನ ಮಾದರಿಯಾಗಿ")</f>
        <v>ವಾಹನ ಮಾದರಿಯಾಗಿ</v>
      </c>
      <c r="F98" s="7" t="str">
        <f>IFERROR(__xludf.DUMMYFUNCTION("GOOGLETRANSLATE(B98, ""en"", ""ml"")"),"വാഹന മോഡലായി")</f>
        <v>വാഹന മോഡലായി</v>
      </c>
      <c r="G98" s="7" t="str">
        <f>IFERROR(__xludf.DUMMYFUNCTION("GOOGLETRANSLATE(B98, ""en"", ""te"")"),"వాహన నమూనాగా")</f>
        <v>వాహన నమూనాగా</v>
      </c>
    </row>
    <row r="99">
      <c r="A99" s="4" t="s">
        <v>201</v>
      </c>
      <c r="B99" s="5" t="s">
        <v>202</v>
      </c>
      <c r="C99" s="6" t="str">
        <f>IFERROR(__xludf.DUMMYFUNCTION("GOOGLETRANSLATE(B99, ""en"", ""ta"")"),"கணக்கு எண்ணை உள்ளிடவும்.")</f>
        <v>கணக்கு எண்ணை உள்ளிடவும்.</v>
      </c>
      <c r="D99" s="6" t="str">
        <f>IFERROR(__xludf.DUMMYFUNCTION("GOOGLETRANSLATE(B99, ""en"", ""hi"")"),"कृपया खाता संख्या दर्ज करें")</f>
        <v>कृपया खाता संख्या दर्ज करें</v>
      </c>
      <c r="E99" s="6" t="str">
        <f>IFERROR(__xludf.DUMMYFUNCTION("GOOGLETRANSLATE(B99, ""en"", ""kn"")"),"ದಯವಿಟ್ಟು ಖಾತೆ ಸಂಖ್ಯೆಯನ್ನು ನಮೂದಿಸಿ")</f>
        <v>ದಯವಿಟ್ಟು ಖಾತೆ ಸಂಖ್ಯೆಯನ್ನು ನಮೂದಿಸಿ</v>
      </c>
      <c r="F99" s="7" t="str">
        <f>IFERROR(__xludf.DUMMYFUNCTION("GOOGLETRANSLATE(B99, ""en"", ""ml"")"),"അക്കൗണ്ട് നമ്പർ നൽകുക")</f>
        <v>അക്കൗണ്ട് നമ്പർ നൽകുക</v>
      </c>
      <c r="G99" s="7" t="str">
        <f>IFERROR(__xludf.DUMMYFUNCTION("GOOGLETRANSLATE(B99, ""en"", ""te"")"),"దయచేసి ఖాతా నంబర్‌ను నమోదు చేయండి")</f>
        <v>దయచేసి ఖాతా నంబర్‌ను నమోదు చేయండి</v>
      </c>
    </row>
    <row r="100">
      <c r="A100" s="4" t="s">
        <v>203</v>
      </c>
      <c r="B100" s="5" t="s">
        <v>204</v>
      </c>
      <c r="C100" s="6" t="str">
        <f>IFERROR(__xludf.DUMMYFUNCTION("GOOGLETRANSLATE(B100, ""en"", ""ta"")"),"சரியான கணக்கு எண்ணை (9-18 இலக்கங்கள்) உள்ளிடவும்.")</f>
        <v>சரியான கணக்கு எண்ணை (9-18 இலக்கங்கள்) உள்ளிடவும்.</v>
      </c>
      <c r="D100" s="6" t="str">
        <f>IFERROR(__xludf.DUMMYFUNCTION("GOOGLETRANSLATE(B100, ""en"", ""hi"")"),"कृपया एक वैध खाता संख्या (9-18 अंक) दर्ज करें।")</f>
        <v>कृपया एक वैध खाता संख्या (9-18 अंक) दर्ज करें।</v>
      </c>
      <c r="E100" s="6" t="str">
        <f>IFERROR(__xludf.DUMMYFUNCTION("GOOGLETRANSLATE(B100, ""en"", ""kn"")"),"ದಯವಿಟ್ಟು ಮಾನ್ಯವಾದ ಖಾತೆ ಸಂಖ್ಯೆಯನ್ನು ನಮೂದಿಸಿ (9-18 ಅಂಕೆಗಳು)")</f>
        <v>ದಯವಿಟ್ಟು ಮಾನ್ಯವಾದ ಖಾತೆ ಸಂಖ್ಯೆಯನ್ನು ನಮೂದಿಸಿ (9-18 ಅಂಕೆಗಳು)</v>
      </c>
      <c r="F100" s="7" t="str">
        <f>IFERROR(__xludf.DUMMYFUNCTION("GOOGLETRANSLATE(B100, ""en"", ""ml"")"),"ദയവായി സാധുവായ ഒരു അക്കൗണ്ട് നമ്പർ നൽകുക (9-18 അക്കങ്ങൾ)")</f>
        <v>ദയവായി സാധുവായ ഒരു അക്കൗണ്ട് നമ്പർ നൽകുക (9-18 അക്കങ്ങൾ)</v>
      </c>
      <c r="G100" s="7" t="str">
        <f>IFERROR(__xludf.DUMMYFUNCTION("GOOGLETRANSLATE(B100, ""en"", ""te"")"),"దయచేసి చెల్లుబాటు అయ్యే ఖాతా నంబర్‌ను (9-18 అంకెలు) నమోదు చేయండి.")</f>
        <v>దయచేసి చెల్లుబాటు అయ్యే ఖాతా నంబర్‌ను (9-18 అంకెలు) నమోదు చేయండి.</v>
      </c>
    </row>
    <row r="101">
      <c r="A101" s="4" t="s">
        <v>205</v>
      </c>
      <c r="B101" s="5" t="s">
        <v>206</v>
      </c>
      <c r="C101" s="6" t="str">
        <f>IFERROR(__xludf.DUMMYFUNCTION("GOOGLETRANSLATE(B101, ""en"", ""ta"")"),"தயவுசெய்து IFSC குறியீட்டை உள்ளிடவும்.")</f>
        <v>தயவுசெய்து IFSC குறியீட்டை உள்ளிடவும்.</v>
      </c>
      <c r="D101" s="6" t="str">
        <f>IFERROR(__xludf.DUMMYFUNCTION("GOOGLETRANSLATE(B101, ""en"", ""hi"")"),"कृपया IFSC कोड दर्ज करें")</f>
        <v>कृपया IFSC कोड दर्ज करें</v>
      </c>
      <c r="E101" s="6" t="str">
        <f>IFERROR(__xludf.DUMMYFUNCTION("GOOGLETRANSLATE(B101, ""en"", ""kn"")"),"ದಯವಿಟ್ಟು IFSC ಕೋಡ್ ನಮೂದಿಸಿ.")</f>
        <v>ದಯವಿಟ್ಟು IFSC ಕೋಡ್ ನಮೂದಿಸಿ.</v>
      </c>
      <c r="F101" s="7" t="str">
        <f>IFERROR(__xludf.DUMMYFUNCTION("GOOGLETRANSLATE(B101, ""en"", ""ml"")"),"ദയവായി IFSC കോഡ് നൽകുക.")</f>
        <v>ദയവായി IFSC കോഡ് നൽകുക.</v>
      </c>
      <c r="G101" s="7" t="str">
        <f>IFERROR(__xludf.DUMMYFUNCTION("GOOGLETRANSLATE(B101, ""en"", ""te"")"),"దయచేసి IFSC కోడ్‌ను నమోదు చేయండి")</f>
        <v>దయచేసి IFSC కోడ్‌ను నమోదు చేయండి</v>
      </c>
    </row>
    <row r="102">
      <c r="A102" s="4" t="s">
        <v>207</v>
      </c>
      <c r="B102" s="5" t="s">
        <v>208</v>
      </c>
      <c r="C102" s="6" t="str">
        <f>IFERROR(__xludf.DUMMYFUNCTION("GOOGLETRANSLATE(B102, ""en"", ""ta"")"),"தயவுசெய்து செல்லுபடியாகும் IFSC குறியீட்டை உள்ளிடவும் (எ.கா., SBIN0001234)")</f>
        <v>தயவுசெய்து செல்லுபடியாகும் IFSC குறியீட்டை உள்ளிடவும் (எ.கா., SBIN0001234)</v>
      </c>
      <c r="D102" s="6" t="str">
        <f>IFERROR(__xludf.DUMMYFUNCTION("GOOGLETRANSLATE(B102, ""en"", ""hi"")"),"कृपया एक वैध IFSC कोड दर्ज करें (उदाहरण के लिए, SBIN0001234)")</f>
        <v>कृपया एक वैध IFSC कोड दर्ज करें (उदाहरण के लिए, SBIN0001234)</v>
      </c>
      <c r="E102" s="6" t="str">
        <f>IFERROR(__xludf.DUMMYFUNCTION("GOOGLETRANSLATE(B102, ""en"", ""kn"")"),"ದಯವಿಟ್ಟು ಮಾನ್ಯವಾದ IFSC ಕೋಡ್ ಅನ್ನು ನಮೂದಿಸಿ (ಉದಾ. SBIN0001234)")</f>
        <v>ದಯವಿಟ್ಟು ಮಾನ್ಯವಾದ IFSC ಕೋಡ್ ಅನ್ನು ನಮೂದಿಸಿ (ಉದಾ. SBIN0001234)</v>
      </c>
      <c r="F102" s="7" t="str">
        <f>IFERROR(__xludf.DUMMYFUNCTION("GOOGLETRANSLATE(B102, ""en"", ""ml"")"),"ദയവായി സാധുവായ ഒരു IFSC കോഡ് നൽകുക (ഉദാ. SBIN0001234)")</f>
        <v>ദയവായി സാധുവായ ഒരു IFSC കോഡ് നൽകുക (ഉദാ. SBIN0001234)</v>
      </c>
      <c r="G102" s="7" t="str">
        <f>IFERROR(__xludf.DUMMYFUNCTION("GOOGLETRANSLATE(B102, ""en"", ""te"")"),"దయచేసి చెల్లుబాటు అయ్యే IFSC కోడ్‌ను నమోదు చేయండి (ఉదా., SBIN0001234)")</f>
        <v>దయచేసి చెల్లుబాటు అయ్యే IFSC కోడ్‌ను నమోదు చేయండి (ఉదా., SBIN0001234)</v>
      </c>
    </row>
    <row r="103">
      <c r="A103" s="4" t="s">
        <v>209</v>
      </c>
      <c r="B103" s="5" t="s">
        <v>210</v>
      </c>
      <c r="C103" s="6" t="str">
        <f>IFERROR(__xludf.DUMMYFUNCTION("GOOGLETRANSLATE(B103, ""en"", ""ta"")"),"தயவுசெய்து வங்கி பாஸ்புக்கின் முதல் பக்கத்தைப் பதிவேற்றவும்.")</f>
        <v>தயவுசெய்து வங்கி பாஸ்புக்கின் முதல் பக்கத்தைப் பதிவேற்றவும்.</v>
      </c>
      <c r="D103" s="6" t="str">
        <f>IFERROR(__xludf.DUMMYFUNCTION("GOOGLETRANSLATE(B103, ""en"", ""hi"")"),"कृपया बैंक पासबुक का पहला पृष्ठ अपलोड करें")</f>
        <v>कृपया बैंक पासबुक का पहला पृष्ठ अपलोड करें</v>
      </c>
      <c r="E103" s="6" t="str">
        <f>IFERROR(__xludf.DUMMYFUNCTION("GOOGLETRANSLATE(B103, ""en"", ""kn"")"),"ದಯವಿಟ್ಟು ಬ್ಯಾಂಕ್ ಪಾಸ್‌ಬುಕ್‌ನ ಮುಖಪುಟವನ್ನು ಅಪ್‌ಲೋಡ್ ಮಾಡಿ.")</f>
        <v>ದಯವಿಟ್ಟು ಬ್ಯಾಂಕ್ ಪಾಸ್‌ಬುಕ್‌ನ ಮುಖಪುಟವನ್ನು ಅಪ್‌ಲೋಡ್ ಮಾಡಿ.</v>
      </c>
      <c r="F103" s="7" t="str">
        <f>IFERROR(__xludf.DUMMYFUNCTION("GOOGLETRANSLATE(B103, ""en"", ""ml"")"),"ദയവായി ബാങ്ക് പാസ്ബുക്കിന്റെ മുൻ പേജ് അപ്‌ലോഡ് ചെയ്യുക.")</f>
        <v>ദയവായി ബാങ്ക് പാസ്ബുക്കിന്റെ മുൻ പേജ് അപ്‌ലോഡ് ചെയ്യുക.</v>
      </c>
      <c r="G103" s="7" t="str">
        <f>IFERROR(__xludf.DUMMYFUNCTION("GOOGLETRANSLATE(B103, ""en"", ""te"")"),"దయచేసి బ్యాంక్ పాస్‌బుక్ మొదటి పేజీని అప్‌లోడ్ చేయండి.")</f>
        <v>దయచేసి బ్యాంక్ పాస్‌బుక్ మొదటి పేజీని అప్‌లోడ్ చేయండి.</v>
      </c>
    </row>
    <row r="104">
      <c r="A104" s="4" t="s">
        <v>211</v>
      </c>
      <c r="B104" s="5" t="s">
        <v>212</v>
      </c>
      <c r="C104" s="6" t="str">
        <f>IFERROR(__xludf.DUMMYFUNCTION("GOOGLETRANSLATE(B104, ""en"", ""ta"")"),"கணக்கு வைத்திருப்பவரின் பெயரை உள்ளிடவும்.")</f>
        <v>கணக்கு வைத்திருப்பவரின் பெயரை உள்ளிடவும்.</v>
      </c>
      <c r="D104" s="6" t="str">
        <f>IFERROR(__xludf.DUMMYFUNCTION("GOOGLETRANSLATE(B104, ""en"", ""hi"")"),"कृपया खाताधारक का नाम दर्ज करें")</f>
        <v>कृपया खाताधारक का नाम दर्ज करें</v>
      </c>
      <c r="E104" s="6" t="str">
        <f>IFERROR(__xludf.DUMMYFUNCTION("GOOGLETRANSLATE(B104, ""en"", ""kn"")"),"ದಯವಿಟ್ಟು ಖಾತೆದಾರರ ಹೆಸರನ್ನು ನಮೂದಿಸಿ.")</f>
        <v>ದಯವಿಟ್ಟು ಖಾತೆದಾರರ ಹೆಸರನ್ನು ನಮೂದಿಸಿ.</v>
      </c>
      <c r="F104" s="7" t="str">
        <f>IFERROR(__xludf.DUMMYFUNCTION("GOOGLETRANSLATE(B104, ""en"", ""ml"")"),"അക്കൗണ്ട് ഉടമയുടെ പേര് നൽകുക.")</f>
        <v>അക്കൗണ്ട് ഉടമയുടെ പേര് നൽകുക.</v>
      </c>
      <c r="G104" s="7" t="str">
        <f>IFERROR(__xludf.DUMMYFUNCTION("GOOGLETRANSLATE(B104, ""en"", ""te"")"),"దయచేసి ఖాతాదారు పేరును నమోదు చేయండి")</f>
        <v>దయచేసి ఖాతాదారు పేరును నమోదు చేయండి</v>
      </c>
    </row>
    <row r="105">
      <c r="A105" s="4" t="s">
        <v>213</v>
      </c>
      <c r="B105" s="5" t="s">
        <v>214</v>
      </c>
      <c r="C105" s="6" t="str">
        <f>IFERROR(__xludf.DUMMYFUNCTION("GOOGLETRANSLATE(B105, ""en"", ""ta"")"),"கணக்கு எண்ணை மீண்டும் உள்ளிடவும்.")</f>
        <v>கணக்கு எண்ணை மீண்டும் உள்ளிடவும்.</v>
      </c>
      <c r="D105" s="6" t="str">
        <f>IFERROR(__xludf.DUMMYFUNCTION("GOOGLETRANSLATE(B105, ""en"", ""hi"")"),"कृपया खाता संख्या पुनः दर्ज करें")</f>
        <v>कृपया खाता संख्या पुनः दर्ज करें</v>
      </c>
      <c r="E105" s="6" t="str">
        <f>IFERROR(__xludf.DUMMYFUNCTION("GOOGLETRANSLATE(B105, ""en"", ""kn"")"),"ದಯವಿಟ್ಟು ಖಾತೆ ಸಂಖ್ಯೆಯನ್ನು ಮರು ನಮೂದಿಸಿ.")</f>
        <v>ದಯವಿಟ್ಟು ಖಾತೆ ಸಂಖ್ಯೆಯನ್ನು ಮರು ನಮೂದಿಸಿ.</v>
      </c>
      <c r="F105" s="7" t="str">
        <f>IFERROR(__xludf.DUMMYFUNCTION("GOOGLETRANSLATE(B105, ""en"", ""ml"")"),"അക്കൗണ്ട് നമ്പർ വീണ്ടും നൽകുക.")</f>
        <v>അക്കൗണ്ട് നമ്പർ വീണ്ടും നൽകുക.</v>
      </c>
      <c r="G105" s="7" t="str">
        <f>IFERROR(__xludf.DUMMYFUNCTION("GOOGLETRANSLATE(B105, ""en"", ""te"")"),"దయచేసి ఖాతా నంబర్‌ను తిరిగి నమోదు చేయండి.")</f>
        <v>దయచేసి ఖాతా నంబర్‌ను తిరిగి నమోదు చేయండి.</v>
      </c>
    </row>
    <row r="106">
      <c r="A106" s="4" t="s">
        <v>215</v>
      </c>
      <c r="B106" s="5" t="s">
        <v>216</v>
      </c>
      <c r="C106" s="6" t="str">
        <f>IFERROR(__xludf.DUMMYFUNCTION("GOOGLETRANSLATE(B106, ""en"", ""ta"")"),"கணக்கு எண்கள் பொருந்தவில்லை.")</f>
        <v>கணக்கு எண்கள் பொருந்தவில்லை.</v>
      </c>
      <c r="D106" s="6" t="str">
        <f>IFERROR(__xludf.DUMMYFUNCTION("GOOGLETRANSLATE(B106, ""en"", ""hi"")"),"खाता संख्याएँ मेल नहीं खातीं")</f>
        <v>खाता संख्याएँ मेल नहीं खातीं</v>
      </c>
      <c r="E106" s="6" t="str">
        <f>IFERROR(__xludf.DUMMYFUNCTION("GOOGLETRANSLATE(B106, ""en"", ""kn"")"),"ಖಾತೆ ಸಂಖ್ಯೆಗಳು ಹೊಂದಿಕೆಯಾಗುತ್ತಿಲ್ಲ.")</f>
        <v>ಖಾತೆ ಸಂಖ್ಯೆಗಳು ಹೊಂದಿಕೆಯಾಗುತ್ತಿಲ್ಲ.</v>
      </c>
      <c r="F106" s="7" t="str">
        <f>IFERROR(__xludf.DUMMYFUNCTION("GOOGLETRANSLATE(B106, ""en"", ""ml"")"),"അക്കൗണ്ട് നമ്പറുകൾ പൊരുത്തപ്പെടുന്നില്ല.")</f>
        <v>അക്കൗണ്ട് നമ്പറുകൾ പൊരുത്തപ്പെടുന്നില്ല.</v>
      </c>
      <c r="G106" s="7" t="str">
        <f>IFERROR(__xludf.DUMMYFUNCTION("GOOGLETRANSLATE(B106, ""en"", ""te"")"),"ఖాతా నంబర్లు సరిపోలడం లేదు.")</f>
        <v>ఖాతా నంబర్లు సరిపోలడం లేదు.</v>
      </c>
    </row>
    <row r="107">
      <c r="A107" s="4" t="s">
        <v>217</v>
      </c>
      <c r="B107" s="5" t="s">
        <v>218</v>
      </c>
      <c r="C107" s="6" t="str">
        <f>IFERROR(__xludf.DUMMYFUNCTION("GOOGLETRANSLATE(B107, ""en"", ""ta"")"),"வங்கிப் பெயரை உள்ளிடவும்.")</f>
        <v>வங்கிப் பெயரை உள்ளிடவும்.</v>
      </c>
      <c r="D107" s="6" t="str">
        <f>IFERROR(__xludf.DUMMYFUNCTION("GOOGLETRANSLATE(B107, ""en"", ""hi"")"),"कृपया बैंक का नाम दर्ज करें")</f>
        <v>कृपया बैंक का नाम दर्ज करें</v>
      </c>
      <c r="E107" s="6" t="str">
        <f>IFERROR(__xludf.DUMMYFUNCTION("GOOGLETRANSLATE(B107, ""en"", ""kn"")"),"ದಯವಿಟ್ಟು ಬ್ಯಾಂಕ್ ಹೆಸರನ್ನು ನಮೂದಿಸಿ.")</f>
        <v>ದಯವಿಟ್ಟು ಬ್ಯಾಂಕ್ ಹೆಸರನ್ನು ನಮೂದಿಸಿ.</v>
      </c>
      <c r="F107" s="7" t="str">
        <f>IFERROR(__xludf.DUMMYFUNCTION("GOOGLETRANSLATE(B107, ""en"", ""ml"")"),"ദയവായി ബാങ്ക് നാമം നൽകുക.")</f>
        <v>ദയവായി ബാങ്ക് നാമം നൽകുക.</v>
      </c>
      <c r="G107" s="7" t="str">
        <f>IFERROR(__xludf.DUMMYFUNCTION("GOOGLETRANSLATE(B107, ""en"", ""te"")"),"దయచేసి బ్యాంక్ పేరు నమోదు చేయండి")</f>
        <v>దయచేసి బ్యాంక్ పేరు నమోదు చేయండి</v>
      </c>
    </row>
    <row r="108">
      <c r="A108" s="4" t="s">
        <v>219</v>
      </c>
      <c r="B108" s="5" t="s">
        <v>220</v>
      </c>
      <c r="C108" s="6" t="str">
        <f>IFERROR(__xludf.DUMMYFUNCTION("GOOGLETRANSLATE(B108, ""en"", ""ta"")"),"தயவுசெய்து கிளை பெயரை உள்ளிடவும்.")</f>
        <v>தயவுசெய்து கிளை பெயரை உள்ளிடவும்.</v>
      </c>
      <c r="D108" s="6" t="str">
        <f>IFERROR(__xludf.DUMMYFUNCTION("GOOGLETRANSLATE(B108, ""en"", ""hi"")"),"कृपया शाखा का नाम दर्ज करें")</f>
        <v>कृपया शाखा का नाम दर्ज करें</v>
      </c>
      <c r="E108" s="6" t="str">
        <f>IFERROR(__xludf.DUMMYFUNCTION("GOOGLETRANSLATE(B108, ""en"", ""kn"")"),"ದಯವಿಟ್ಟು ಶಾಖೆಯ ಹೆಸರನ್ನು ನಮೂದಿಸಿ")</f>
        <v>ದಯವಿಟ್ಟು ಶಾಖೆಯ ಹೆಸರನ್ನು ನಮೂದಿಸಿ</v>
      </c>
      <c r="F108" s="7" t="str">
        <f>IFERROR(__xludf.DUMMYFUNCTION("GOOGLETRANSLATE(B108, ""en"", ""ml"")"),"ദയവായി ശാഖയുടെ പേര് നൽകുക.")</f>
        <v>ദയവായി ശാഖയുടെ പേര് നൽകുക.</v>
      </c>
      <c r="G108" s="7" t="str">
        <f>IFERROR(__xludf.DUMMYFUNCTION("GOOGLETRANSLATE(B108, ""en"", ""te"")"),"దయచేసి బ్రాంచ్ పేరు నమోదు చేయండి")</f>
        <v>దయచేసి బ్రాంచ్ పేరు నమోదు చేయండి</v>
      </c>
    </row>
    <row r="109">
      <c r="A109" s="4" t="s">
        <v>221</v>
      </c>
      <c r="B109" s="5" t="s">
        <v>222</v>
      </c>
      <c r="C109" s="6" t="str">
        <f>IFERROR(__xludf.DUMMYFUNCTION("GOOGLETRANSLATE(B109, ""en"", ""ta"")"),"செல்லுபடியாகும் UPI ஐடியை உள்ளிடவும்.")</f>
        <v>செல்லுபடியாகும் UPI ஐடியை உள்ளிடவும்.</v>
      </c>
      <c r="D109" s="6" t="str">
        <f>IFERROR(__xludf.DUMMYFUNCTION("GOOGLETRANSLATE(B109, ""en"", ""hi"")"),"कृपया वैध यूपीआई आईडी दर्ज करें")</f>
        <v>कृपया वैध यूपीआई आईडी दर्ज करें</v>
      </c>
      <c r="E109" s="6" t="str">
        <f>IFERROR(__xludf.DUMMYFUNCTION("GOOGLETRANSLATE(B109, ""en"", ""kn"")"),"ದಯವಿಟ್ಟು ಮಾನ್ಯವಾದ UPI ಐಡಿಯನ್ನು ನಮೂದಿಸಿ.")</f>
        <v>ದಯವಿಟ್ಟು ಮಾನ್ಯವಾದ UPI ಐಡಿಯನ್ನು ನಮೂದಿಸಿ.</v>
      </c>
      <c r="F109" s="7" t="str">
        <f>IFERROR(__xludf.DUMMYFUNCTION("GOOGLETRANSLATE(B109, ""en"", ""ml"")"),"ദയവായി സാധുവായ UPI ഐഡി നൽകുക.")</f>
        <v>ദയവായി സാധുവായ UPI ഐഡി നൽകുക.</v>
      </c>
      <c r="G109" s="7" t="str">
        <f>IFERROR(__xludf.DUMMYFUNCTION("GOOGLETRANSLATE(B109, ""en"", ""te"")"),"దయచేసి చెల్లుబాటు అయ్యే UPI ID ని నమోదు చేయండి.")</f>
        <v>దయచేసి చెల్లుబాటు అయ్యే UPI ID ని నమోదు చేయండి.</v>
      </c>
    </row>
    <row r="110">
      <c r="A110" s="4" t="s">
        <v>223</v>
      </c>
      <c r="B110" s="5" t="s">
        <v>224</v>
      </c>
      <c r="C110" s="6" t="str">
        <f>IFERROR(__xludf.DUMMYFUNCTION("GOOGLETRANSLATE(B110, ""en"", ""ta"")"),"தயவுசெய்து செல்லுபடியாகும் UPI ஐடியை உள்ளிடவும் - 9999999999@upi")</f>
        <v>தயவுசெய்து செல்லுபடியாகும் UPI ஐடியை உள்ளிடவும் - 9999999999@upi</v>
      </c>
      <c r="D110" s="6" t="str">
        <f>IFERROR(__xludf.DUMMYFUNCTION("GOOGLETRANSLATE(B110, ""en"", ""hi"")"),"कृपया एक वैध यूपीआई आईडी दर्ज करें - 9999999999@upi")</f>
        <v>कृपया एक वैध यूपीआई आईडी दर्ज करें - 9999999999@upi</v>
      </c>
      <c r="E110" s="6" t="str">
        <f>IFERROR(__xludf.DUMMYFUNCTION("GOOGLETRANSLATE(B110, ""en"", ""kn"")"),"ದಯವಿಟ್ಟು ಮಾನ್ಯವಾದ UPI ಐಡಿಯನ್ನು ನಮೂದಿಸಿ - 9999999999@upi")</f>
        <v>ದಯವಿಟ್ಟು ಮಾನ್ಯವಾದ UPI ಐಡಿಯನ್ನು ನಮೂದಿಸಿ - 9999999999@upi</v>
      </c>
      <c r="F110" s="7" t="str">
        <f>IFERROR(__xludf.DUMMYFUNCTION("GOOGLETRANSLATE(B110, ""en"", ""ml"")"),"ദയവായി സാധുവായ ഒരു UPI ഐഡി നൽകുക - 9999999999@upi")</f>
        <v>ദയവായി സാധുവായ ഒരു UPI ഐഡി നൽകുക - 9999999999@upi</v>
      </c>
      <c r="G110" s="7" t="str">
        <f>IFERROR(__xludf.DUMMYFUNCTION("GOOGLETRANSLATE(B110, ""en"", ""te"")"),"దయచేసి చెల్లుబాటు అయ్యే UPI IDని నమోదు చేయండి - 9999999999@upi")</f>
        <v>దయచేసి చెల్లుబాటు అయ్యే UPI IDని నమోదు చేయండి - 9999999999@upi</v>
      </c>
    </row>
    <row r="111">
      <c r="A111" s="4" t="s">
        <v>225</v>
      </c>
      <c r="B111" s="5" t="s">
        <v>226</v>
      </c>
      <c r="C111" s="6" t="str">
        <f>IFERROR(__xludf.DUMMYFUNCTION("GOOGLETRANSLATE(B111, ""en"", ""ta"")"),"கணக்கு வைத்திருப்பவரின் பெயர்")</f>
        <v>கணக்கு வைத்திருப்பவரின் பெயர்</v>
      </c>
      <c r="D111" s="6" t="str">
        <f>IFERROR(__xludf.DUMMYFUNCTION("GOOGLETRANSLATE(B111, ""en"", ""hi"")"),"खाता धारक का नाम")</f>
        <v>खाता धारक का नाम</v>
      </c>
      <c r="E111" s="6" t="str">
        <f>IFERROR(__xludf.DUMMYFUNCTION("GOOGLETRANSLATE(B111, ""en"", ""kn"")"),"ಖಾತೆದಾರರ ಹೆಸರು")</f>
        <v>ಖಾತೆದಾರರ ಹೆಸರು</v>
      </c>
      <c r="F111" s="7" t="str">
        <f>IFERROR(__xludf.DUMMYFUNCTION("GOOGLETRANSLATE(B111, ""en"", ""ml"")"),"അക്കൗണ്ട് ഉടമയുടെ പേര്")</f>
        <v>അക്കൗണ്ട് ഉടമയുടെ പേര്</v>
      </c>
      <c r="G111" s="7" t="str">
        <f>IFERROR(__xludf.DUMMYFUNCTION("GOOGLETRANSLATE(B111, ""en"", ""te"")"),"ఖాతాదారుడి పేరు")</f>
        <v>ఖాతాదారుడి పేరు</v>
      </c>
    </row>
    <row r="112">
      <c r="A112" s="4" t="s">
        <v>227</v>
      </c>
      <c r="B112" s="5" t="s">
        <v>228</v>
      </c>
      <c r="C112" s="6" t="str">
        <f>IFERROR(__xludf.DUMMYFUNCTION("GOOGLETRANSLATE(B112, ""en"", ""ta"")"),"கணக்கு எண்")</f>
        <v>கணக்கு எண்</v>
      </c>
      <c r="D112" s="6" t="str">
        <f>IFERROR(__xludf.DUMMYFUNCTION("GOOGLETRANSLATE(B112, ""en"", ""hi"")"),"खाता संख्या")</f>
        <v>खाता संख्या</v>
      </c>
      <c r="E112" s="6" t="str">
        <f>IFERROR(__xludf.DUMMYFUNCTION("GOOGLETRANSLATE(B112, ""en"", ""kn"")"),"ಖಾತೆ ಸಂಖ್ಯೆ")</f>
        <v>ಖಾತೆ ಸಂಖ್ಯೆ</v>
      </c>
      <c r="F112" s="7" t="str">
        <f>IFERROR(__xludf.DUMMYFUNCTION("GOOGLETRANSLATE(B112, ""en"", ""ml"")"),"അക്കൗണ്ട് നമ്പർ")</f>
        <v>അക്കൗണ്ട് നമ്പർ</v>
      </c>
      <c r="G112" s="7" t="str">
        <f>IFERROR(__xludf.DUMMYFUNCTION("GOOGLETRANSLATE(B112, ""en"", ""te"")"),"ఖాతా సంఖ్య")</f>
        <v>ఖాతా సంఖ్య</v>
      </c>
    </row>
    <row r="113">
      <c r="A113" s="4" t="s">
        <v>229</v>
      </c>
      <c r="B113" s="5" t="s">
        <v>230</v>
      </c>
      <c r="C113" s="6" t="str">
        <f>IFERROR(__xludf.DUMMYFUNCTION("GOOGLETRANSLATE(B113, ""en"", ""ta"")"),"கணக்கு எண்ணை மீண்டும் உள்ளிடவும்")</f>
        <v>கணக்கு எண்ணை மீண்டும் உள்ளிடவும்</v>
      </c>
      <c r="D113" s="6" t="str">
        <f>IFERROR(__xludf.DUMMYFUNCTION("GOOGLETRANSLATE(B113, ""en"", ""hi"")"),"खाता संख्या फिर से एंटर करें")</f>
        <v>खाता संख्या फिर से एंटर करें</v>
      </c>
      <c r="E113" s="6" t="str">
        <f>IFERROR(__xludf.DUMMYFUNCTION("GOOGLETRANSLATE(B113, ""en"", ""kn"")"),"ಖಾತೆ ಸಂಖ್ಯೆಯನ್ನು ಮರು-ನಮೂದಿಸಿ")</f>
        <v>ಖಾತೆ ಸಂಖ್ಯೆಯನ್ನು ಮರು-ನಮೂದಿಸಿ</v>
      </c>
      <c r="F113" s="7" t="str">
        <f>IFERROR(__xludf.DUMMYFUNCTION("GOOGLETRANSLATE(B113, ""en"", ""ml"")"),"അക്കൗണ്ട് നമ്പർ വീണ്ടും നൽകുക")</f>
        <v>അക്കൗണ്ട് നമ്പർ വീണ്ടും നൽകുക</v>
      </c>
      <c r="G113" s="7" t="str">
        <f>IFERROR(__xludf.DUMMYFUNCTION("GOOGLETRANSLATE(B113, ""en"", ""te"")"),"ఖాతా నంబర్‌ను తిరిగి నమోదు చేయండి")</f>
        <v>ఖాతా నంబర్‌ను తిరిగి నమోదు చేయండి</v>
      </c>
    </row>
    <row r="114">
      <c r="A114" s="4" t="s">
        <v>231</v>
      </c>
      <c r="B114" s="5" t="s">
        <v>232</v>
      </c>
      <c r="C114" s="6" t="str">
        <f>IFERROR(__xludf.DUMMYFUNCTION("GOOGLETRANSLATE(B114, ""en"", ""ta"")"),"வங்கி பெயர்")</f>
        <v>வங்கி பெயர்</v>
      </c>
      <c r="D114" s="6" t="str">
        <f>IFERROR(__xludf.DUMMYFUNCTION("GOOGLETRANSLATE(B114, ""en"", ""hi"")"),"बैंक का नाम")</f>
        <v>बैंक का नाम</v>
      </c>
      <c r="E114" s="6" t="str">
        <f>IFERROR(__xludf.DUMMYFUNCTION("GOOGLETRANSLATE(B114, ""en"", ""kn"")"),"ಬ್ಯಾಂಕ್ ಹೆಸರು")</f>
        <v>ಬ್ಯಾಂಕ್ ಹೆಸರು</v>
      </c>
      <c r="F114" s="7" t="str">
        <f>IFERROR(__xludf.DUMMYFUNCTION("GOOGLETRANSLATE(B114, ""en"", ""ml"")"),"ബാങ്ക് പേര്")</f>
        <v>ബാങ്ക് പേര്</v>
      </c>
      <c r="G114" s="7" t="str">
        <f>IFERROR(__xludf.DUMMYFUNCTION("GOOGLETRANSLATE(B114, ""en"", ""te"")"),"బ్యాంక్ పేరు")</f>
        <v>బ్యాంక్ పేరు</v>
      </c>
    </row>
    <row r="115">
      <c r="A115" s="4" t="s">
        <v>233</v>
      </c>
      <c r="B115" s="5" t="s">
        <v>234</v>
      </c>
      <c r="C115" s="6" t="str">
        <f>IFERROR(__xludf.DUMMYFUNCTION("GOOGLETRANSLATE(B115, ""en"", ""ta"")"),"IFSC குறியீடு")</f>
        <v>IFSC குறியீடு</v>
      </c>
      <c r="D115" s="6" t="str">
        <f>IFERROR(__xludf.DUMMYFUNCTION("GOOGLETRANSLATE(B115, ""en"", ""hi"")"),"IFSC कोड")</f>
        <v>IFSC कोड</v>
      </c>
      <c r="E115" s="6" t="str">
        <f>IFERROR(__xludf.DUMMYFUNCTION("GOOGLETRANSLATE(B115, ""en"", ""kn"")"),"IFSC ಕೋಡ್")</f>
        <v>IFSC ಕೋಡ್</v>
      </c>
      <c r="F115" s="7" t="str">
        <f>IFERROR(__xludf.DUMMYFUNCTION("GOOGLETRANSLATE(B115, ""en"", ""ml"")"),"IFSC കോഡ്")</f>
        <v>IFSC കോഡ്</v>
      </c>
      <c r="G115" s="7" t="str">
        <f>IFERROR(__xludf.DUMMYFUNCTION("GOOGLETRANSLATE(B115, ""en"", ""te"")"),"IFSC కోడ్")</f>
        <v>IFSC కోడ్</v>
      </c>
    </row>
    <row r="116">
      <c r="A116" s="4" t="s">
        <v>235</v>
      </c>
      <c r="B116" s="5" t="s">
        <v>236</v>
      </c>
      <c r="C116" s="6" t="str">
        <f>IFERROR(__xludf.DUMMYFUNCTION("GOOGLETRANSLATE(B116, ""en"", ""ta"")"),"கிளை")</f>
        <v>கிளை</v>
      </c>
      <c r="D116" s="6" t="str">
        <f>IFERROR(__xludf.DUMMYFUNCTION("GOOGLETRANSLATE(B116, ""en"", ""hi"")"),"शाखा")</f>
        <v>शाखा</v>
      </c>
      <c r="E116" s="6" t="str">
        <f>IFERROR(__xludf.DUMMYFUNCTION("GOOGLETRANSLATE(B116, ""en"", ""kn"")"),"ಶಾಖೆ")</f>
        <v>ಶಾಖೆ</v>
      </c>
      <c r="F116" s="7" t="str">
        <f>IFERROR(__xludf.DUMMYFUNCTION("GOOGLETRANSLATE(B116, ""en"", ""ml"")"),"ശാഖ")</f>
        <v>ശാഖ</v>
      </c>
      <c r="G116" s="7" t="str">
        <f>IFERROR(__xludf.DUMMYFUNCTION("GOOGLETRANSLATE(B116, ""en"", ""te"")"),"బ్రాంచ్")</f>
        <v>బ్రాంచ్</v>
      </c>
    </row>
    <row r="117">
      <c r="A117" s="4" t="s">
        <v>237</v>
      </c>
      <c r="B117" s="5" t="s">
        <v>238</v>
      </c>
      <c r="C117" s="6" t="str">
        <f>IFERROR(__xludf.DUMMYFUNCTION("GOOGLETRANSLATE(B117, ""en"", ""ta"")"),"UPI ஐடி")</f>
        <v>UPI ஐடி</v>
      </c>
      <c r="D117" s="6" t="str">
        <f>IFERROR(__xludf.DUMMYFUNCTION("GOOGLETRANSLATE(B117, ""en"", ""hi"")"),"यूपीआई आईडी")</f>
        <v>यूपीआई आईडी</v>
      </c>
      <c r="E117" s="6" t="str">
        <f>IFERROR(__xludf.DUMMYFUNCTION("GOOGLETRANSLATE(B117, ""en"", ""kn"")"),"ಯುಪಿಐ ಐಡಿ")</f>
        <v>ಯುಪಿಐ ಐಡಿ</v>
      </c>
      <c r="F117" s="7" t="str">
        <f>IFERROR(__xludf.DUMMYFUNCTION("GOOGLETRANSLATE(B117, ""en"", ""ml"")"),"യുപിഐ ഐഡി")</f>
        <v>യുപിഐ ഐഡി</v>
      </c>
      <c r="G117" s="7" t="str">
        <f>IFERROR(__xludf.DUMMYFUNCTION("GOOGLETRANSLATE(B117, ""en"", ""te"")"),"UPI ఐడి")</f>
        <v>UPI ఐడి</v>
      </c>
    </row>
    <row r="118">
      <c r="A118" s="4" t="s">
        <v>239</v>
      </c>
      <c r="B118" s="5" t="s">
        <v>240</v>
      </c>
      <c r="C118" s="6" t="str">
        <f>IFERROR(__xludf.DUMMYFUNCTION("GOOGLETRANSLATE(B118, ""en"", ""ta"")"),"வங்கி பாஸ்புக்கை பதிவேற்றவும் (முதல் பக்கம்)")</f>
        <v>வங்கி பாஸ்புக்கை பதிவேற்றவும் (முதல் பக்கம்)</v>
      </c>
      <c r="D118" s="6" t="str">
        <f>IFERROR(__xludf.DUMMYFUNCTION("GOOGLETRANSLATE(B118, ""en"", ""hi"")"),"अपलोड करें
बैंक पासबुक (पहला पृष्ठ)")</f>
        <v>अपलोड करें
बैंक पासबुक (पहला पृष्ठ)</v>
      </c>
      <c r="E118" s="6" t="str">
        <f>IFERROR(__xludf.DUMMYFUNCTION("GOOGLETRANSLATE(B118, ""en"", ""kn"")"),"
ಬ್ಯಾಂಕ್ ಪಾಸ್‌ಬುಕ್ (ಮುಂದಿನ ಪುಟ) ಅಪ್‌ಲೋಡ್ ಮಾಡಿ")</f>
        <v>
ಬ್ಯಾಂಕ್ ಪಾಸ್‌ಬುಕ್ (ಮುಂದಿನ ಪುಟ) ಅಪ್‌ಲೋಡ್ ಮಾಡಿ</v>
      </c>
      <c r="F118" s="7" t="str">
        <f>IFERROR(__xludf.DUMMYFUNCTION("GOOGLETRANSLATE(B118, ""en"", ""ml"")"),"ബാങ്ക് പാസ്ബുക്ക് (മുൻ പേജ്) അപ്‌ലോഡ് ചെയ്യുക.")</f>
        <v>ബാങ്ക് പാസ്ബുക്ക് (മുൻ പേജ്) അപ്‌ലോഡ് ചെയ്യുക.</v>
      </c>
      <c r="G118" s="7" t="str">
        <f>IFERROR(__xludf.DUMMYFUNCTION("GOOGLETRANSLATE(B118, ""en"", ""te"")"),"అప్‌లోడ్ చేయండి 
బ్యాంక్ పాస్‌బుక్ (ముందు పేజీ)")</f>
        <v>అప్‌లోడ్ చేయండి 
బ్యాంక్ పాస్‌బుక్ (ముందు పేజీ)</v>
      </c>
    </row>
    <row r="119">
      <c r="A119" s="4" t="s">
        <v>241</v>
      </c>
      <c r="B119" s="5" t="s">
        <v>242</v>
      </c>
      <c r="C119" s="6" t="str">
        <f>IFERROR(__xludf.DUMMYFUNCTION("GOOGLETRANSLATE(B119, ""en"", ""ta"")"),"உலவ")</f>
        <v>உலவ</v>
      </c>
      <c r="D119" s="6" t="str">
        <f>IFERROR(__xludf.DUMMYFUNCTION("GOOGLETRANSLATE(B119, ""en"", ""hi"")"),"ब्राउज़")</f>
        <v>ब्राउज़</v>
      </c>
      <c r="E119" s="6" t="str">
        <f>IFERROR(__xludf.DUMMYFUNCTION("GOOGLETRANSLATE(B119, ""en"", ""kn"")"),"ಬ್ರೌಸ್ ಮಾಡಿ")</f>
        <v>ಬ್ರೌಸ್ ಮಾಡಿ</v>
      </c>
      <c r="F119" s="7" t="str">
        <f>IFERROR(__xludf.DUMMYFUNCTION("GOOGLETRANSLATE(B119, ""en"", ""ml"")"),"ബ്രൗസ് ചെയ്യുക")</f>
        <v>ബ്രൗസ് ചെയ്യുക</v>
      </c>
      <c r="G119" s="7" t="str">
        <f>IFERROR(__xludf.DUMMYFUNCTION("GOOGLETRANSLATE(B119, ""en"", ""te"")"),"బ్రౌజ్ చేయండి")</f>
        <v>బ్రౌజ్ చేయండి</v>
      </c>
    </row>
    <row r="120">
      <c r="A120" s="4" t="s">
        <v>243</v>
      </c>
      <c r="B120" s="5" t="s">
        <v>244</v>
      </c>
      <c r="C120" s="6" t="str">
        <f>IFERROR(__xludf.DUMMYFUNCTION("GOOGLETRANSLATE(B120, ""en"", ""ta"")"),"கேமரா")</f>
        <v>கேமரா</v>
      </c>
      <c r="D120" s="6" t="str">
        <f>IFERROR(__xludf.DUMMYFUNCTION("GOOGLETRANSLATE(B120, ""en"", ""hi"")"),"कैमरा")</f>
        <v>कैमरा</v>
      </c>
      <c r="E120" s="6" t="str">
        <f>IFERROR(__xludf.DUMMYFUNCTION("GOOGLETRANSLATE(B120, ""en"", ""kn"")"),"ಕ್ಯಾಮೆರಾ")</f>
        <v>ಕ್ಯಾಮೆರಾ</v>
      </c>
      <c r="F120" s="7" t="str">
        <f>IFERROR(__xludf.DUMMYFUNCTION("GOOGLETRANSLATE(B120, ""en"", ""ml"")"),"ക്യാമറ")</f>
        <v>ക്യാമറ</v>
      </c>
      <c r="G120" s="7" t="str">
        <f>IFERROR(__xludf.DUMMYFUNCTION("GOOGLETRANSLATE(B120, ""en"", ""te"")"),"కెమెరా")</f>
        <v>కెమెరా</v>
      </c>
    </row>
    <row r="121">
      <c r="A121" s="8" t="s">
        <v>245</v>
      </c>
      <c r="B121" s="9" t="s">
        <v>246</v>
      </c>
      <c r="C121" s="6" t="str">
        <f>IFERROR(__xludf.DUMMYFUNCTION("GOOGLETRANSLATE(B121, ""en"", ""ta"")"),"ஆதார் அட்டை")</f>
        <v>ஆதார் அட்டை</v>
      </c>
      <c r="D121" s="6" t="str">
        <f>IFERROR(__xludf.DUMMYFUNCTION("GOOGLETRANSLATE(B121, ""en"", ""hi"")"),"आधार कार्ड")</f>
        <v>आधार कार्ड</v>
      </c>
      <c r="E121" s="6" t="str">
        <f>IFERROR(__xludf.DUMMYFUNCTION("GOOGLETRANSLATE(B121, ""en"", ""kn"")"),"ಆಧಾರ್ ಕಾರ್ಡ್")</f>
        <v>ಆಧಾರ್ ಕಾರ್ಡ್</v>
      </c>
      <c r="F121" s="7" t="str">
        <f>IFERROR(__xludf.DUMMYFUNCTION("GOOGLETRANSLATE(B121, ""en"", ""ml"")"),"ആധാർ കാർഡ്")</f>
        <v>ആധാർ കാർഡ്</v>
      </c>
      <c r="G121" s="7" t="str">
        <f>IFERROR(__xludf.DUMMYFUNCTION("GOOGLETRANSLATE(B121, ""en"", ""te"")"),"ఆధార్ కార్డు")</f>
        <v>ఆధార్ కార్డు</v>
      </c>
    </row>
    <row r="122">
      <c r="A122" s="8" t="s">
        <v>247</v>
      </c>
      <c r="B122" s="6" t="s">
        <v>248</v>
      </c>
      <c r="C122" s="6" t="str">
        <f>IFERROR(__xludf.DUMMYFUNCTION("GOOGLETRANSLATE(B122, ""en"", ""ta"")"),"பான் கார்டு")</f>
        <v>பான் கார்டு</v>
      </c>
      <c r="D122" s="6" t="str">
        <f>IFERROR(__xludf.DUMMYFUNCTION("GOOGLETRANSLATE(B122, ""en"", ""hi"")"),"पैन कार्ड")</f>
        <v>पैन कार्ड</v>
      </c>
      <c r="E122" s="6" t="str">
        <f>IFERROR(__xludf.DUMMYFUNCTION("GOOGLETRANSLATE(B122, ""en"", ""kn"")"),"ಪ್ಯಾನ್ ಕಾರ್ಡ್")</f>
        <v>ಪ್ಯಾನ್ ಕಾರ್ಡ್</v>
      </c>
      <c r="F122" s="7" t="str">
        <f>IFERROR(__xludf.DUMMYFUNCTION("GOOGLETRANSLATE(B122, ""en"", ""ml"")"),"പാൻ കാർഡ്")</f>
        <v>പാൻ കാർഡ്</v>
      </c>
      <c r="G122" s="7" t="str">
        <f>IFERROR(__xludf.DUMMYFUNCTION("GOOGLETRANSLATE(B122, ""en"", ""te"")"),"పాన్ కార్డ్")</f>
        <v>పాన్ కార్డ్</v>
      </c>
    </row>
    <row r="123">
      <c r="A123" s="8" t="s">
        <v>249</v>
      </c>
      <c r="B123" s="6" t="s">
        <v>250</v>
      </c>
      <c r="C123" s="6" t="str">
        <f>IFERROR(__xludf.DUMMYFUNCTION("GOOGLETRANSLATE(B123, ""en"", ""ta"")"),"ஓட்டுநர் புகைப்படம்")</f>
        <v>ஓட்டுநர் புகைப்படம்</v>
      </c>
      <c r="D123" s="6" t="str">
        <f>IFERROR(__xludf.DUMMYFUNCTION("GOOGLETRANSLATE(B123, ""en"", ""hi"")"),"ड्राइवर की फोटो")</f>
        <v>ड्राइवर की फोटो</v>
      </c>
      <c r="E123" s="6" t="str">
        <f>IFERROR(__xludf.DUMMYFUNCTION("GOOGLETRANSLATE(B123, ""en"", ""kn"")"),"ಚಾಲಕ ಫೋಟೋ")</f>
        <v>ಚಾಲಕ ಫೋಟೋ</v>
      </c>
      <c r="F123" s="7" t="str">
        <f>IFERROR(__xludf.DUMMYFUNCTION("GOOGLETRANSLATE(B123, ""en"", ""ml"")"),"ഡ്രൈവറുടെ ഫോട്ടോ")</f>
        <v>ഡ്രൈവറുടെ ഫോട്ടോ</v>
      </c>
      <c r="G123" s="7" t="str">
        <f>IFERROR(__xludf.DUMMYFUNCTION("GOOGLETRANSLATE(B123, ""en"", ""te"")"),"డ్రైవర్ ఫోటో")</f>
        <v>డ్రైవర్ ఫోటో</v>
      </c>
    </row>
    <row r="124">
      <c r="A124" s="8" t="s">
        <v>251</v>
      </c>
      <c r="B124" s="6" t="s">
        <v>252</v>
      </c>
      <c r="C124" s="6" t="str">
        <f>IFERROR(__xludf.DUMMYFUNCTION("GOOGLETRANSLATE(B124, ""en"", ""ta"")"),"ஓட்டுநர் உரிமம்")</f>
        <v>ஓட்டுநர் உரிமம்</v>
      </c>
      <c r="D124" s="6" t="str">
        <f>IFERROR(__xludf.DUMMYFUNCTION("GOOGLETRANSLATE(B124, ""en"", ""hi"")"),"ड्राइविंग लाइसेंस")</f>
        <v>ड्राइविंग लाइसेंस</v>
      </c>
      <c r="E124" s="6" t="str">
        <f>IFERROR(__xludf.DUMMYFUNCTION("GOOGLETRANSLATE(B124, ""en"", ""kn"")"),"ಚಾಲನಾ ಪರವಾನಗಿ")</f>
        <v>ಚಾಲನಾ ಪರವಾನಗಿ</v>
      </c>
      <c r="F124" s="7" t="str">
        <f>IFERROR(__xludf.DUMMYFUNCTION("GOOGLETRANSLATE(B124, ""en"", ""ml"")"),"ഡ്രൈവിംഗ് ലൈസൻസ്")</f>
        <v>ഡ്രൈവിംഗ് ലൈസൻസ്</v>
      </c>
      <c r="G124" s="7" t="str">
        <f>IFERROR(__xludf.DUMMYFUNCTION("GOOGLETRANSLATE(B124, ""en"", ""te"")"),"డ్రైవింగ్ లైసెన్స్")</f>
        <v>డ్రైవింగ్ లైసెన్స్</v>
      </c>
    </row>
    <row r="125">
      <c r="A125" s="8" t="s">
        <v>253</v>
      </c>
      <c r="B125" s="6" t="s">
        <v>254</v>
      </c>
      <c r="C125" s="6" t="str">
        <f>IFERROR(__xludf.DUMMYFUNCTION("GOOGLETRANSLATE(B125, ""en"", ""ta"")"),"காப்பீடு")</f>
        <v>காப்பீடு</v>
      </c>
      <c r="D125" s="6" t="str">
        <f>IFERROR(__xludf.DUMMYFUNCTION("GOOGLETRANSLATE(B125, ""en"", ""hi"")"),"बीमा")</f>
        <v>बीमा</v>
      </c>
      <c r="E125" s="6" t="str">
        <f>IFERROR(__xludf.DUMMYFUNCTION("GOOGLETRANSLATE(B125, ""en"", ""kn"")"),"ವಿಮೆ")</f>
        <v>ವಿಮೆ</v>
      </c>
      <c r="F125" s="7" t="str">
        <f>IFERROR(__xludf.DUMMYFUNCTION("GOOGLETRANSLATE(B125, ""en"", ""ml"")"),"ഇൻഷുറൻസ്")</f>
        <v>ഇൻഷുറൻസ്</v>
      </c>
      <c r="G125" s="7" t="str">
        <f>IFERROR(__xludf.DUMMYFUNCTION("GOOGLETRANSLATE(B125, ""en"", ""te"")"),"భీమా")</f>
        <v>భీమా</v>
      </c>
    </row>
    <row r="126">
      <c r="A126" s="10" t="s">
        <v>255</v>
      </c>
      <c r="B126" s="6" t="s">
        <v>256</v>
      </c>
      <c r="C126" s="6" t="str">
        <f>IFERROR(__xludf.DUMMYFUNCTION("GOOGLETRANSLATE(B126, ""en"", ""ta"")"),"மாசு சான்றிதழ்")</f>
        <v>மாசு சான்றிதழ்</v>
      </c>
      <c r="D126" s="6" t="str">
        <f>IFERROR(__xludf.DUMMYFUNCTION("GOOGLETRANSLATE(B126, ""en"", ""hi"")"),"प्रदूषण प्रमाणपत्र")</f>
        <v>प्रदूषण प्रमाणपत्र</v>
      </c>
      <c r="E126" s="6" t="str">
        <f>IFERROR(__xludf.DUMMYFUNCTION("GOOGLETRANSLATE(B126, ""en"", ""kn"")"),"ಮಾಲಿನ್ಯ ಪ್ರಮಾಣಪತ್ರ")</f>
        <v>ಮಾಲಿನ್ಯ ಪ್ರಮಾಣಪತ್ರ</v>
      </c>
      <c r="F126" s="7" t="str">
        <f>IFERROR(__xludf.DUMMYFUNCTION("GOOGLETRANSLATE(B126, ""en"", ""ml"")"),"മലിനീകരണ സർട്ടിഫിക്കറ്റ്")</f>
        <v>മലിനീകരണ സർട്ടിഫിക്കറ്റ്</v>
      </c>
      <c r="G126" s="7" t="str">
        <f>IFERROR(__xludf.DUMMYFUNCTION("GOOGLETRANSLATE(B126, ""en"", ""te"")"),"కాలుష్య ధృవీకరణ పత్రం")</f>
        <v>కాలుష్య ధృవీకరణ పత్రం</v>
      </c>
    </row>
    <row r="127">
      <c r="A127" s="8" t="s">
        <v>257</v>
      </c>
      <c r="B127" s="6" t="s">
        <v>258</v>
      </c>
      <c r="C127" s="6" t="str">
        <f>IFERROR(__xludf.DUMMYFUNCTION("GOOGLETRANSLATE(B127, ""en"", ""ta"")"),"வாகன புகைப்படம்")</f>
        <v>வாகன புகைப்படம்</v>
      </c>
      <c r="D127" s="6" t="str">
        <f>IFERROR(__xludf.DUMMYFUNCTION("GOOGLETRANSLATE(B127, ""en"", ""hi"")"),"वाहन की तस्वीर")</f>
        <v>वाहन की तस्वीर</v>
      </c>
      <c r="E127" s="6" t="str">
        <f>IFERROR(__xludf.DUMMYFUNCTION("GOOGLETRANSLATE(B127, ""en"", ""kn"")"),"ವಾಹನ ಫೋಟೋ")</f>
        <v>ವಾಹನ ಫೋಟೋ</v>
      </c>
      <c r="F127" s="7" t="str">
        <f>IFERROR(__xludf.DUMMYFUNCTION("GOOGLETRANSLATE(B127, ""en"", ""ml"")"),"വാഹന ഫോട്ടോ")</f>
        <v>വാഹന ഫോട്ടോ</v>
      </c>
      <c r="G127" s="7" t="str">
        <f>IFERROR(__xludf.DUMMYFUNCTION("GOOGLETRANSLATE(B127, ""en"", ""te"")"),"వాహనం ఫోటో")</f>
        <v>వాహనం ఫోటో</v>
      </c>
    </row>
    <row r="128">
      <c r="A128" s="8" t="s">
        <v>259</v>
      </c>
      <c r="B128" s="6" t="s">
        <v>260</v>
      </c>
      <c r="C128" s="6" t="str">
        <f>IFERROR(__xludf.DUMMYFUNCTION("GOOGLETRANSLATE(B128, ""en"", ""ta"")"),"வாகன ஆர்.சி. ஆவணம்")</f>
        <v>வாகன ஆர்.சி. ஆவணம்</v>
      </c>
      <c r="D128" s="6" t="str">
        <f>IFERROR(__xludf.DUMMYFUNCTION("GOOGLETRANSLATE(B128, ""en"", ""hi"")"),"वाहन आरसी दस्तावेज़")</f>
        <v>वाहन आरसी दस्तावेज़</v>
      </c>
      <c r="E128" s="6" t="str">
        <f>IFERROR(__xludf.DUMMYFUNCTION("GOOGLETRANSLATE(B128, ""en"", ""kn"")"),"ವಾಹನ ಆರ್‌ಸಿ ದಾಖಲೆ")</f>
        <v>ವಾಹನ ಆರ್‌ಸಿ ದಾಖಲೆ</v>
      </c>
      <c r="F128" s="7" t="str">
        <f>IFERROR(__xludf.DUMMYFUNCTION("GOOGLETRANSLATE(B128, ""en"", ""ml"")"),"വാഹന ആർ‌സി രേഖ")</f>
        <v>വാഹന ആർ‌സി രേഖ</v>
      </c>
      <c r="G128" s="7" t="str">
        <f>IFERROR(__xludf.DUMMYFUNCTION("GOOGLETRANSLATE(B128, ""en"", ""te"")"),"వాహన RC పత్రం")</f>
        <v>వాహన RC పత్రం</v>
      </c>
    </row>
    <row r="129">
      <c r="A129" s="8" t="s">
        <v>261</v>
      </c>
      <c r="B129" s="6" t="s">
        <v>262</v>
      </c>
      <c r="C129" s="6" t="str">
        <f>IFERROR(__xludf.DUMMYFUNCTION("GOOGLETRANSLATE(B129, ""en"", ""ta"")"),"சாலை வரி ஆவணம்")</f>
        <v>சாலை வரி ஆவணம்</v>
      </c>
      <c r="D129" s="6" t="str">
        <f>IFERROR(__xludf.DUMMYFUNCTION("GOOGLETRANSLATE(B129, ""en"", ""hi"")"),"सड़क कर दस्तावेज़")</f>
        <v>सड़क कर दस्तावेज़</v>
      </c>
      <c r="E129" s="6" t="str">
        <f>IFERROR(__xludf.DUMMYFUNCTION("GOOGLETRANSLATE(B129, ""en"", ""kn"")"),"ರಸ್ತೆ ತೆರಿಗೆ ದಾಖಲೆ")</f>
        <v>ರಸ್ತೆ ತೆರಿಗೆ ದಾಖಲೆ</v>
      </c>
      <c r="F129" s="7" t="str">
        <f>IFERROR(__xludf.DUMMYFUNCTION("GOOGLETRANSLATE(B129, ""en"", ""ml"")"),"റോഡ് നികുതി രേഖ")</f>
        <v>റോഡ് നികുതി രേഖ</v>
      </c>
      <c r="G129" s="7" t="str">
        <f>IFERROR(__xludf.DUMMYFUNCTION("GOOGLETRANSLATE(B129, ""en"", ""te"")"),"రోడ్డు పన్ను పత్రం")</f>
        <v>రోడ్డు పన్ను పత్రం</v>
      </c>
    </row>
    <row r="130">
      <c r="A130" s="8" t="s">
        <v>263</v>
      </c>
      <c r="B130" s="6" t="s">
        <v>264</v>
      </c>
      <c r="C130" s="6" t="str">
        <f>IFERROR(__xludf.DUMMYFUNCTION("GOOGLETRANSLATE(B130, ""en"", ""ta"")"),"அனுமதி ஆவணம்")</f>
        <v>அனுமதி ஆவணம்</v>
      </c>
      <c r="D130" s="6" t="str">
        <f>IFERROR(__xludf.DUMMYFUNCTION("GOOGLETRANSLATE(B130, ""en"", ""hi"")"),"परमिट दस्तावेज़")</f>
        <v>परमिट दस्तावेज़</v>
      </c>
      <c r="E130" s="6" t="str">
        <f>IFERROR(__xludf.DUMMYFUNCTION("GOOGLETRANSLATE(B130, ""en"", ""kn"")"),"ಪರವಾನಗಿ ದಾಖಲೆ")</f>
        <v>ಪರವಾನಗಿ ದಾಖಲೆ</v>
      </c>
      <c r="F130" s="7" t="str">
        <f>IFERROR(__xludf.DUMMYFUNCTION("GOOGLETRANSLATE(B130, ""en"", ""ml"")"),"പെർമിറ്റ് രേഖ")</f>
        <v>പെർമിറ്റ് രേഖ</v>
      </c>
      <c r="G130" s="7" t="str">
        <f>IFERROR(__xludf.DUMMYFUNCTION("GOOGLETRANSLATE(B130, ""en"", ""te"")"),"అనుమతి పత్రం")</f>
        <v>అనుమతి పత్రం</v>
      </c>
    </row>
    <row r="131">
      <c r="A131" s="8" t="s">
        <v>265</v>
      </c>
      <c r="B131" s="6" t="s">
        <v>266</v>
      </c>
      <c r="C131" s="6" t="str">
        <f>IFERROR(__xludf.DUMMYFUNCTION("GOOGLETRANSLATE(B131, ""en"", ""ta"")"),"உடற்தகுதி ஆவணம்")</f>
        <v>உடற்தகுதி ஆவணம்</v>
      </c>
      <c r="D131" s="6" t="str">
        <f>IFERROR(__xludf.DUMMYFUNCTION("GOOGLETRANSLATE(B131, ""en"", ""hi"")"),"फिटनेस दस्तावेज़")</f>
        <v>फिटनेस दस्तावेज़</v>
      </c>
      <c r="E131" s="6" t="str">
        <f>IFERROR(__xludf.DUMMYFUNCTION("GOOGLETRANSLATE(B131, ""en"", ""kn"")"),"ಫಿಟ್‌ನೆಸ್ ದಾಖಲೆ")</f>
        <v>ಫಿಟ್‌ನೆಸ್ ದಾಖಲೆ</v>
      </c>
      <c r="F131" s="7" t="str">
        <f>IFERROR(__xludf.DUMMYFUNCTION("GOOGLETRANSLATE(B131, ""en"", ""ml"")"),"ഫിറ്റ്നസ് രേഖ")</f>
        <v>ഫിറ്റ്നസ് രേഖ</v>
      </c>
      <c r="G131" s="7" t="str">
        <f>IFERROR(__xludf.DUMMYFUNCTION("GOOGLETRANSLATE(B131, ""en"", ""te"")"),"ఫిట్‌నెస్ డాక్యుమెంట్")</f>
        <v>ఫిట్‌నెస్ డాక్యుమెంట్</v>
      </c>
    </row>
    <row r="132">
      <c r="A132" s="8" t="s">
        <v>267</v>
      </c>
      <c r="B132" s="6" t="s">
        <v>268</v>
      </c>
      <c r="C132" s="6" t="str">
        <f>IFERROR(__xludf.DUMMYFUNCTION("GOOGLETRANSLATE(B132, ""en"", ""ta"")"),"காவல்துறை சரிபார்ப்புச் சான்றிதழ்")</f>
        <v>காவல்துறை சரிபார்ப்புச் சான்றிதழ்</v>
      </c>
      <c r="D132" s="6" t="str">
        <f>IFERROR(__xludf.DUMMYFUNCTION("GOOGLETRANSLATE(B132, ""en"", ""hi"")"),"पुलिस सत्यापन प्रमाणपत्र")</f>
        <v>पुलिस सत्यापन प्रमाणपत्र</v>
      </c>
      <c r="E132" s="6" t="str">
        <f>IFERROR(__xludf.DUMMYFUNCTION("GOOGLETRANSLATE(B132, ""en"", ""kn"")"),"ಪೊಲೀಸ್ ಪರಿಶೀಲನಾ ಪ್ರಮಾಣಪತ್ರ")</f>
        <v>ಪೊಲೀಸ್ ಪರಿಶೀಲನಾ ಪ್ರಮಾಣಪತ್ರ</v>
      </c>
      <c r="F132" s="7" t="str">
        <f>IFERROR(__xludf.DUMMYFUNCTION("GOOGLETRANSLATE(B132, ""en"", ""ml"")"),"പോലീസ് വെരിഫിക്കേഷൻ സർട്ടിഫിക്കറ്റ്")</f>
        <v>പോലീസ് വെരിഫിക്കേഷൻ സർട്ടിഫിക്കറ്റ്</v>
      </c>
      <c r="G132" s="7" t="str">
        <f>IFERROR(__xludf.DUMMYFUNCTION("GOOGLETRANSLATE(B132, ""en"", ""te"")"),"పోలీస్ వెరిఫికేషన్ సర్టిఫికెట్")</f>
        <v>పోలీస్ వెరిఫికేషన్ సర్టిఫికెట్</v>
      </c>
    </row>
    <row r="133">
      <c r="A133" s="4" t="s">
        <v>269</v>
      </c>
      <c r="B133" s="5" t="s">
        <v>270</v>
      </c>
      <c r="C133" s="6" t="str">
        <f>IFERROR(__xludf.DUMMYFUNCTION("GOOGLETRANSLATE(B133, ""en"", ""ta"")"),"டிரைவர் பெயர்")</f>
        <v>டிரைவர் பெயர்</v>
      </c>
      <c r="D133" s="6" t="str">
        <f>IFERROR(__xludf.DUMMYFUNCTION("GOOGLETRANSLATE(B133, ""en"", ""hi"")"),"चालक का नाम")</f>
        <v>चालक का नाम</v>
      </c>
      <c r="E133" s="6" t="str">
        <f>IFERROR(__xludf.DUMMYFUNCTION("GOOGLETRANSLATE(B133, ""en"", ""kn"")"),"ಚಾಲಕ ಹೆಸರು")</f>
        <v>ಚಾಲಕ ಹೆಸರು</v>
      </c>
      <c r="F133" s="7" t="str">
        <f>IFERROR(__xludf.DUMMYFUNCTION("GOOGLETRANSLATE(B133, ""en"", ""ml"")"),"ഡ്രൈവറുടെ പേര്")</f>
        <v>ഡ്രൈവറുടെ പേര്</v>
      </c>
      <c r="G133" s="7" t="str">
        <f>IFERROR(__xludf.DUMMYFUNCTION("GOOGLETRANSLATE(B133, ""en"", ""te"")"),"డ్రైవర్ పేరు")</f>
        <v>డ్రైవర్ పేరు</v>
      </c>
    </row>
    <row r="134">
      <c r="A134" s="10" t="s">
        <v>271</v>
      </c>
      <c r="B134" s="5" t="s">
        <v>272</v>
      </c>
      <c r="C134" s="6" t="str">
        <f>IFERROR(__xludf.DUMMYFUNCTION("GOOGLETRANSLATE(B134, ""en"", ""ta"")"),"உங்கள் கணக்கு தடுக்கப்பட்டுள்ளது.")</f>
        <v>உங்கள் கணக்கு தடுக்கப்பட்டுள்ளது.</v>
      </c>
      <c r="D134" s="6" t="str">
        <f>IFERROR(__xludf.DUMMYFUNCTION("GOOGLETRANSLATE(B134, ""en"", ""hi"")"),"आपका खाता
ब्लॉक कर दिया गया है")</f>
        <v>आपका खाता
ब्लॉक कर दिया गया है</v>
      </c>
      <c r="E134" s="6" t="str">
        <f>IFERROR(__xludf.DUMMYFUNCTION("GOOGLETRANSLATE(B134, ""en"", ""kn"")"),"ನಿಮ್ಮ ಖಾತೆಯನ್ನು ನಿರ್ಬಂಧಿಸಲಾಗಿದೆ.")</f>
        <v>ನಿಮ್ಮ ಖಾತೆಯನ್ನು ನಿರ್ಬಂಧಿಸಲಾಗಿದೆ.</v>
      </c>
      <c r="F134" s="7" t="str">
        <f>IFERROR(__xludf.DUMMYFUNCTION("GOOGLETRANSLATE(B134, ""en"", ""ml"")"),"നിങ്ങളുടെ അക്കൗണ്ട് ബ്ലോക്ക് ചെയ്‌തിരിക്കുന്നു")</f>
        <v>നിങ്ങളുടെ അക്കൗണ്ട് ബ്ലോക്ക് ചെയ്‌തിരിക്കുന്നു</v>
      </c>
      <c r="G134" s="7" t="str">
        <f>IFERROR(__xludf.DUMMYFUNCTION("GOOGLETRANSLATE(B134, ""en"", ""te"")"),"మీ ఖాతా బ్లాక్ చేయబడింది")</f>
        <v>మీ ఖాతా బ్లాక్ చేయబడింది</v>
      </c>
    </row>
    <row r="135">
      <c r="A135" s="10" t="s">
        <v>273</v>
      </c>
      <c r="B135" s="5" t="s">
        <v>274</v>
      </c>
      <c r="C135" s="6" t="str">
        <f>IFERROR(__xludf.DUMMYFUNCTION("GOOGLETRANSLATE(B135, ""en"", ""ta"")"),"ஒப்புதலுக்காக காத்திருங்கள்")</f>
        <v>ஒப்புதலுக்காக காத்திருங்கள்</v>
      </c>
      <c r="D135" s="6" t="str">
        <f>IFERROR(__xludf.DUMMYFUNCTION("GOOGLETRANSLATE(B135, ""en"", ""hi"")"),"अनुमोदन के लिए प्रतीक्षा करें")</f>
        <v>अनुमोदन के लिए प्रतीक्षा करें</v>
      </c>
      <c r="E135" s="6" t="str">
        <f>IFERROR(__xludf.DUMMYFUNCTION("GOOGLETRANSLATE(B135, ""en"", ""kn"")"),"ಅನುಮೋದನೆಗಾಗಿ ಕಾಯಿರಿ")</f>
        <v>ಅನುಮೋದನೆಗಾಗಿ ಕಾಯಿರಿ</v>
      </c>
      <c r="F135" s="7" t="str">
        <f>IFERROR(__xludf.DUMMYFUNCTION("GOOGLETRANSLATE(B135, ""en"", ""ml"")"),"അംഗീകാരത്തിനായി കാത്തിരിക്കുക")</f>
        <v>അംഗീകാരത്തിനായി കാത്തിരിക്കുക</v>
      </c>
      <c r="G135" s="7" t="str">
        <f>IFERROR(__xludf.DUMMYFUNCTION("GOOGLETRANSLATE(B135, ""en"", ""te"")"),"ఆమోదం కోసం వేచి ఉండండి")</f>
        <v>ఆమోదం కోసం వేచి ఉండండి</v>
      </c>
    </row>
    <row r="136">
      <c r="A136" s="10" t="s">
        <v>275</v>
      </c>
      <c r="B136" s="5" t="s">
        <v>276</v>
      </c>
      <c r="C136" s="6" t="str">
        <f>IFERROR(__xludf.DUMMYFUNCTION("GOOGLETRANSLATE(B136, ""en"", ""ta"")"),"சில காரணங்களால் உங்கள் கணக்கு தடுக்கப்பட்டுள்ளது.")</f>
        <v>சில காரணங்களால் உங்கள் கணக்கு தடுக்கப்பட்டுள்ளது.</v>
      </c>
      <c r="D136" s="6" t="str">
        <f>IFERROR(__xludf.DUMMYFUNCTION("GOOGLETRANSLATE(B136, ""en"", ""hi"")"),"कुछ कारणों से आपका खाता अवरुद्ध कर दिया गया है।")</f>
        <v>कुछ कारणों से आपका खाता अवरुद्ध कर दिया गया है।</v>
      </c>
      <c r="E136" s="6" t="str">
        <f>IFERROR(__xludf.DUMMYFUNCTION("GOOGLETRANSLATE(B136, ""en"", ""kn"")"),"ಕೆಲವು ಕಾರಣಗಳಿಂದ ನಿಮ್ಮ ಖಾತೆಯನ್ನು ನಿರ್ಬಂಧಿಸಲಾಗಿದೆ.")</f>
        <v>ಕೆಲವು ಕಾರಣಗಳಿಂದ ನಿಮ್ಮ ಖಾತೆಯನ್ನು ನಿರ್ಬಂಧಿಸಲಾಗಿದೆ.</v>
      </c>
      <c r="F136" s="7" t="str">
        <f>IFERROR(__xludf.DUMMYFUNCTION("GOOGLETRANSLATE(B136, ""en"", ""ml"")"),"ചില കാരണങ്ങളാൽ നിങ്ങളുടെ അക്കൗണ്ട് ബ്ലോക്ക് ചെയ്‌തിരിക്കുന്നു.")</f>
        <v>ചില കാരണങ്ങളാൽ നിങ്ങളുടെ അക്കൗണ്ട് ബ്ലോക്ക് ചെയ്‌തിരിക്കുന്നു.</v>
      </c>
      <c r="G136" s="7" t="str">
        <f>IFERROR(__xludf.DUMMYFUNCTION("GOOGLETRANSLATE(B136, ""en"", ""te"")"),"కొన్ని కారణాల వల్ల మీ ఖాతా బ్లాక్ చేయబడింది.")</f>
        <v>కొన్ని కారణాల వల్ల మీ ఖాతా బ్లాక్ చేయబడింది.</v>
      </c>
    </row>
    <row r="137">
      <c r="A137" s="10" t="s">
        <v>277</v>
      </c>
      <c r="B137" s="5" t="s">
        <v>278</v>
      </c>
      <c r="C137" s="6" t="str">
        <f>IFERROR(__xludf.DUMMYFUNCTION("GOOGLETRANSLATE(B137, ""en"", ""ta"")"),"உங்களுக்கு ஏதேனும் கேள்விகள் இருந்தால், தயவுசெய்து")</f>
        <v>உங்களுக்கு ஏதேனும் கேள்விகள் இருந்தால், தயவுசெய்து</v>
      </c>
      <c r="D137" s="6" t="str">
        <f>IFERROR(__xludf.DUMMYFUNCTION("GOOGLETRANSLATE(B137, ""en"", ""hi"")"),"यदि आपके कोई प्रश्न हैं, तो कृपया")</f>
        <v>यदि आपके कोई प्रश्न हैं, तो कृपया</v>
      </c>
      <c r="E137" s="6" t="str">
        <f>IFERROR(__xludf.DUMMYFUNCTION("GOOGLETRANSLATE(B137, ""en"", ""kn"")"),"ನಿಮಗೆ ಯಾವುದೇ ಪ್ರಶ್ನೆಗಳಿದ್ದರೆ, ದಯವಿಟ್ಟು")</f>
        <v>ನಿಮಗೆ ಯಾವುದೇ ಪ್ರಶ್ನೆಗಳಿದ್ದರೆ, ದಯವಿಟ್ಟು</v>
      </c>
      <c r="F137" s="7" t="str">
        <f>IFERROR(__xludf.DUMMYFUNCTION("GOOGLETRANSLATE(B137, ""en"", ""ml"")"),"നിങ്ങൾക്ക് എന്തെങ്കിലും ചോദ്യങ്ങളുണ്ടെങ്കിൽ, ദയവായി")</f>
        <v>നിങ്ങൾക്ക് എന്തെങ്കിലും ചോദ്യങ്ങളുണ്ടെങ്കിൽ, ദയവായി</v>
      </c>
      <c r="G137" s="7" t="str">
        <f>IFERROR(__xludf.DUMMYFUNCTION("GOOGLETRANSLATE(B137, ""en"", ""te"")"),"మీకు ఏవైనా ప్రశ్నలు ఉంటే, దయచేసి")</f>
        <v>మీకు ఏవైనా ప్రశ్నలు ఉంటే, దయచేసి</v>
      </c>
    </row>
    <row r="138">
      <c r="A138" s="10" t="s">
        <v>279</v>
      </c>
      <c r="B138" s="5" t="s">
        <v>280</v>
      </c>
      <c r="C138" s="6" t="str">
        <f>IFERROR(__xludf.DUMMYFUNCTION("GOOGLETRANSLATE(B138, ""en"", ""ta"")"),"எங்களை தொடர்பு கொள்ள.")</f>
        <v>எங்களை தொடர்பு கொள்ள.</v>
      </c>
      <c r="D138" s="6" t="str">
        <f>IFERROR(__xludf.DUMMYFUNCTION("GOOGLETRANSLATE(B138, ""en"", ""hi"")"),"हमसे संपर्क करें।")</f>
        <v>हमसे संपर्क करें।</v>
      </c>
      <c r="E138" s="6" t="str">
        <f>IFERROR(__xludf.DUMMYFUNCTION("GOOGLETRANSLATE(B138, ""en"", ""kn"")"),"ನಮ್ಮನ್ನು ಸಂಪರ್ಕಿಸಿ.")</f>
        <v>ನಮ್ಮನ್ನು ಸಂಪರ್ಕಿಸಿ.</v>
      </c>
      <c r="F138" s="7" t="str">
        <f>IFERROR(__xludf.DUMMYFUNCTION("GOOGLETRANSLATE(B138, ""en"", ""ml"")"),"ഞങ്ങളെ സമീപിക്കുക.")</f>
        <v>ഞങ്ങളെ സമീപിക്കുക.</v>
      </c>
      <c r="G138" s="7" t="str">
        <f>IFERROR(__xludf.DUMMYFUNCTION("GOOGLETRANSLATE(B138, ""en"", ""te"")"),"మమ్మల్ని సంప్రదించండి.")</f>
        <v>మమ్మల్ని సంప్రదించండి.</v>
      </c>
    </row>
    <row r="139">
      <c r="A139" s="10" t="s">
        <v>281</v>
      </c>
      <c r="B139" s="5" t="s">
        <v>282</v>
      </c>
      <c r="C139" s="6" t="str">
        <f>IFERROR(__xludf.DUMMYFUNCTION("GOOGLETRANSLATE(B139, ""en"", ""ta"")"),"தடைநீக்க கோரிக்கை அனுப்பப்பட்டது")</f>
        <v>தடைநீக்க கோரிக்கை அனுப்பப்பட்டது</v>
      </c>
      <c r="D139" s="6" t="str">
        <f>IFERROR(__xludf.DUMMYFUNCTION("GOOGLETRANSLATE(B139, ""en"", ""hi"")"),"अनब्लॉक करने का अनुरोध भेजा गया")</f>
        <v>अनब्लॉक करने का अनुरोध भेजा गया</v>
      </c>
      <c r="E139" s="6" t="str">
        <f>IFERROR(__xludf.DUMMYFUNCTION("GOOGLETRANSLATE(B139, ""en"", ""kn"")"),"ನಿರ್ಬಂಧ ತೆಗೆಯುವ ವಿನಂತಿಯನ್ನು ಕಳುಹಿಸಲಾಗಿದೆ")</f>
        <v>ನಿರ್ಬಂಧ ತೆಗೆಯುವ ವಿನಂತಿಯನ್ನು ಕಳುಹಿಸಲಾಗಿದೆ</v>
      </c>
      <c r="F139" s="7" t="str">
        <f>IFERROR(__xludf.DUMMYFUNCTION("GOOGLETRANSLATE(B139, ""en"", ""ml"")"),"അൺബ്ലോക്ക് അഭ്യർത്ഥന അയച്ചു")</f>
        <v>അൺബ്ലോക്ക് അഭ്യർത്ഥന അയച്ചു</v>
      </c>
      <c r="G139" s="7" t="str">
        <f>IFERROR(__xludf.DUMMYFUNCTION("GOOGLETRANSLATE(B139, ""en"", ""te"")"),"అన్‌బ్లాక్ అభ్యర్థన పంపబడింది")</f>
        <v>అన్‌బ్లాక్ అభ్యర్థన పంపబడింది</v>
      </c>
    </row>
    <row r="140">
      <c r="A140" s="10" t="s">
        <v>283</v>
      </c>
      <c r="B140" s="5" t="s">
        <v>284</v>
      </c>
      <c r="C140" s="6" t="str">
        <f>IFERROR(__xludf.DUMMYFUNCTION("GOOGLETRANSLATE(B140, ""en"", ""ta"")"),"தடைநீக்க கோரிக்கையை அனுப்பு")</f>
        <v>தடைநீக்க கோரிக்கையை அனுப்பு</v>
      </c>
      <c r="D140" s="6" t="str">
        <f>IFERROR(__xludf.DUMMYFUNCTION("GOOGLETRANSLATE(B140, ""en"", ""hi"")"),"अनब्लॉक करने का अनुरोध भेजें")</f>
        <v>अनब्लॉक करने का अनुरोध भेजें</v>
      </c>
      <c r="E140" s="6" t="str">
        <f>IFERROR(__xludf.DUMMYFUNCTION("GOOGLETRANSLATE(B140, ""en"", ""kn"")"),"ನಿರ್ಬಂಧ ತೆಗೆಯುವ ವಿನಂತಿಯನ್ನು ಕಳುಹಿಸಿ")</f>
        <v>ನಿರ್ಬಂಧ ತೆಗೆಯುವ ವಿನಂತಿಯನ್ನು ಕಳುಹಿಸಿ</v>
      </c>
      <c r="F140" s="7" t="str">
        <f>IFERROR(__xludf.DUMMYFUNCTION("GOOGLETRANSLATE(B140, ""en"", ""ml"")"),"അൺബ്ലോക്ക് അഭ്യർത്ഥന അയയ്ക്കുക")</f>
        <v>അൺബ്ലോക്ക് അഭ്യർത്ഥന അയയ്ക്കുക</v>
      </c>
      <c r="G140" s="7" t="str">
        <f>IFERROR(__xludf.DUMMYFUNCTION("GOOGLETRANSLATE(B140, ""en"", ""te"")"),"అన్‌బ్లాక్ అభ్యర్థనను పంపండి")</f>
        <v>అన్‌బ్లాక్ అభ్యర్థనను పంపండి</v>
      </c>
    </row>
    <row r="141">
      <c r="A141" s="10" t="s">
        <v>285</v>
      </c>
      <c r="B141" s="5" t="s">
        <v>286</v>
      </c>
      <c r="C141" s="6" t="str">
        <f>IFERROR(__xludf.DUMMYFUNCTION("GOOGLETRANSLATE(B141, ""en"", ""ta"")"),"டாக்ஸியை சரிபார்த்து அவற்றை அங்கீகரிக்க நாங்கள் கடுமையாக உழைத்து வருகிறோம். எனவே ஒப்புதல் செயல்முறை சிறிது நேரம் எடுக்கும் என்பதை புரிந்து கொள்ளுங்கள்.
உங்கள் பொறுமைக்கு நன்றி.")</f>
        <v>டாக்ஸியை சரிபார்த்து அவற்றை அங்கீகரிக்க நாங்கள் கடுமையாக உழைத்து வருகிறோம். எனவே ஒப்புதல் செயல்முறை சிறிது நேரம் எடுக்கும் என்பதை புரிந்து கொள்ளுங்கள்.
உங்கள் பொறுமைக்கு நன்றி.</v>
      </c>
      <c r="D141" s="6" t="str">
        <f>IFERROR(__xludf.DUMMYFUNCTION("GOOGLETRANSLATE(B141, ""en"", ""hi"")"),"हम टैक्सियों की जांच और अनुमोदन के लिए कड़ी मेहनत कर रहे हैं। कृपया समझें कि अनुमोदन प्रक्रिया में कुछ समय लगेगा।
आपके धैर्य के लिए धन्यवाद।")</f>
        <v>हम टैक्सियों की जांच और अनुमोदन के लिए कड़ी मेहनत कर रहे हैं। कृपया समझें कि अनुमोदन प्रक्रिया में कुछ समय लगेगा।
आपके धैर्य के लिए धन्यवाद।</v>
      </c>
      <c r="E141" s="6" t="str">
        <f>IFERROR(__xludf.DUMMYFUNCTION("GOOGLETRANSLATE(B141, ""en"", ""kn"")"),"ಟ್ಯಾಕ್ಸಿಯನ್ನು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f>
        <v>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v>
      </c>
      <c r="F141" s="7" t="str">
        <f>IFERROR(__xludf.DUMMYFUNCTION("GOOGLETRANSLATE(B141, ""en"", ""ml"")"),"ടാക്സി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f>
        <v>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v>
      </c>
      <c r="G141" s="7" t="str">
        <f>IFERROR(__xludf.DUMMYFUNCTION("GOOGLETRANSLATE(B141, ""en"", ""te"")"),"టాక్సీని ధృవీకరించడానికి మరియు వాటిని ఆమోదించడానికి మేము తీవ్రంగా కృషి చేస్తున్నాము. కాబట్టి దయచేసి ఆమోద ప్రక్రియకు కొంత సమయం పడుతుందని అర్థం చేసుకోండి.
మీ ఓర్పుకు ధన్యవాదాలు.")</f>
        <v>టాక్సీని ధృవీకరించడానికి మరియు వాటిని ఆమోదించడానికి మేము తీవ్రంగా కృషి చేస్తున్నాము. కాబట్టి దయచేసి ఆమోద ప్రక్రియకు కొంత సమయం పడుతుందని అర్థం చేసుకోండి.
మీ ఓర్పుకు ధన్యవాదాలు.</v>
      </c>
    </row>
    <row r="142">
      <c r="A142" s="10" t="s">
        <v>287</v>
      </c>
      <c r="B142" s="5" t="s">
        <v>288</v>
      </c>
      <c r="C142" s="6" t="str">
        <f>IFERROR(__xludf.DUMMYFUNCTION("GOOGLETRANSLATE(B142, ""en"", ""ta"")"),"பதிவு அல்லது செயலி தொடர்பாக ஏதேனும் கேள்விகள் இருந்தால், தயவுசெய்து")</f>
        <v>பதிவு அல்லது செயலி தொடர்பாக ஏதேனும் கேள்விகள் இருந்தால், தயவுசெய்து</v>
      </c>
      <c r="D142" s="6" t="str">
        <f>IFERROR(__xludf.DUMMYFUNCTION("GOOGLETRANSLATE(B142, ""en"", ""hi"")"),"यदि पंजीकरण या ऐप से संबंधित आपके कोई प्रश्न हैं, तो कृपया")</f>
        <v>यदि पंजीकरण या ऐप से संबंधित आपके कोई प्रश्न हैं, तो कृपया</v>
      </c>
      <c r="E142" s="6" t="str">
        <f>IFERROR(__xludf.DUMMYFUNCTION("GOOGLETRANSLATE(B142, ""en"", ""kn"")"),"ನೋಂದಣಿ ಅಥವಾ ಅಪ್ಲಿಕೇಶನ್ ಕುರಿತು ನೀವು ಯಾವುದೇ ಪ್ರಶ್ನೆಗಳನ್ನು ಹೊಂದಿದ್ದರೆ, ದಯವಿಟ್ಟು")</f>
        <v>ನೋಂದಣಿ ಅಥವಾ ಅಪ್ಲಿಕೇಶನ್ ಕುರಿತು ನೀವು ಯಾವುದೇ ಪ್ರಶ್ನೆಗಳನ್ನು ಹೊಂದಿದ್ದರೆ, ದಯವಿಟ್ಟು</v>
      </c>
      <c r="F142" s="7" t="str">
        <f>IFERROR(__xludf.DUMMYFUNCTION("GOOGLETRANSLATE(B142, ""en"", ""ml"")"),"രജിസ്ട്രേഷനെക്കുറിച്ചോ ആപ്പിനെക്കുറിച്ചോ എന്തെങ്കിലും സംശയങ്ങൾ ഉണ്ടെങ്കിൽ, ദയവായി")</f>
        <v>രജിസ്ട്രേഷനെക്കുറിച്ചോ ആപ്പിനെക്കുറിച്ചോ എന്തെങ്കിലും സംശയങ്ങൾ ഉണ്ടെങ്കിൽ, ദയവായി</v>
      </c>
      <c r="G142" s="7" t="str">
        <f>IFERROR(__xludf.DUMMYFUNCTION("GOOGLETRANSLATE(B142, ""en"", ""te"")"),"రిజిస్ట్రేషన్ లేదా యాప్ గురించి మీకు ఏవైనా ప్రశ్నలు ఉంటే, దయచేసి")</f>
        <v>రిజిస్ట్రేషన్ లేదా యాప్ గురించి మీకు ఏవైనా ప్రశ్నలు ఉంటే, దయచేసి</v>
      </c>
    </row>
    <row r="143">
      <c r="A143" s="10" t="s">
        <v>289</v>
      </c>
      <c r="B143" s="5" t="s">
        <v>290</v>
      </c>
      <c r="C143" s="6" t="str">
        <f>IFERROR(__xludf.DUMMYFUNCTION("GOOGLETRANSLATE(B143, ""en"", ""ta"")"),"ஆவணங்களைத் திருத்து")</f>
        <v>ஆவணங்களைத் திருத்து</v>
      </c>
      <c r="D143" s="6" t="str">
        <f>IFERROR(__xludf.DUMMYFUNCTION("GOOGLETRANSLATE(B143, ""en"", ""hi"")"),"दस्तावेज़ संपादित करें")</f>
        <v>दस्तावेज़ संपादित करें</v>
      </c>
      <c r="E143" s="6" t="str">
        <f>IFERROR(__xludf.DUMMYFUNCTION("GOOGLETRANSLATE(B143, ""en"", ""kn"")"),"ದಾಖಲೆಗಳನ್ನು ಸಂಪಾದಿಸಿ")</f>
        <v>ದಾಖಲೆಗಳನ್ನು ಸಂಪಾದಿಸಿ</v>
      </c>
      <c r="F143" s="7" t="str">
        <f>IFERROR(__xludf.DUMMYFUNCTION("GOOGLETRANSLATE(B143, ""en"", ""ml"")"),"പ്രമാണങ്ങൾ എഡിറ്റ് ചെയ്യുക")</f>
        <v>പ്രമാണങ്ങൾ എഡിറ്റ് ചെയ്യുക</v>
      </c>
      <c r="G143" s="7" t="str">
        <f>IFERROR(__xludf.DUMMYFUNCTION("GOOGLETRANSLATE(B143, ""en"", ""te"")"),"పత్రాలను సవరించండి")</f>
        <v>పత్రాలను సవరించండి</v>
      </c>
    </row>
    <row r="144">
      <c r="A144" s="10" t="s">
        <v>291</v>
      </c>
      <c r="B144" s="5" t="s">
        <v>292</v>
      </c>
      <c r="C144" s="6" t="str">
        <f>IFERROR(__xludf.DUMMYFUNCTION("GOOGLETRANSLATE(B144, ""en"", ""ta"")"),"ஏதோ தவறாகிவிட்டது.")</f>
        <v>ஏதோ தவறாகிவிட்டது.</v>
      </c>
      <c r="D144" s="6" t="str">
        <f>IFERROR(__xludf.DUMMYFUNCTION("GOOGLETRANSLATE(B144, ""en"", ""hi"")"),"कुछ गलत हो गया")</f>
        <v>कुछ गलत हो गया</v>
      </c>
      <c r="E144" s="6" t="str">
        <f>IFERROR(__xludf.DUMMYFUNCTION("GOOGLETRANSLATE(B144, ""en"", ""kn"")"),"ಏನೋ ತಪ್ಪಾಗಿದೆ.")</f>
        <v>ಏನೋ ತಪ್ಪಾಗಿದೆ.</v>
      </c>
      <c r="F144" s="7" t="str">
        <f>IFERROR(__xludf.DUMMYFUNCTION("GOOGLETRANSLATE(B144, ""en"", ""ml"")"),"എന്തോ കുഴപ്പം സംഭവിച്ചു.")</f>
        <v>എന്തോ കുഴപ്പം സംഭവിച്ചു.</v>
      </c>
      <c r="G144" s="7" t="str">
        <f>IFERROR(__xludf.DUMMYFUNCTION("GOOGLETRANSLATE(B144, ""en"", ""te"")"),"ఏదో తప్పు జరిగింది.")</f>
        <v>ఏదో తప్పు జరిగింది.</v>
      </c>
    </row>
    <row r="145">
      <c r="A145" s="10" t="s">
        <v>293</v>
      </c>
      <c r="B145" s="5" t="s">
        <v>294</v>
      </c>
      <c r="C145" s="6" t="str">
        <f>IFERROR(__xludf.DUMMYFUNCTION("GOOGLETRANSLATE(B145, ""en"", ""ta"")"),"தொடர உங்கள் கடவுச்சொல்லை உள்ளிடவும்.")</f>
        <v>தொடர உங்கள் கடவுச்சொல்லை உள்ளிடவும்.</v>
      </c>
      <c r="D145" s="6" t="str">
        <f>IFERROR(__xludf.DUMMYFUNCTION("GOOGLETRANSLATE(B145, ""en"", ""hi"")"),"जारी रखने के लिए कृपया अपना कूटशब्द दर्ज करें")</f>
        <v>जारी रखने के लिए कृपया अपना कूटशब्द दर्ज करें</v>
      </c>
      <c r="E145" s="6" t="str">
        <f>IFERROR(__xludf.DUMMYFUNCTION("GOOGLETRANSLATE(B145, ""en"", ""kn"")"),"ಮುಂದುವರಿಯಲು ದಯವಿಟ್ಟು ನಿಮ್ಮ ಪಾಸ್‌ವರ್ಡ್ ನಮೂದಿಸಿ.")</f>
        <v>ಮುಂದುವರಿಯಲು ದಯವಿಟ್ಟು ನಿಮ್ಮ ಪಾಸ್‌ವರ್ಡ್ ನಮೂದಿಸಿ.</v>
      </c>
      <c r="F145" s="7" t="str">
        <f>IFERROR(__xludf.DUMMYFUNCTION("GOOGLETRANSLATE(B145, ""en"", ""ml"")"),"തുടരാൻ നിങ്ങളുടെ പാസ്‌വേഡ് നൽകുക.")</f>
        <v>തുടരാൻ നിങ്ങളുടെ പാസ്‌വേഡ് നൽകുക.</v>
      </c>
      <c r="G145" s="7" t="str">
        <f>IFERROR(__xludf.DUMMYFUNCTION("GOOGLETRANSLATE(B145, ""en"", ""te"")"),"కొనసాగించడానికి దయచేసి మీ పాస్‌వర్డ్‌ను నమోదు చేయండి.")</f>
        <v>కొనసాగించడానికి దయచేసి మీ పాస్‌వర్డ్‌ను నమోదు చేయండి.</v>
      </c>
    </row>
    <row r="146">
      <c r="A146" s="4" t="s">
        <v>295</v>
      </c>
      <c r="B146" s="5" t="s">
        <v>296</v>
      </c>
      <c r="C146" s="6" t="str">
        <f>IFERROR(__xludf.DUMMYFUNCTION("GOOGLETRANSLATE(B146, ""en"", ""ta"")"),"குறிப்பு குறியீடு")</f>
        <v>குறிப்பு குறியீடு</v>
      </c>
      <c r="D146" s="6" t="str">
        <f>IFERROR(__xludf.DUMMYFUNCTION("GOOGLETRANSLATE(B146, ""en"", ""hi"")"),"संदर्भ कोड")</f>
        <v>संदर्भ कोड</v>
      </c>
      <c r="E146" s="6" t="str">
        <f>IFERROR(__xludf.DUMMYFUNCTION("GOOGLETRANSLATE(B146, ""en"", ""kn"")"),"ಉಲ್ಲೇಖ ಕೋಡ್")</f>
        <v>ಉಲ್ಲೇಖ ಕೋಡ್</v>
      </c>
      <c r="F146" s="7" t="str">
        <f>IFERROR(__xludf.DUMMYFUNCTION("GOOGLETRANSLATE(B146, ""en"", ""ml"")"),"റഫറൻസ് കോഡ്")</f>
        <v>റഫറൻസ് കോഡ്</v>
      </c>
      <c r="G146" s="7" t="str">
        <f>IFERROR(__xludf.DUMMYFUNCTION("GOOGLETRANSLATE(B146, ""en"", ""te"")"),"రిఫరెన్స్ కోడ్")</f>
        <v>రిఫరెన్స్ కోడ్</v>
      </c>
    </row>
    <row r="147">
      <c r="A147" s="4" t="s">
        <v>297</v>
      </c>
      <c r="B147" s="5" t="s">
        <v>298</v>
      </c>
      <c r="C147" s="6" t="str">
        <f>IFERROR(__xludf.DUMMYFUNCTION("GOOGLETRANSLATE(B147, ""en"", ""ta"")"),"தெரு ஒன்று")</f>
        <v>தெரு ஒன்று</v>
      </c>
      <c r="D147" s="6" t="str">
        <f>IFERROR(__xludf.DUMMYFUNCTION("GOOGLETRANSLATE(B147, ""en"", ""hi"")"),"गली एक")</f>
        <v>गली एक</v>
      </c>
      <c r="E147" s="6" t="str">
        <f>IFERROR(__xludf.DUMMYFUNCTION("GOOGLETRANSLATE(B147, ""en"", ""kn"")"),"ಸ್ಟ್ರೀಟ್ ಒನ್")</f>
        <v>ಸ್ಟ್ರೀಟ್ ಒನ್</v>
      </c>
      <c r="F147" s="7" t="str">
        <f>IFERROR(__xludf.DUMMYFUNCTION("GOOGLETRANSLATE(B147, ""en"", ""ml"")"),"സ്ട്രീറ്റ് വൺ")</f>
        <v>സ്ട്രീറ്റ് വൺ</v>
      </c>
      <c r="G147" s="7" t="str">
        <f>IFERROR(__xludf.DUMMYFUNCTION("GOOGLETRANSLATE(B147, ""en"", ""te"")"),"స్ట్రీట్ వన్")</f>
        <v>స్ట్రీట్ వన్</v>
      </c>
    </row>
    <row r="148">
      <c r="A148" s="4" t="s">
        <v>299</v>
      </c>
      <c r="B148" s="5" t="s">
        <v>300</v>
      </c>
      <c r="C148" s="6" t="str">
        <f>IFERROR(__xludf.DUMMYFUNCTION("GOOGLETRANSLATE(B148, ""en"", ""ta"")"),"தெரு இரண்டு")</f>
        <v>தெரு இரண்டு</v>
      </c>
      <c r="D148" s="6" t="str">
        <f>IFERROR(__xludf.DUMMYFUNCTION("GOOGLETRANSLATE(B148, ""en"", ""hi"")"),"गली दो")</f>
        <v>गली दो</v>
      </c>
      <c r="E148" s="6" t="str">
        <f>IFERROR(__xludf.DUMMYFUNCTION("GOOGLETRANSLATE(B148, ""en"", ""kn"")"),"ಎರಡನೇ ಬೀದಿ")</f>
        <v>ಎರಡನೇ ಬೀದಿ</v>
      </c>
      <c r="F148" s="7" t="str">
        <f>IFERROR(__xludf.DUMMYFUNCTION("GOOGLETRANSLATE(B148, ""en"", ""ml"")"),"സ്ട്രീറ്റ് ടു")</f>
        <v>സ്ട്രീറ്റ് ടു</v>
      </c>
      <c r="G148" s="7" t="str">
        <f>IFERROR(__xludf.DUMMYFUNCTION("GOOGLETRANSLATE(B148, ""en"", ""te"")"),"స్ట్రీట్ టూ")</f>
        <v>స్ట్రీట్ టూ</v>
      </c>
    </row>
    <row r="149">
      <c r="A149" s="4" t="s">
        <v>301</v>
      </c>
      <c r="B149" s="5" t="s">
        <v>302</v>
      </c>
      <c r="C149" s="6" t="str">
        <f>IFERROR(__xludf.DUMMYFUNCTION("GOOGLETRANSLATE(B149, ""en"", ""ta"")"),"நகரம்")</f>
        <v>நகரம்</v>
      </c>
      <c r="D149" s="6" t="str">
        <f>IFERROR(__xludf.DUMMYFUNCTION("GOOGLETRANSLATE(B149, ""en"", ""hi"")"),"शहर")</f>
        <v>शहर</v>
      </c>
      <c r="E149" s="6" t="str">
        <f>IFERROR(__xludf.DUMMYFUNCTION("GOOGLETRANSLATE(B149, ""en"", ""kn"")"),"ನಗರ")</f>
        <v>ನಗರ</v>
      </c>
      <c r="F149" s="7" t="str">
        <f>IFERROR(__xludf.DUMMYFUNCTION("GOOGLETRANSLATE(B149, ""en"", ""ml"")"),"നഗരം")</f>
        <v>നഗരം</v>
      </c>
      <c r="G149" s="7" t="str">
        <f>IFERROR(__xludf.DUMMYFUNCTION("GOOGLETRANSLATE(B149, ""en"", ""te"")"),"నగరం")</f>
        <v>నగరం</v>
      </c>
    </row>
    <row r="150">
      <c r="A150" s="4" t="s">
        <v>303</v>
      </c>
      <c r="B150" s="5" t="s">
        <v>304</v>
      </c>
      <c r="C150" s="6" t="str">
        <f>IFERROR(__xludf.DUMMYFUNCTION("GOOGLETRANSLATE(B150, ""en"", ""ta"")"),"நிலை")</f>
        <v>நிலை</v>
      </c>
      <c r="D150" s="6" t="str">
        <f>IFERROR(__xludf.DUMMYFUNCTION("GOOGLETRANSLATE(B150, ""en"", ""hi"")"),"राज्य")</f>
        <v>राज्य</v>
      </c>
      <c r="E150" s="6" t="str">
        <f>IFERROR(__xludf.DUMMYFUNCTION("GOOGLETRANSLATE(B150, ""en"", ""kn"")"),"ರಾಜ್ಯ")</f>
        <v>ರಾಜ್ಯ</v>
      </c>
      <c r="F150" s="7" t="str">
        <f>IFERROR(__xludf.DUMMYFUNCTION("GOOGLETRANSLATE(B150, ""en"", ""ml"")"),"സംസ്ഥാനം")</f>
        <v>സംസ്ഥാനം</v>
      </c>
      <c r="G150" s="7" t="str">
        <f>IFERROR(__xludf.DUMMYFUNCTION("GOOGLETRANSLATE(B150, ""en"", ""te"")"),"రాష్ట్రం")</f>
        <v>రాష్ట్రం</v>
      </c>
    </row>
    <row r="151">
      <c r="A151" s="4" t="s">
        <v>305</v>
      </c>
      <c r="B151" s="5" t="s">
        <v>306</v>
      </c>
      <c r="C151" s="6" t="str">
        <f>IFERROR(__xludf.DUMMYFUNCTION("GOOGLETRANSLATE(B151, ""en"", ""ta"")"),"அஞ்சல் குறியீடு")</f>
        <v>அஞ்சல் குறியீடு</v>
      </c>
      <c r="D151" s="6" t="str">
        <f>IFERROR(__xludf.DUMMYFUNCTION("GOOGLETRANSLATE(B151, ""en"", ""hi"")"),"डाक कोड")</f>
        <v>डाक कोड</v>
      </c>
      <c r="E151" s="6" t="str">
        <f>IFERROR(__xludf.DUMMYFUNCTION("GOOGLETRANSLATE(B151, ""en"", ""kn"")"),"ಅಂಚೆ ಕೋಡ್")</f>
        <v>ಅಂಚೆ ಕೋಡ್</v>
      </c>
      <c r="F151" s="7" t="str">
        <f>IFERROR(__xludf.DUMMYFUNCTION("GOOGLETRANSLATE(B151, ""en"", ""ml"")"),"തപാൽ കോഡ്")</f>
        <v>തപാൽ കോഡ്</v>
      </c>
      <c r="G151" s="7" t="str">
        <f>IFERROR(__xludf.DUMMYFUNCTION("GOOGLETRANSLATE(B151, ""en"", ""te"")"),"పోస్టల్ కోడ్")</f>
        <v>పోస్టల్ కోడ్</v>
      </c>
    </row>
    <row r="152">
      <c r="A152" s="4" t="s">
        <v>307</v>
      </c>
      <c r="B152" s="5" t="s">
        <v>308</v>
      </c>
      <c r="C152" s="6" t="str">
        <f>IFERROR(__xludf.DUMMYFUNCTION("GOOGLETRANSLATE(B152, ""en"", ""ta"")"),"நாடு")</f>
        <v>நாடு</v>
      </c>
      <c r="D152" s="6" t="str">
        <f>IFERROR(__xludf.DUMMYFUNCTION("GOOGLETRANSLATE(B152, ""en"", ""hi"")"),"देश")</f>
        <v>देश</v>
      </c>
      <c r="E152" s="6" t="str">
        <f>IFERROR(__xludf.DUMMYFUNCTION("GOOGLETRANSLATE(B152, ""en"", ""kn"")"),"ದೇಶ")</f>
        <v>ದೇಶ</v>
      </c>
      <c r="F152" s="7" t="str">
        <f>IFERROR(__xludf.DUMMYFUNCTION("GOOGLETRANSLATE(B152, ""en"", ""ml"")"),"രാജ്യം")</f>
        <v>രാജ്യം</v>
      </c>
      <c r="G152" s="7" t="str">
        <f>IFERROR(__xludf.DUMMYFUNCTION("GOOGLETRANSLATE(B152, ""en"", ""te"")"),"దేశం")</f>
        <v>దేశం</v>
      </c>
    </row>
    <row r="153">
      <c r="A153" s="4" t="s">
        <v>309</v>
      </c>
      <c r="B153" s="5" t="s">
        <v>310</v>
      </c>
      <c r="C153" s="6" t="str">
        <f>IFERROR(__xludf.DUMMYFUNCTION("GOOGLETRANSLATE(B153, ""en"", ""ta"")"),"OTP பெறுங்கள்")</f>
        <v>OTP பெறுங்கள்</v>
      </c>
      <c r="D153" s="6" t="str">
        <f>IFERROR(__xludf.DUMMYFUNCTION("GOOGLETRANSLATE(B153, ""en"", ""hi"")"),"ओटीपी प्राप्त करें")</f>
        <v>ओटीपी प्राप्त करें</v>
      </c>
      <c r="E153" s="6" t="str">
        <f>IFERROR(__xludf.DUMMYFUNCTION("GOOGLETRANSLATE(B153, ""en"", ""kn"")"),"ಒಟಿಪಿ ಪಡೆಯಿರಿ")</f>
        <v>ಒಟಿಪಿ ಪಡೆಯಿರಿ</v>
      </c>
      <c r="F153" s="7" t="str">
        <f>IFERROR(__xludf.DUMMYFUNCTION("GOOGLETRANSLATE(B153, ""en"", ""ml"")"),"OTP നേടുക")</f>
        <v>OTP നേടുക</v>
      </c>
      <c r="G153" s="7" t="str">
        <f>IFERROR(__xludf.DUMMYFUNCTION("GOOGLETRANSLATE(B153, ""en"", ""te"")"),"OTP పొందండి")</f>
        <v>OTP పొందండి</v>
      </c>
    </row>
    <row r="154">
      <c r="A154" s="4" t="s">
        <v>311</v>
      </c>
      <c r="B154" s="5" t="s">
        <v>312</v>
      </c>
      <c r="C154" s="6" t="str">
        <f>IFERROR(__xludf.DUMMYFUNCTION("GOOGLETRANSLATE(B154, ""en"", ""ta"")"),"மொபைல் எண்ணுக்கு ஒரு OTP அனுப்பப்பட்டுள்ளது.")</f>
        <v>மொபைல் எண்ணுக்கு ஒரு OTP அனுப்பப்பட்டுள்ளது.</v>
      </c>
      <c r="D154" s="6" t="str">
        <f>IFERROR(__xludf.DUMMYFUNCTION("GOOGLETRANSLATE(B154, ""en"", ""hi"")"),"मोबाइल नंबर पर एक OTP भेजा गया है।")</f>
        <v>मोबाइल नंबर पर एक OTP भेजा गया है।</v>
      </c>
      <c r="E154" s="6" t="str">
        <f>IFERROR(__xludf.DUMMYFUNCTION("GOOGLETRANSLATE(B154, ""en"", ""kn"")"),"ಮೊಬೈಲ್ ಸಂಖ್ಯೆಗೆ OTP ಕಳುಹಿಸಲಾಗಿದೆ.")</f>
        <v>ಮೊಬೈಲ್ ಸಂಖ್ಯೆಗೆ OTP ಕಳುಹಿಸಲಾಗಿದೆ.</v>
      </c>
      <c r="F154" s="7" t="str">
        <f>IFERROR(__xludf.DUMMYFUNCTION("GOOGLETRANSLATE(B154, ""en"", ""ml"")"),"മൊബൈൽ നമ്പറിലേക്ക് ഒരു OTP അയച്ചിട്ടുണ്ട്.")</f>
        <v>മൊബൈൽ നമ്പറിലേക്ക് ഒരു OTP അയച്ചിട്ടുണ്ട്.</v>
      </c>
      <c r="G154" s="7" t="str">
        <f>IFERROR(__xludf.DUMMYFUNCTION("GOOGLETRANSLATE(B154, ""en"", ""te"")"),"మొబైల్ నంబర్‌కు OTP పంపబడింది.")</f>
        <v>మొబైల్ నంబర్‌కు OTP పంపబడింది.</v>
      </c>
    </row>
    <row r="155">
      <c r="A155" s="4" t="s">
        <v>313</v>
      </c>
      <c r="B155" s="5" t="s">
        <v>314</v>
      </c>
      <c r="C155" s="6" t="str">
        <f>IFERROR(__xludf.DUMMYFUNCTION("GOOGLETRANSLATE(B155, ""en"", ""ta"")"),"ஒரு முறை
கடவுச்சொல் (OTP)")</f>
        <v>ஒரு முறை
கடவுச்சொல் (OTP)</v>
      </c>
      <c r="D155" s="6" t="str">
        <f>IFERROR(__xludf.DUMMYFUNCTION("GOOGLETRANSLATE(B155, ""en"", ""hi"")"),"एक बार का पासवर्ड
(ओटीपी)")</f>
        <v>एक बार का पासवर्ड
(ओटीपी)</v>
      </c>
      <c r="E155" s="6" t="str">
        <f>IFERROR(__xludf.DUMMYFUNCTION("GOOGLETRANSLATE(B155, ""en"", ""kn"")"),"ಒಂದು ಬಾರಿಯ ಪಾಸ್‌ವರ್ಡ್ (OTP)")</f>
        <v>ಒಂದು ಬಾರಿಯ ಪಾಸ್‌ವರ್ಡ್ (OTP)</v>
      </c>
      <c r="F155" s="7" t="str">
        <f>IFERROR(__xludf.DUMMYFUNCTION("GOOGLETRANSLATE(B155, ""en"", ""ml"")"),"ഒറ്റത്തവണ പാസ്‌വേഡ് (ഒടിപി)")</f>
        <v>ഒറ്റത്തവണ പാസ്‌വേഡ് (ഒടിപി)</v>
      </c>
      <c r="G155" s="7" t="str">
        <f>IFERROR(__xludf.DUMMYFUNCTION("GOOGLETRANSLATE(B155, ""en"", ""te"")"),"ఒకసారి ఉపయోగించగల పాస్‌వర్డ్ (OTP)")</f>
        <v>ఒకసారి ఉపయోగించగల పాస్‌వర్డ్ (OTP)</v>
      </c>
    </row>
    <row r="156">
      <c r="A156" s="4" t="s">
        <v>315</v>
      </c>
      <c r="B156" s="5" t="s">
        <v>316</v>
      </c>
      <c r="C156" s="6" t="str">
        <f>IFERROR(__xludf.DUMMYFUNCTION("GOOGLETRANSLATE(B156, ""en"", ""ta"")"),"OTP சரிபார்ப்பு")</f>
        <v>OTP சரிபார்ப்பு</v>
      </c>
      <c r="D156" s="6" t="str">
        <f>IFERROR(__xludf.DUMMYFUNCTION("GOOGLETRANSLATE(B156, ""en"", ""hi"")"),"ओटीपी सत्यापन")</f>
        <v>ओटीपी सत्यापन</v>
      </c>
      <c r="E156" s="6" t="str">
        <f>IFERROR(__xludf.DUMMYFUNCTION("GOOGLETRANSLATE(B156, ""en"", ""kn"")"),"OTP ಪರಿಶೀಲನೆ")</f>
        <v>OTP ಪರಿಶೀಲನೆ</v>
      </c>
      <c r="F156" s="7" t="str">
        <f>IFERROR(__xludf.DUMMYFUNCTION("GOOGLETRANSLATE(B156, ""en"", ""ml"")"),"OTP പരിശോധന")</f>
        <v>OTP പരിശോധന</v>
      </c>
      <c r="G156" s="7" t="str">
        <f>IFERROR(__xludf.DUMMYFUNCTION("GOOGLETRANSLATE(B156, ""en"", ""te"")"),"OTP ధృవీకరణ")</f>
        <v>OTP ధృవీకరణ</v>
      </c>
    </row>
    <row r="157">
      <c r="A157" s="4" t="s">
        <v>317</v>
      </c>
      <c r="B157" s="5" t="s">
        <v>318</v>
      </c>
      <c r="C157" s="6" t="str">
        <f>IFERROR(__xludf.DUMMYFUNCTION("GOOGLETRANSLATE(B157, ""en"", ""ta"")"),"OTP-ஐச் சரிபார்க்கவும்")</f>
        <v>OTP-ஐச் சரிபார்க்கவும்</v>
      </c>
      <c r="D157" s="6" t="str">
        <f>IFERROR(__xludf.DUMMYFUNCTION("GOOGLETRANSLATE(B157, ""en"", ""hi"")"),"ओटीपी सत्यापित करें")</f>
        <v>ओटीपी सत्यापित करें</v>
      </c>
      <c r="E157" s="6" t="str">
        <f>IFERROR(__xludf.DUMMYFUNCTION("GOOGLETRANSLATE(B157, ""en"", ""kn"")"),"ಒಟಿಪಿ ಪರಿಶೀಲಿಸಿ")</f>
        <v>ಒಟಿಪಿ ಪರಿಶೀಲಿಸಿ</v>
      </c>
      <c r="F157" s="7" t="str">
        <f>IFERROR(__xludf.DUMMYFUNCTION("GOOGLETRANSLATE(B157, ""en"", ""ml"")"),"OTP പരിശോധിക്കുക")</f>
        <v>OTP പരിശോധിക്കുക</v>
      </c>
      <c r="G157" s="7" t="str">
        <f>IFERROR(__xludf.DUMMYFUNCTION("GOOGLETRANSLATE(B157, ""en"", ""te"")"),"OTP ని ధృవీకరించండి")</f>
        <v>OTP ని ధృవీకరించండి</v>
      </c>
    </row>
    <row r="158">
      <c r="A158" s="4" t="s">
        <v>319</v>
      </c>
      <c r="B158" s="5" t="s">
        <v>320</v>
      </c>
      <c r="C158" s="6" t="str">
        <f>IFERROR(__xludf.DUMMYFUNCTION("GOOGLETRANSLATE(B158, ""en"", ""ta"")"),"OTP-ஐ மீண்டும் அனுப்பு")</f>
        <v>OTP-ஐ மீண்டும் அனுப்பு</v>
      </c>
      <c r="D158" s="6" t="str">
        <f>IFERROR(__xludf.DUMMYFUNCTION("GOOGLETRANSLATE(B158, ""en"", ""hi"")"),"ओटीपी दोबारा भेजें")</f>
        <v>ओटीपी दोबारा भेजें</v>
      </c>
      <c r="E158" s="6" t="str">
        <f>IFERROR(__xludf.DUMMYFUNCTION("GOOGLETRANSLATE(B158, ""en"", ""kn"")"),"OTP ಮತ್ತೆ ಕಳುಹಿಸಿ")</f>
        <v>OTP ಮತ್ತೆ ಕಳುಹಿಸಿ</v>
      </c>
      <c r="F158" s="7" t="str">
        <f>IFERROR(__xludf.DUMMYFUNCTION("GOOGLETRANSLATE(B158, ""en"", ""ml"")"),"OTP വീണ്ടും അയയ്ക്കുക")</f>
        <v>OTP വീണ്ടും അയയ്ക്കുക</v>
      </c>
      <c r="G158" s="7" t="str">
        <f>IFERROR(__xludf.DUMMYFUNCTION("GOOGLETRANSLATE(B158, ""en"", ""te"")"),"OTP ని మళ్ళీ పంపండి")</f>
        <v>OTP ని మళ్ళీ పంపండి</v>
      </c>
    </row>
    <row r="159">
      <c r="A159" s="4" t="s">
        <v>321</v>
      </c>
      <c r="B159" s="5" t="s">
        <v>322</v>
      </c>
      <c r="C159" s="6" t="str">
        <f>IFERROR(__xludf.DUMMYFUNCTION("GOOGLETRANSLATE(B159, ""en"", ""ta"")"),"OTP வெற்றிகரமாக சரிபார்க்கப்பட்டது.")</f>
        <v>OTP வெற்றிகரமாக சரிபார்க்கப்பட்டது.</v>
      </c>
      <c r="D159" s="6" t="str">
        <f>IFERROR(__xludf.DUMMYFUNCTION("GOOGLETRANSLATE(B159, ""en"", ""hi"")"),"ओटीपी सफलतापूर्वक सत्यापित हो गया")</f>
        <v>ओटीपी सफलतापूर्वक सत्यापित हो गया</v>
      </c>
      <c r="E159" s="6" t="str">
        <f>IFERROR(__xludf.DUMMYFUNCTION("GOOGLETRANSLATE(B159, ""en"", ""kn"")"),"OTP ಯಶಸ್ವಿಯಾಗಿ ಪರಿಶೀಲಿಸಲಾಗಿದೆ.")</f>
        <v>OTP ಯಶಸ್ವಿಯಾಗಿ ಪರಿಶೀಲಿಸಲಾಗಿದೆ.</v>
      </c>
      <c r="F159" s="7" t="str">
        <f>IFERROR(__xludf.DUMMYFUNCTION("GOOGLETRANSLATE(B159, ""en"", ""ml"")"),"OTP വിജയകരമായി പരിശോധിച്ചു.")</f>
        <v>OTP വിജയകരമായി പരിശോധിച്ചു.</v>
      </c>
      <c r="G159" s="7" t="str">
        <f>IFERROR(__xludf.DUMMYFUNCTION("GOOGLETRANSLATE(B159, ""en"", ""te"")"),"OTP విజయవంతంగా ధృవీకరించబడింది")</f>
        <v>OTP విజయవంతంగా ధృవీకరించబడింది</v>
      </c>
    </row>
    <row r="160">
      <c r="A160" s="4" t="s">
        <v>323</v>
      </c>
      <c r="B160" s="5" t="s">
        <v>324</v>
      </c>
      <c r="C160" s="6" t="str">
        <f>IFERROR(__xludf.DUMMYFUNCTION("GOOGLETRANSLATE(B160, ""en"", ""ta"")"),"பதிவுசெய்யப்பட்ட தொலைபேசி எண்ணுக்கு OTP வெற்றிகரமாக மீண்டும் அனுப்பப்பட்டது.")</f>
        <v>பதிவுசெய்யப்பட்ட தொலைபேசி எண்ணுக்கு OTP வெற்றிகரமாக மீண்டும் அனுப்பப்பட்டது.</v>
      </c>
      <c r="D160" s="6" t="str">
        <f>IFERROR(__xludf.DUMMYFUNCTION("GOOGLETRANSLATE(B160, ""en"", ""hi"")"),"पंजीकृत फ़ोन नंबर पर OTP सफलतापूर्वक पुनः भेज दिया गया है।")</f>
        <v>पंजीकृत फ़ोन नंबर पर OTP सफलतापूर्वक पुनः भेज दिया गया है।</v>
      </c>
      <c r="E160" s="6" t="str">
        <f>IFERROR(__xludf.DUMMYFUNCTION("GOOGLETRANSLATE(B160, ""en"", ""kn"")"),"ನೋಂದಾಯಿತ ಫೋನ್ ಸಂಖ್ಯೆಗೆ OTP ಯಶಸ್ವಿಯಾಗಿ ಮರು ಕಳುಹಿಸಲಾಗಿದೆ.")</f>
        <v>ನೋಂದಾಯಿತ ಫೋನ್ ಸಂಖ್ಯೆಗೆ OTP ಯಶಸ್ವಿಯಾಗಿ ಮರು ಕಳುಹಿಸಲಾಗಿದೆ.</v>
      </c>
      <c r="F160" s="7" t="str">
        <f>IFERROR(__xludf.DUMMYFUNCTION("GOOGLETRANSLATE(B160, ""en"", ""ml"")"),"രജിസ്റ്റർ ചെയ്ത ഫോൺ നമ്പറിലേക്ക് OTP വീണ്ടും അയച്ചു.")</f>
        <v>രജിസ്റ്റർ ചെയ്ത ഫോൺ നമ്പറിലേക്ക് OTP വീണ്ടും അയച്ചു.</v>
      </c>
      <c r="G160" s="7" t="str">
        <f>IFERROR(__xludf.DUMMYFUNCTION("GOOGLETRANSLATE(B160, ""en"", ""te"")"),"రిజిస్టర్డ్ ఫోన్ నంబర్‌కు OTP విజయవంతంగా తిరిగి పంపబడింది.")</f>
        <v>రిజిస్టర్డ్ ఫోన్ నంబర్‌కు OTP విజయవంతంగా తిరిగి పంపబడింది.</v>
      </c>
    </row>
    <row r="161">
      <c r="A161" s="4" t="s">
        <v>325</v>
      </c>
      <c r="B161" s="5" t="s">
        <v>326</v>
      </c>
      <c r="C161" s="6" t="str">
        <f>IFERROR(__xludf.DUMMYFUNCTION("GOOGLETRANSLATE(B161, ""en"", ""ta"")"),"நிகழ்நேர புதுப்பிப்புகளைப் பெற இருப்பிட அனுமதியை இயக்கவும்.")</f>
        <v>நிகழ்நேர புதுப்பிப்புகளைப் பெற இருப்பிட அனுமதியை இயக்கவும்.</v>
      </c>
      <c r="D161" s="6" t="str">
        <f>IFERROR(__xludf.DUMMYFUNCTION("GOOGLETRANSLATE(B161, ""en"", ""hi"")"),"रीयल टाइम अपडेट प्राप्त करने के लिए कृपया लोकेशन परमिशन चालू करें।")</f>
        <v>रीयल टाइम अपडेट प्राप्त करने के लिए कृपया लोकेशन परमिशन चालू करें।</v>
      </c>
      <c r="E161" s="6" t="str">
        <f>IFERROR(__xludf.DUMMYFUNCTION("GOOGLETRANSLATE(B161, ""en"", ""kn"")"),"ನೈಜ ಸಮಯದ ನವೀಕರಣಗಳನ್ನು ಪಡೆಯಲು ಸ್ಥಳ ಅನುಮತಿಯನ್ನು ಸಕ್ರಿಯಗೊಳಿಸಿ.")</f>
        <v>ನೈಜ ಸಮಯದ ನವೀಕರಣಗಳನ್ನು ಪಡೆಯಲು ಸ್ಥಳ ಅನುಮತಿಯನ್ನು ಸಕ್ರಿಯಗೊಳಿಸಿ.</v>
      </c>
      <c r="F161" s="7" t="str">
        <f>IFERROR(__xludf.DUMMYFUNCTION("GOOGLETRANSLATE(B161, ""en"", ""ml"")"),"തത്സമയ അപ്‌ഡേറ്റുകൾ ലഭിക്കാൻ ലൊക്കേഷൻ അനുമതി പ്രവർത്തനക്ഷമമാക്കുക.")</f>
        <v>തത്സമയ അപ്‌ഡേറ്റുകൾ ലഭിക്കാൻ ലൊക്കേഷൻ അനുമതി പ്രവർത്തനക്ഷമമാക്കുക.</v>
      </c>
      <c r="G161" s="7" t="str">
        <f>IFERROR(__xludf.DUMMYFUNCTION("GOOGLETRANSLATE(B161, ""en"", ""te"")"),"రియల్ టైమ్ అప్‌డేట్‌లను పొందడానికి దయచేసి లొకేషన్ అనుమతిని ప్రారంభించండి.")</f>
        <v>రియల్ టైమ్ అప్‌డేట్‌లను పొందడానికి దయచేసి లొకేషన్ అనుమతిని ప్రారంభించండి.</v>
      </c>
    </row>
    <row r="162">
      <c r="A162" s="4" t="s">
        <v>327</v>
      </c>
      <c r="B162" s="5" t="s">
        <v>328</v>
      </c>
      <c r="C162" s="6" t="str">
        <f>IFERROR(__xludf.DUMMYFUNCTION("GOOGLETRANSLATE(B162, ""en"", ""ta"")"),"நிகழ்நேர புதுப்பிப்புகளைப் பெற அறிவிப்பு அனுமதியை இயக்கவும்.")</f>
        <v>நிகழ்நேர புதுப்பிப்புகளைப் பெற அறிவிப்பு அனுமதியை இயக்கவும்.</v>
      </c>
      <c r="D162" s="6" t="str">
        <f>IFERROR(__xludf.DUMMYFUNCTION("GOOGLETRANSLATE(B162, ""en"", ""hi"")"),"रीयल टाइम अपडेट प्राप्त करने के लिए कृपया नोटिफिकेशन की अनुमति चालू करें।")</f>
        <v>रीयल टाइम अपडेट प्राप्त करने के लिए कृपया नोटिफिकेशन की अनुमति चालू करें।</v>
      </c>
      <c r="E162" s="6" t="str">
        <f>IFERROR(__xludf.DUMMYFUNCTION("GOOGLETRANSLATE(B162, ""en"", ""kn"")"),"ನೈಜ ಸಮಯದ ನವೀಕರಣಗಳನ್ನು ಪಡೆಯಲು ಅಧಿಸೂಚನೆ ಅನುಮತಿಯನ್ನು ಸಕ್ರಿಯಗೊಳಿಸಿ.")</f>
        <v>ನೈಜ ಸಮಯದ ನವೀಕರಣಗಳನ್ನು ಪಡೆಯಲು ಅಧಿಸೂಚನೆ ಅನುಮತಿಯನ್ನು ಸಕ್ರಿಯಗೊಳಿಸಿ.</v>
      </c>
      <c r="F162" s="7" t="str">
        <f>IFERROR(__xludf.DUMMYFUNCTION("GOOGLETRANSLATE(B162, ""en"", ""ml"")"),"തത്സമയ അപ്‌ഡേറ്റുകൾ ലഭിക്കാൻ അറിയിപ്പ് അനുമതി പ്രവർത്തനക്ഷമമാക്കുക.")</f>
        <v>തത്സമയ അപ്‌ഡേറ്റുകൾ ലഭിക്കാൻ അറിയിപ്പ് അനുമതി പ്രവർത്തനക്ഷമമാക്കുക.</v>
      </c>
      <c r="G162" s="7" t="str">
        <f>IFERROR(__xludf.DUMMYFUNCTION("GOOGLETRANSLATE(B162, ""en"", ""te"")"),"రియల్ టైమ్ అప్‌డేట్‌లను పొందడానికి దయచేసి నోటిఫికేషన్ అనుమతిని ప్రారంభించండి.")</f>
        <v>రియల్ టైమ్ అప్‌డేట్‌లను పొందడానికి దయచేసి నోటిఫికేషన్ అనుమతిని ప్రారంభించండి.</v>
      </c>
    </row>
    <row r="163">
      <c r="A163" s="4" t="s">
        <v>329</v>
      </c>
      <c r="B163" s="5" t="s">
        <v>330</v>
      </c>
      <c r="C163" s="6" t="str">
        <f>IFERROR(__xludf.DUMMYFUNCTION("GOOGLETRANSLATE(B163, ""en"", ""ta"")"),"இப்போதே இயக்கு")</f>
        <v>இப்போதே இயக்கு</v>
      </c>
      <c r="D163" s="6" t="str">
        <f>IFERROR(__xludf.DUMMYFUNCTION("GOOGLETRANSLATE(B163, ""en"", ""hi"")"),"अभी सक्षम करें")</f>
        <v>अभी सक्षम करें</v>
      </c>
      <c r="E163" s="6" t="str">
        <f>IFERROR(__xludf.DUMMYFUNCTION("GOOGLETRANSLATE(B163, ""en"", ""kn"")"),"ಈಗ ಸಕ್ರಿಯಗೊಳಿಸಿ")</f>
        <v>ಈಗ ಸಕ್ರಿಯಗೊಳಿಸಿ</v>
      </c>
      <c r="F163" s="7" t="str">
        <f>IFERROR(__xludf.DUMMYFUNCTION("GOOGLETRANSLATE(B163, ""en"", ""ml"")"),"ഇപ്പോൾ പ്രവർത്തനക്ഷമമാക്കുക")</f>
        <v>ഇപ്പോൾ പ്രവർത്തനക്ഷമമാക്കുക</v>
      </c>
      <c r="G163" s="7" t="str">
        <f>IFERROR(__xludf.DUMMYFUNCTION("GOOGLETRANSLATE(B163, ""en"", ""te"")"),"ఇప్పుడే ప్రారంభించు")</f>
        <v>ఇప్పుడే ప్రారంభించు</v>
      </c>
    </row>
    <row r="164">
      <c r="A164" s="4" t="s">
        <v>281</v>
      </c>
      <c r="B164" s="5" t="s">
        <v>282</v>
      </c>
      <c r="C164" s="6" t="str">
        <f>IFERROR(__xludf.DUMMYFUNCTION("GOOGLETRANSLATE(B164, ""en"", ""ta"")"),"தடைநீக்க கோரிக்கை அனுப்பப்பட்டது")</f>
        <v>தடைநீக்க கோரிக்கை அனுப்பப்பட்டது</v>
      </c>
      <c r="D164" s="6" t="str">
        <f>IFERROR(__xludf.DUMMYFUNCTION("GOOGLETRANSLATE(B164, ""en"", ""hi"")"),"अनब्लॉक करने का अनुरोध भेजा गया")</f>
        <v>अनब्लॉक करने का अनुरोध भेजा गया</v>
      </c>
      <c r="E164" s="6" t="str">
        <f>IFERROR(__xludf.DUMMYFUNCTION("GOOGLETRANSLATE(B164, ""en"", ""kn"")"),"ನಿರ್ಬಂಧ ತೆಗೆಯುವ ವಿನಂತಿಯನ್ನು ಕಳುಹಿಸಲಾಗಿದೆ")</f>
        <v>ನಿರ್ಬಂಧ ತೆಗೆಯುವ ವಿನಂತಿಯನ್ನು ಕಳುಹಿಸಲಾಗಿದೆ</v>
      </c>
      <c r="F164" s="7" t="str">
        <f>IFERROR(__xludf.DUMMYFUNCTION("GOOGLETRANSLATE(B164, ""en"", ""ml"")"),"അൺബ്ലോക്ക് അഭ്യർത്ഥന അയച്ചു")</f>
        <v>അൺബ്ലോക്ക് അഭ്യർത്ഥന അയച്ചു</v>
      </c>
      <c r="G164" s="7" t="str">
        <f>IFERROR(__xludf.DUMMYFUNCTION("GOOGLETRANSLATE(B164, ""en"", ""te"")"),"అన్‌బ్లాక్ అభ్యర్థన పంపబడింది")</f>
        <v>అన్‌బ్లాక్ అభ్యర్థన పంపబడింది</v>
      </c>
    </row>
    <row r="165">
      <c r="A165" s="4" t="s">
        <v>283</v>
      </c>
      <c r="B165" s="5" t="s">
        <v>284</v>
      </c>
      <c r="C165" s="6" t="str">
        <f>IFERROR(__xludf.DUMMYFUNCTION("GOOGLETRANSLATE(B165, ""en"", ""ta"")"),"தடைநீக்க கோரிக்கையை அனுப்பு")</f>
        <v>தடைநீக்க கோரிக்கையை அனுப்பு</v>
      </c>
      <c r="D165" s="6" t="str">
        <f>IFERROR(__xludf.DUMMYFUNCTION("GOOGLETRANSLATE(B165, ""en"", ""hi"")"),"अनब्लॉक करने का अनुरोध भेजें")</f>
        <v>अनब्लॉक करने का अनुरोध भेजें</v>
      </c>
      <c r="E165" s="6" t="str">
        <f>IFERROR(__xludf.DUMMYFUNCTION("GOOGLETRANSLATE(B165, ""en"", ""kn"")"),"ನಿರ್ಬಂಧ ತೆಗೆಯುವ ವಿನಂತಿಯನ್ನು ಕಳುಹಿಸಿ")</f>
        <v>ನಿರ್ಬಂಧ ತೆಗೆಯುವ ವಿನಂತಿಯನ್ನು ಕಳುಹಿಸಿ</v>
      </c>
      <c r="F165" s="7" t="str">
        <f>IFERROR(__xludf.DUMMYFUNCTION("GOOGLETRANSLATE(B165, ""en"", ""ml"")"),"അൺബ്ലോക്ക് അഭ്യർത്ഥന അയയ്ക്കുക")</f>
        <v>അൺബ്ലോക്ക് അഭ്യർത്ഥന അയയ്ക്കുക</v>
      </c>
      <c r="G165" s="7" t="str">
        <f>IFERROR(__xludf.DUMMYFUNCTION("GOOGLETRANSLATE(B165, ""en"", ""te"")"),"అన్‌బ్లాక్ అభ్యర్థనను పంపండి")</f>
        <v>అన్‌బ్లాక్ అభ్యర్థనను పంపండి</v>
      </c>
    </row>
    <row r="166">
      <c r="A166" s="4" t="s">
        <v>277</v>
      </c>
      <c r="B166" s="5" t="s">
        <v>278</v>
      </c>
      <c r="C166" s="6" t="str">
        <f>IFERROR(__xludf.DUMMYFUNCTION("GOOGLETRANSLATE(B166, ""en"", ""ta"")"),"உங்களுக்கு ஏதேனும் கேள்விகள் இருந்தால், தயவுசெய்து")</f>
        <v>உங்களுக்கு ஏதேனும் கேள்விகள் இருந்தால், தயவுசெய்து</v>
      </c>
      <c r="D166" s="6" t="str">
        <f>IFERROR(__xludf.DUMMYFUNCTION("GOOGLETRANSLATE(B166, ""en"", ""hi"")"),"यदि आपके कोई प्रश्न हैं, तो कृपया")</f>
        <v>यदि आपके कोई प्रश्न हैं, तो कृपया</v>
      </c>
      <c r="E166" s="6" t="str">
        <f>IFERROR(__xludf.DUMMYFUNCTION("GOOGLETRANSLATE(B166, ""en"", ""kn"")"),"ನಿಮಗೆ ಯಾವುದೇ ಪ್ರಶ್ನೆಗಳಿದ್ದರೆ, ದಯವಿಟ್ಟು")</f>
        <v>ನಿಮಗೆ ಯಾವುದೇ ಪ್ರಶ್ನೆಗಳಿದ್ದರೆ, ದಯವಿಟ್ಟು</v>
      </c>
      <c r="F166" s="7" t="str">
        <f>IFERROR(__xludf.DUMMYFUNCTION("GOOGLETRANSLATE(B166, ""en"", ""ml"")"),"നിങ്ങൾക്ക് എന്തെങ്കിലും ചോദ്യങ്ങളുണ്ടെങ്കിൽ, ദയവായി")</f>
        <v>നിങ്ങൾക്ക് എന്തെങ്കിലും ചോദ്യങ്ങളുണ്ടെങ്കിൽ, ദയവായി</v>
      </c>
      <c r="G166" s="7" t="str">
        <f>IFERROR(__xludf.DUMMYFUNCTION("GOOGLETRANSLATE(B166, ""en"", ""te"")"),"మీకు ఏవైనా ప్రశ్నలు ఉంటే, దయచేసి")</f>
        <v>మీకు ఏవైనా ప్రశ్నలు ఉంటే, దయచేసి</v>
      </c>
    </row>
    <row r="167">
      <c r="A167" s="4" t="s">
        <v>275</v>
      </c>
      <c r="B167" s="5" t="s">
        <v>276</v>
      </c>
      <c r="C167" s="6" t="str">
        <f>IFERROR(__xludf.DUMMYFUNCTION("GOOGLETRANSLATE(B167, ""en"", ""ta"")"),"சில காரணங்களால் உங்கள் கணக்கு தடுக்கப்பட்டுள்ளது.")</f>
        <v>சில காரணங்களால் உங்கள் கணக்கு தடுக்கப்பட்டுள்ளது.</v>
      </c>
      <c r="D167" s="6" t="str">
        <f>IFERROR(__xludf.DUMMYFUNCTION("GOOGLETRANSLATE(B167, ""en"", ""hi"")"),"कुछ कारणों से आपका खाता अवरुद्ध कर दिया गया है।")</f>
        <v>कुछ कारणों से आपका खाता अवरुद्ध कर दिया गया है।</v>
      </c>
      <c r="E167" s="6" t="str">
        <f>IFERROR(__xludf.DUMMYFUNCTION("GOOGLETRANSLATE(B167, ""en"", ""kn"")"),"ಕೆಲವು ಕಾರಣಗಳಿಂದ ನಿಮ್ಮ ಖಾತೆಯನ್ನು ನಿರ್ಬಂಧಿಸಲಾಗಿದೆ.")</f>
        <v>ಕೆಲವು ಕಾರಣಗಳಿಂದ ನಿಮ್ಮ ಖಾತೆಯನ್ನು ನಿರ್ಬಂಧಿಸಲಾಗಿದೆ.</v>
      </c>
      <c r="F167" s="7" t="str">
        <f>IFERROR(__xludf.DUMMYFUNCTION("GOOGLETRANSLATE(B167, ""en"", ""ml"")"),"ചില കാരണങ്ങളാൽ നിങ്ങളുടെ അക്കൗണ്ട് ബ്ലോക്ക് ചെയ്‌തിരിക്കുന്നു.")</f>
        <v>ചില കാരണങ്ങളാൽ നിങ്ങളുടെ അക്കൗണ്ട് ബ്ലോക്ക് ചെയ്‌തിരിക്കുന്നു.</v>
      </c>
      <c r="G167" s="7" t="str">
        <f>IFERROR(__xludf.DUMMYFUNCTION("GOOGLETRANSLATE(B167, ""en"", ""te"")"),"కొన్ని కారణాల వల్ల మీ ఖాతా బ్లాక్ చేయబడింది.")</f>
        <v>కొన్ని కారణాల వల్ల మీ ఖాతా బ్లాక్ చేయబడింది.</v>
      </c>
    </row>
    <row r="168">
      <c r="A168" s="4" t="s">
        <v>273</v>
      </c>
      <c r="B168" s="5" t="s">
        <v>331</v>
      </c>
      <c r="C168" s="6" t="str">
        <f>IFERROR(__xludf.DUMMYFUNCTION("GOOGLETRANSLATE(B168, ""en"", ""ta"")"),"ஒப்புதலுக்காக காத்திருங்கள்")</f>
        <v>ஒப்புதலுக்காக காத்திருங்கள்</v>
      </c>
      <c r="D168" s="6" t="str">
        <f>IFERROR(__xludf.DUMMYFUNCTION("GOOGLETRANSLATE(B168, ""en"", ""hi"")"),"अनुमोदन के लिए प्रतीक्षा करें")</f>
        <v>अनुमोदन के लिए प्रतीक्षा करें</v>
      </c>
      <c r="E168" s="6" t="str">
        <f>IFERROR(__xludf.DUMMYFUNCTION("GOOGLETRANSLATE(B168, ""en"", ""kn"")"),"ಅನುಮೋದನೆಗಾಗಿ ಕಾಯಿರಿ")</f>
        <v>ಅನುಮೋದನೆಗಾಗಿ ಕಾಯಿರಿ</v>
      </c>
      <c r="F168" s="7" t="str">
        <f>IFERROR(__xludf.DUMMYFUNCTION("GOOGLETRANSLATE(B168, ""en"", ""ml"")"),"അംഗീകാരത്തിനായി കാത്തിരിക്കുക")</f>
        <v>അംഗീകാരത്തിനായി കാത്തിരിക്കുക</v>
      </c>
      <c r="G168" s="7" t="str">
        <f>IFERROR(__xludf.DUMMYFUNCTION("GOOGLETRANSLATE(B168, ""en"", ""te"")"),"ఆమోదం కోసం వేచి ఉండండి")</f>
        <v>ఆమోదం కోసం వేచి ఉండండి</v>
      </c>
    </row>
    <row r="169">
      <c r="A169" s="4" t="s">
        <v>271</v>
      </c>
      <c r="B169" s="5" t="s">
        <v>272</v>
      </c>
      <c r="C169" s="6" t="str">
        <f>IFERROR(__xludf.DUMMYFUNCTION("GOOGLETRANSLATE(B169, ""en"", ""ta"")"),"உங்கள் கணக்கு தடுக்கப்பட்டுள்ளது.")</f>
        <v>உங்கள் கணக்கு தடுக்கப்பட்டுள்ளது.</v>
      </c>
      <c r="D169" s="6" t="str">
        <f>IFERROR(__xludf.DUMMYFUNCTION("GOOGLETRANSLATE(B169, ""en"", ""hi"")"),"आपका खाता
ब्लॉक कर दिया गया है")</f>
        <v>आपका खाता
ब्लॉक कर दिया गया है</v>
      </c>
      <c r="E169" s="6" t="str">
        <f>IFERROR(__xludf.DUMMYFUNCTION("GOOGLETRANSLATE(B169, ""en"", ""kn"")"),"ನಿಮ್ಮ ಖಾತೆಯನ್ನು ನಿರ್ಬಂಧಿಸಲಾಗಿದೆ.")</f>
        <v>ನಿಮ್ಮ ಖಾತೆಯನ್ನು ನಿರ್ಬಂಧಿಸಲಾಗಿದೆ.</v>
      </c>
      <c r="F169" s="7" t="str">
        <f>IFERROR(__xludf.DUMMYFUNCTION("GOOGLETRANSLATE(B169, ""en"", ""ml"")"),"നിങ്ങളുടെ അക്കൗണ്ട് ബ്ലോക്ക് ചെയ്‌തിരിക്കുന്നു")</f>
        <v>നിങ്ങളുടെ അക്കൗണ്ട് ബ്ലോക്ക് ചെയ്‌തിരിക്കുന്നു</v>
      </c>
      <c r="G169" s="7" t="str">
        <f>IFERROR(__xludf.DUMMYFUNCTION("GOOGLETRANSLATE(B169, ""en"", ""te"")"),"మీ ఖాతా బ్లాక్ చేయబడింది")</f>
        <v>మీ ఖాతా బ్లాక్ చేయబడింది</v>
      </c>
    </row>
    <row r="170">
      <c r="A170" s="4" t="s">
        <v>332</v>
      </c>
      <c r="B170" s="5" t="s">
        <v>333</v>
      </c>
      <c r="C170" s="6" t="str">
        <f>IFERROR(__xludf.DUMMYFUNCTION("GOOGLETRANSLATE(B170, ""en"", ""ta"")"),"விடுவிப்பு கோரிக்கை ஏற்கனவே அனுப்பப்பட்டது")</f>
        <v>விடுவிப்பு கோரிக்கை ஏற்கனவே அனுப்பப்பட்டது</v>
      </c>
      <c r="D170" s="6" t="str">
        <f>IFERROR(__xludf.DUMMYFUNCTION("GOOGLETRANSLATE(B170, ""en"", ""hi"")"),"अनब्लॉक करने का अनुरोध पहले ही भेजा जा चुका है")</f>
        <v>अनब्लॉक करने का अनुरोध पहले ही भेजा जा चुका है</v>
      </c>
      <c r="E170" s="6" t="str">
        <f>IFERROR(__xludf.DUMMYFUNCTION("GOOGLETRANSLATE(B170, ""en"", ""kn"")"),"ನಿರ್ಬಂಧ ತೆಗೆಯುವ ವಿನಂತಿಯನ್ನು ಈಗಾಗಲೇ ಕಳುಹಿಸಲಾಗಿದೆ")</f>
        <v>ನಿರ್ಬಂಧ ತೆಗೆಯುವ ವಿನಂತಿಯನ್ನು ಈಗಾಗಲೇ ಕಳುಹಿಸಲಾಗಿದೆ</v>
      </c>
      <c r="F170" s="7" t="str">
        <f>IFERROR(__xludf.DUMMYFUNCTION("GOOGLETRANSLATE(B170, ""en"", ""ml"")"),"അൺബ്ലോക്ക് അഭ്യർത്ഥന ഇതിനകം അയച്ചു")</f>
        <v>അൺബ്ലോക്ക് അഭ്യർത്ഥന ഇതിനകം അയച്ചു</v>
      </c>
      <c r="G170" s="7" t="str">
        <f>IFERROR(__xludf.DUMMYFUNCTION("GOOGLETRANSLATE(B170, ""en"", ""te"")"),"అన్‌బ్లాక్ అభ్యర్థన ఇప్పటికే పంపబడింది")</f>
        <v>అన్‌బ్లాక్ అభ్యర్థన ఇప్పటికే పంపబడింది</v>
      </c>
    </row>
    <row r="171">
      <c r="A171" s="4" t="s">
        <v>285</v>
      </c>
      <c r="B171" s="5" t="s">
        <v>334</v>
      </c>
      <c r="C171" s="6" t="str">
        <f>IFERROR(__xludf.DUMMYFUNCTION("GOOGLETRANSLATE(B171, ""en"", ""ta"")"),"டாக்ஸியை சரிபார்த்து அவற்றை அங்கீகரிக்க நாங்கள் கடுமையாக உழைத்து வருகிறோம். எனவே ஒப்புதல் செயல்முறை சிறிது நேரம் எடுக்கும் என்பதை புரிந்து கொள்ளுங்கள்.
உங்கள் பொறுமைக்கு நன்றி.")</f>
        <v>டாக்ஸியை சரிபார்த்து அவற்றை அங்கீகரிக்க நாங்கள் கடுமையாக உழைத்து வருகிறோம். எனவே ஒப்புதல் செயல்முறை சிறிது நேரம் எடுக்கும் என்பதை புரிந்து கொள்ளுங்கள்.
உங்கள் பொறுமைக்கு நன்றி.</v>
      </c>
      <c r="D171" s="6" t="str">
        <f>IFERROR(__xludf.DUMMYFUNCTION("GOOGLETRANSLATE(B171, ""en"", ""hi"")"),"हम टैक्सियों की जांच और अनुमोदन के लिए कड़ी मेहनत कर रहे हैं। कृपया समझें कि अनुमोदन प्रक्रिया में कुछ समय लगेगा।
आपके धैर्य के लिए धन्यवाद।")</f>
        <v>हम टैक्सियों की जांच और अनुमोदन के लिए कड़ी मेहनत कर रहे हैं। कृपया समझें कि अनुमोदन प्रक्रिया में कुछ समय लगेगा।
आपके धैर्य के लिए धन्यवाद।</v>
      </c>
      <c r="E171" s="6" t="str">
        <f>IFERROR(__xludf.DUMMYFUNCTION("GOOGLETRANSLATE(B171, ""en"", ""kn"")"),"ಟ್ಯಾಕ್ಸಿಯನ್ನು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f>
        <v>ಟ್ಯಾಕ್ಸಿಯನ್ನು ಪರಿಶೀಲಿಸಲು ಮತ್ತು ಅವುಗಳನ್ನು ಅನುಮೋದಿಸಲು ನಾವು ಶ್ರಮಿಸುತ್ತಿದ್ದೇವೆ. ಆದ್ದರಿಂದ ಅನುಮೋದನೆ ಪ್ರಕ್ರಿಯೆಯು ಸ್ವಲ್ಪ ಸಮಯ ತೆಗೆದುಕೊಳ್ಳುತ್ತದೆ ಎಂಬುದನ್ನು ದಯವಿಟ್ಟು ಅರ್ಥಮಾಡಿಕೊಳ್ಳಿ.
ನಿಮ್ಮ ತಾಳ್ಮೆಗೆ ಧನ್ಯವಾದಗಳು.</v>
      </c>
      <c r="F171" s="7" t="str">
        <f>IFERROR(__xludf.DUMMYFUNCTION("GOOGLETRANSLATE(B171, ""en"", ""ml"")"),"ടാക്സി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f>
        <v>ടാക്സി പരിശോധിച്ചുറപ്പിക്കുന്നതിനും അവ അംഗീകരിക്കുന്നതിനും ഞങ്ങൾ കഠിനമായി പരിശ്രമിക്കുകയാണ്. അതിനാൽ അംഗീകാര പ്രക്രിയയ്ക്ക് കുറച്ച് സമയമെടുക്കുമെന്ന് ദയവായി മനസ്സിലാക്കുക.
നിങ്ങളുടെ ക്ഷമയ്ക്ക് നന്ദി.</v>
      </c>
      <c r="G171" s="7" t="str">
        <f>IFERROR(__xludf.DUMMYFUNCTION("GOOGLETRANSLATE(B171, ""en"", ""te"")"),"టాక్సీని ధృవీకరించడానికి మరియు వాటిని ఆమోదించడానికి మేము తీవ్రంగా కృషి చేస్తున్నాము. కాబట్టి దయచేసి ఆమోద ప్రక్రియకు కొంత సమయం పడుతుందని అర్థం చేసుకోండి.
మీ ఓర్పుకు ధన్యవాదాలు.")</f>
        <v>టాక్సీని ధృవీకరించడానికి మరియు వాటిని ఆమోదించడానికి మేము తీవ్రంగా కృషి చేస్తున్నాము. కాబట్టి దయచేసి ఆమోద ప్రక్రియకు కొంత సమయం పడుతుందని అర్థం చేసుకోండి.
మీ ఓర్పుకు ధన్యవాదాలు.</v>
      </c>
    </row>
    <row r="172">
      <c r="A172" s="4" t="s">
        <v>335</v>
      </c>
      <c r="B172" s="5" t="s">
        <v>336</v>
      </c>
      <c r="C172" s="6" t="str">
        <f>IFERROR(__xludf.DUMMYFUNCTION("GOOGLETRANSLATE(B172, ""en"", ""ta"")"),"ஆம், ஆன்லைனில் செல்க")</f>
        <v>ஆம், ஆன்லைனில் செல்க</v>
      </c>
      <c r="D172" s="6" t="str">
        <f>IFERROR(__xludf.DUMMYFUNCTION("GOOGLETRANSLATE(B172, ""en"", ""hi"")"),"हाँ, ऑनलाइन जाएं")</f>
        <v>हाँ, ऑनलाइन जाएं</v>
      </c>
      <c r="E172" s="6" t="str">
        <f>IFERROR(__xludf.DUMMYFUNCTION("GOOGLETRANSLATE(B172, ""en"", ""kn"")"),"ಹೌದು, ಆನ್‌ಲೈನ್‌ಗೆ ಹೋಗಿ")</f>
        <v>ಹೌದು, ಆನ್‌ಲೈನ್‌ಗೆ ಹೋಗಿ</v>
      </c>
      <c r="F172" s="7" t="str">
        <f>IFERROR(__xludf.DUMMYFUNCTION("GOOGLETRANSLATE(B172, ""en"", ""ml"")"),"അതെ, ഓൺലൈനാകൂ")</f>
        <v>അതെ, ഓൺലൈനാകൂ</v>
      </c>
      <c r="G172" s="7" t="str">
        <f>IFERROR(__xludf.DUMMYFUNCTION("GOOGLETRANSLATE(B172, ""en"", ""te"")"),"అవును, ఆన్‌లైన్‌లోకి వెళ్లు")</f>
        <v>అవును, ఆన్‌లైన్‌లోకి వెళ్లు</v>
      </c>
    </row>
    <row r="173">
      <c r="A173" s="4" t="s">
        <v>337</v>
      </c>
      <c r="B173" s="5" t="s">
        <v>338</v>
      </c>
      <c r="C173" s="6" t="str">
        <f>IFERROR(__xludf.DUMMYFUNCTION("GOOGLETRANSLATE(B173, ""en"", ""ta"")"),"நீங்கள் நிச்சயமாக ஆன்லைனில் செல்ல விரும்புகிறீர்களா மற்றும் பயணங்களை மேற்கொள்ளத் தயாரா?")</f>
        <v>நீங்கள் நிச்சயமாக ஆன்லைனில் செல்ல விரும்புகிறீர்களா மற்றும் பயணங்களை மேற்கொள்ளத் தயாரா?</v>
      </c>
      <c r="D173" s="6" t="str">
        <f>IFERROR(__xludf.DUMMYFUNCTION("GOOGLETRANSLATE(B173, ""en"", ""hi"")"),"क्या आप वाकई ऑनलाइन जाना चाहते हैं और यात्राएं करने के लिए तैयार हैं?")</f>
        <v>क्या आप वाकई ऑनलाइन जाना चाहते हैं और यात्राएं करने के लिए तैयार हैं?</v>
      </c>
      <c r="E173" s="6" t="str">
        <f>IFERROR(__xludf.DUMMYFUNCTION("GOOGLETRANSLATE(B173, ""en"", ""kn"")"),"ನೀವು ಆನ್‌ಲೈನ್‌ಗೆ ಹೋಗಲು ಖಚಿತವಾಗಿ ಬಯಸುವಿರಾ ಮತ್ತು ಪ್ರವಾಸಗಳಿಗೆ ಸಿದ್ಧರಿದ್ದೀರಾ?")</f>
        <v>ನೀವು ಆನ್‌ಲೈನ್‌ಗೆ ಹೋಗಲು ಖಚಿತವಾಗಿ ಬಯಸುವಿರಾ ಮತ್ತು ಪ್ರವಾಸಗಳಿಗೆ ಸಿದ್ಧರಿದ್ದೀರಾ?</v>
      </c>
      <c r="F173" s="7" t="str">
        <f>IFERROR(__xludf.DUMMYFUNCTION("GOOGLETRANSLATE(B173, ""en"", ""ml"")"),"നിങ്ങൾക്ക് ഓൺലൈനിൽ പോകാൻ താൽപ്പര്യമുണ്ടോ, യാത്രകൾക്ക് തയ്യാറാണോ?")</f>
        <v>നിങ്ങൾക്ക് ഓൺലൈനിൽ പോകാൻ താൽപ്പര്യമുണ്ടോ, യാത്രകൾക്ക് തയ്യാറാണോ?</v>
      </c>
      <c r="G173" s="7" t="str">
        <f>IFERROR(__xludf.DUMMYFUNCTION("GOOGLETRANSLATE(B173, ""en"", ""te"")"),"మీరు ఖచ్చితంగా ఆన్‌లైన్‌లోకి వెళ్లాలనుకుంటున్నారా మరియు ప్రయాణాలకు సిద్ధంగా ఉన్నారా?")</f>
        <v>మీరు ఖచ్చితంగా ఆన్‌లైన్‌లోకి వెళ్లాలనుకుంటున్నారా మరియు ప్రయాణాలకు సిద్ధంగా ఉన్నారా?</v>
      </c>
    </row>
    <row r="174">
      <c r="A174" s="4" t="s">
        <v>339</v>
      </c>
      <c r="B174" s="5" t="s">
        <v>340</v>
      </c>
      <c r="C174" s="6" t="str">
        <f>IFERROR(__xludf.DUMMYFUNCTION("GOOGLETRANSLATE(B174, ""en"", ""ta"")"),"ஆம், ஆஃப்லைனுக்குச் செல்")</f>
        <v>ஆம், ஆஃப்லைனுக்குச் செல்</v>
      </c>
      <c r="D174" s="6" t="str">
        <f>IFERROR(__xludf.DUMMYFUNCTION("GOOGLETRANSLATE(B174, ""en"", ""hi"")"),"हां, ऑफ़लाइन हो जाओ")</f>
        <v>हां, ऑफ़लाइन हो जाओ</v>
      </c>
      <c r="E174" s="6" t="str">
        <f>IFERROR(__xludf.DUMMYFUNCTION("GOOGLETRANSLATE(B174, ""en"", ""kn"")"),"ಹೌದು, ಆಫ್‌ಲೈನ್‌ಗೆ ಹೋಗಿ")</f>
        <v>ಹೌದು, ಆಫ್‌ಲೈನ್‌ಗೆ ಹೋಗಿ</v>
      </c>
      <c r="F174" s="7" t="str">
        <f>IFERROR(__xludf.DUMMYFUNCTION("GOOGLETRANSLATE(B174, ""en"", ""ml"")"),"അതെ, ഓഫ്‌ലൈനാകൂ")</f>
        <v>അതെ, ഓഫ്‌ലൈനാകൂ</v>
      </c>
      <c r="G174" s="7" t="str">
        <f>IFERROR(__xludf.DUMMYFUNCTION("GOOGLETRANSLATE(B174, ""en"", ""te"")"),"అవును, ఆఫ్‌లైన్‌కి వెళ్లు")</f>
        <v>అవును, ఆఫ్‌లైన్‌కి వెళ్లు</v>
      </c>
    </row>
    <row r="175">
      <c r="A175" s="4" t="s">
        <v>341</v>
      </c>
      <c r="B175" s="5" t="s">
        <v>342</v>
      </c>
      <c r="C175" s="6" t="str">
        <f>IFERROR(__xludf.DUMMYFUNCTION("GOOGLETRANSLATE(B175, ""en"", ""ta"")"),"இல்லை, ஆன்லைனில் இரு.")</f>
        <v>இல்லை, ஆன்லைனில் இரு.</v>
      </c>
      <c r="D175" s="6" t="str">
        <f>IFERROR(__xludf.DUMMYFUNCTION("GOOGLETRANSLATE(B175, ""en"", ""hi"")"),"नहीं, ऑनलाइन रहें")</f>
        <v>नहीं, ऑनलाइन रहें</v>
      </c>
      <c r="E175" s="6" t="str">
        <f>IFERROR(__xludf.DUMMYFUNCTION("GOOGLETRANSLATE(B175, ""en"", ""kn"")"),"ಇಲ್ಲ, ಆನ್‌ಲೈನ್‌ನಲ್ಲಿರಿ")</f>
        <v>ಇಲ್ಲ, ಆನ್‌ಲೈನ್‌ನಲ್ಲಿರಿ</v>
      </c>
      <c r="F175" s="7" t="str">
        <f>IFERROR(__xludf.DUMMYFUNCTION("GOOGLETRANSLATE(B175, ""en"", ""ml"")"),"വേണ്ട, ഓൺലൈനാകൂ")</f>
        <v>വേണ്ട, ഓൺലൈനാകൂ</v>
      </c>
      <c r="G175" s="7" t="str">
        <f>IFERROR(__xludf.DUMMYFUNCTION("GOOGLETRANSLATE(B175, ""en"", ""te"")"),"వద్దు, ఆన్‌లైన్‌లో ఉండు")</f>
        <v>వద్దు, ఆన్‌లైన్‌లో ఉండు</v>
      </c>
    </row>
    <row r="176">
      <c r="A176" s="4" t="s">
        <v>343</v>
      </c>
      <c r="B176" s="5" t="s">
        <v>344</v>
      </c>
      <c r="C176" s="6" t="str">
        <f>IFERROR(__xludf.DUMMYFUNCTION("GOOGLETRANSLATE(B176, ""en"", ""ta"")"),"நீங்கள் நிச்சயமாக ஆஃப்லைனுக்குச் செல்ல விரும்புகிறீர்களா?")</f>
        <v>நீங்கள் நிச்சயமாக ஆஃப்லைனுக்குச் செல்ல விரும்புகிறீர்களா?</v>
      </c>
      <c r="D176" s="6" t="str">
        <f>IFERROR(__xludf.DUMMYFUNCTION("GOOGLETRANSLATE(B176, ""en"", ""hi"")"),"क्या आप वाकई ऑफलाइन जाना चाहते हैं?")</f>
        <v>क्या आप वाकई ऑफलाइन जाना चाहते हैं?</v>
      </c>
      <c r="E176" s="6" t="str">
        <f>IFERROR(__xludf.DUMMYFUNCTION("GOOGLETRANSLATE(B176, ""en"", ""kn"")"),"ನೀವು ಆಫ್‌ಲೈನ್‌ಗೆ ಹೋಗಲು ಖಚಿತವಾಗಿ ಬಯಸುವಿರಾ?")</f>
        <v>ನೀವು ಆಫ್‌ಲೈನ್‌ಗೆ ಹೋಗಲು ಖಚಿತವಾಗಿ ಬಯಸುವಿರಾ?</v>
      </c>
      <c r="F176" s="7" t="str">
        <f>IFERROR(__xludf.DUMMYFUNCTION("GOOGLETRANSLATE(B176, ""en"", ""ml"")"),"ഓഫ്‌ലൈനിലേക്ക് പോകാൻ നിങ്ങൾ തീർച്ചയായും ആഗ്രഹിക്കുന്നുണ്ടോ?")</f>
        <v>ഓഫ്‌ലൈനിലേക്ക് പോകാൻ നിങ്ങൾ തീർച്ചയായും ആഗ്രഹിക്കുന്നുണ്ടോ?</v>
      </c>
      <c r="G176" s="7" t="str">
        <f>IFERROR(__xludf.DUMMYFUNCTION("GOOGLETRANSLATE(B176, ""en"", ""te"")"),"మీరు ఖచ్చితంగా ఆఫ్‌లైన్‌కి వెళ్లాలనుకుంటున్నారా?")</f>
        <v>మీరు ఖచ్చితంగా ఆఫ్‌లైన్‌కి వెళ్లాలనుకుంటున్నారా?</v>
      </c>
    </row>
    <row r="177">
      <c r="A177" s="4" t="s">
        <v>345</v>
      </c>
      <c r="B177" s="5" t="s">
        <v>346</v>
      </c>
      <c r="C177" s="6" t="str">
        <f>IFERROR(__xludf.DUMMYFUNCTION("GOOGLETRANSLATE(B177, ""en"", ""ta"")"),"நீங்கள் ஆன்லைனில் இருக்கிறீர்கள்")</f>
        <v>நீங்கள் ஆன்லைனில் இருக்கிறீர்கள்</v>
      </c>
      <c r="D177" s="6" t="str">
        <f>IFERROR(__xludf.DUMMYFUNCTION("GOOGLETRANSLATE(B177, ""en"", ""hi"")"),"आप ऑनलाइन हैं")</f>
        <v>आप ऑनलाइन हैं</v>
      </c>
      <c r="E177" s="6" t="str">
        <f>IFERROR(__xludf.DUMMYFUNCTION("GOOGLETRANSLATE(B177, ""en"", ""kn"")"),"ನೀವು ಆನ್‌ಲೈನ್‌ನಲ್ಲಿದ್ದೀರಿ.")</f>
        <v>ನೀವು ಆನ್‌ಲೈನ್‌ನಲ್ಲಿದ್ದೀರಿ.</v>
      </c>
      <c r="F177" s="7" t="str">
        <f>IFERROR(__xludf.DUMMYFUNCTION("GOOGLETRANSLATE(B177, ""en"", ""ml"")"),"നിങ്ങൾ ഓൺലൈനിലാണ്")</f>
        <v>നിങ്ങൾ ഓൺലൈനിലാണ്</v>
      </c>
      <c r="G177" s="7" t="str">
        <f>IFERROR(__xludf.DUMMYFUNCTION("GOOGLETRANSLATE(B177, ""en"", ""te"")"),"మీరు ఆన్‌లైన్‌లో ఉన్నారు")</f>
        <v>మీరు ఆన్‌లైన్‌లో ఉన్నారు</v>
      </c>
    </row>
    <row r="178">
      <c r="A178" s="4" t="s">
        <v>347</v>
      </c>
      <c r="B178" s="5" t="s">
        <v>348</v>
      </c>
      <c r="C178" s="6" t="str">
        <f>IFERROR(__xludf.DUMMYFUNCTION("GOOGLETRANSLATE(B178, ""en"", ""ta"")"),"பயணங்களுக்குத் தயாராக இருக்கும்போது ஆன்லைனில் செல்லவும்.")</f>
        <v>பயணங்களுக்குத் தயாராக இருக்கும்போது ஆன்லைனில் செல்லவும்.</v>
      </c>
      <c r="D178" s="6" t="str">
        <f>IFERROR(__xludf.DUMMYFUNCTION("GOOGLETRANSLATE(B178, ""en"", ""hi"")"),"जब आप यात्रा करने के लिए तैयार हों, तो कृपया ऑनलाइन जाएं।")</f>
        <v>जब आप यात्रा करने के लिए तैयार हों, तो कृपया ऑनलाइन जाएं।</v>
      </c>
      <c r="E178" s="6" t="str">
        <f>IFERROR(__xludf.DUMMYFUNCTION("GOOGLETRANSLATE(B178, ""en"", ""kn"")"),"ನೀವು ಪ್ರವಾಸಗಳಿಗೆ ಸಿದ್ಧರಾದಾಗ ದಯವಿಟ್ಟು ಆನ್‌ಲೈನ್‌ಗೆ ಹೋಗಿ.")</f>
        <v>ನೀವು ಪ್ರವಾಸಗಳಿಗೆ ಸಿದ್ಧರಾದಾಗ ದಯವಿಟ್ಟು ಆನ್‌ಲೈನ್‌ಗೆ ಹೋಗಿ.</v>
      </c>
      <c r="F178" s="7" t="str">
        <f>IFERROR(__xludf.DUMMYFUNCTION("GOOGLETRANSLATE(B178, ""en"", ""ml"")"),"യാത്രകൾക്ക് തയ്യാറാകുമ്പോൾ ഓൺലൈനാകുക.")</f>
        <v>യാത്രകൾക്ക് തയ്യാറാകുമ്പോൾ ഓൺലൈനാകുക.</v>
      </c>
      <c r="G178" s="7" t="str">
        <f>IFERROR(__xludf.DUMMYFUNCTION("GOOGLETRANSLATE(B178, ""en"", ""te"")"),"మీరు ప్రయాణాలకు సిద్ధంగా ఉన్నప్పుడు దయచేసి ఆన్‌లైన్‌లోకి వెళ్లండి.")</f>
        <v>మీరు ప్రయాణాలకు సిద్ధంగా ఉన్నప్పుడు దయచేసి ఆన్‌లైన్‌లోకి వెళ్లండి.</v>
      </c>
    </row>
    <row r="179">
      <c r="A179" s="4" t="s">
        <v>349</v>
      </c>
      <c r="B179" s="5" t="s">
        <v>350</v>
      </c>
      <c r="C179" s="6" t="str">
        <f>IFERROR(__xludf.DUMMYFUNCTION("GOOGLETRANSLATE(B179, ""en"", ""ta"")"),"நீங்கள் தற்போது ஆஃப்லைனில் இருக்கிறீர்கள்.")</f>
        <v>நீங்கள் தற்போது ஆஃப்லைனில் இருக்கிறீர்கள்.</v>
      </c>
      <c r="D179" s="6" t="str">
        <f>IFERROR(__xludf.DUMMYFUNCTION("GOOGLETRANSLATE(B179, ""en"", ""hi"")"),"आप इस समय ऑफ़लाइन हैं")</f>
        <v>आप इस समय ऑफ़लाइन हैं</v>
      </c>
      <c r="E179" s="6" t="str">
        <f>IFERROR(__xludf.DUMMYFUNCTION("GOOGLETRANSLATE(B179, ""en"", ""kn"")"),"ನೀವು ಪ್ರಸ್ತುತ ಆಫ್‌ಲೈನ್‌ನಲ್ಲಿದ್ದೀರಿ.")</f>
        <v>ನೀವು ಪ್ರಸ್ತುತ ಆಫ್‌ಲೈನ್‌ನಲ್ಲಿದ್ದೀರಿ.</v>
      </c>
      <c r="F179" s="7" t="str">
        <f>IFERROR(__xludf.DUMMYFUNCTION("GOOGLETRANSLATE(B179, ""en"", ""ml"")"),"നിങ്ങൾ നിലവിൽ ഓഫ്‌ലൈനാണ്")</f>
        <v>നിങ്ങൾ നിലവിൽ ഓഫ്‌ലൈനാണ്</v>
      </c>
      <c r="G179" s="7" t="str">
        <f>IFERROR(__xludf.DUMMYFUNCTION("GOOGLETRANSLATE(B179, ""en"", ""te"")"),"మీరు ప్రస్తుతం ఆఫ్‌లైన్‌లో ఉన్నారు.")</f>
        <v>మీరు ప్రస్తుతం ఆఫ్‌లైన్‌లో ఉన్నారు.</v>
      </c>
    </row>
    <row r="180">
      <c r="A180" s="4" t="s">
        <v>351</v>
      </c>
      <c r="B180" s="5" t="s">
        <v>352</v>
      </c>
      <c r="C180" s="6" t="str">
        <f>IFERROR(__xludf.DUMMYFUNCTION("GOOGLETRANSLATE(B180, ""en"", ""ta"")"),"உங்கள் கணக்கு தடுக்கப்பட்டுள்ளது.")</f>
        <v>உங்கள் கணக்கு தடுக்கப்பட்டுள்ளது.</v>
      </c>
      <c r="D180" s="6" t="str">
        <f>IFERROR(__xludf.DUMMYFUNCTION("GOOGLETRANSLATE(B180, ""en"", ""hi"")"),"आपका खाता अवरुद्ध कर दिया गया है।")</f>
        <v>आपका खाता अवरुद्ध कर दिया गया है।</v>
      </c>
      <c r="E180" s="6" t="str">
        <f>IFERROR(__xludf.DUMMYFUNCTION("GOOGLETRANSLATE(B180, ""en"", ""kn"")"),"ನಿಮ್ಮ ಖಾತೆಯನ್ನು ನಿರ್ಬಂಧಿಸಲಾಗಿದೆ.")</f>
        <v>ನಿಮ್ಮ ಖಾತೆಯನ್ನು ನಿರ್ಬಂಧಿಸಲಾಗಿದೆ.</v>
      </c>
      <c r="F180" s="7" t="str">
        <f>IFERROR(__xludf.DUMMYFUNCTION("GOOGLETRANSLATE(B180, ""en"", ""ml"")"),"നിങ്ങളുടെ അക്കൗണ്ട് ബ്ലോക്ക് ചെയ്‌തിരിക്കുന്നു.")</f>
        <v>നിങ്ങളുടെ അക്കൗണ്ട് ബ്ലോക്ക് ചെയ്‌തിരിക്കുന്നു.</v>
      </c>
      <c r="G180" s="7" t="str">
        <f>IFERROR(__xludf.DUMMYFUNCTION("GOOGLETRANSLATE(B180, ""en"", ""te"")"),"మీ ఖాతా బ్లాక్ చేయబడింది.")</f>
        <v>మీ ఖాతా బ్లాక్ చేయబడింది.</v>
      </c>
    </row>
    <row r="181">
      <c r="A181" s="4" t="s">
        <v>353</v>
      </c>
      <c r="B181" s="5" t="s">
        <v>354</v>
      </c>
      <c r="C181" s="6" t="str">
        <f>IFERROR(__xludf.DUMMYFUNCTION("GOOGLETRANSLATE(B181, ""en"", ""ta"")"),"பின்வரும் காரணங்களில் ஒன்று அல்லது அதற்கு மேற்பட்டவற்றால்:")</f>
        <v>பின்வரும் காரணங்களில் ஒன்று அல்லது அதற்கு மேற்பட்டவற்றால்:</v>
      </c>
      <c r="D181" s="6" t="str">
        <f>IFERROR(__xludf.DUMMYFUNCTION("GOOGLETRANSLATE(B181, ""en"", ""hi"")"),"निम्नलिखित में से एक या अधिक कारणों से:")</f>
        <v>निम्नलिखित में से एक या अधिक कारणों से:</v>
      </c>
      <c r="E181" s="6" t="str">
        <f>IFERROR(__xludf.DUMMYFUNCTION("GOOGLETRANSLATE(B181, ""en"", ""kn"")"),"ಈ ಕೆಳಗಿನ ಒಂದು ಅಥವಾ ಹೆಚ್ಚಿನ ಕಾರಣಗಳಿಂದಾಗಿ:")</f>
        <v>ಈ ಕೆಳಗಿನ ಒಂದು ಅಥವಾ ಹೆಚ್ಚಿನ ಕಾರಣಗಳಿಂದಾಗಿ:</v>
      </c>
      <c r="F181" s="7" t="str">
        <f>IFERROR(__xludf.DUMMYFUNCTION("GOOGLETRANSLATE(B181, ""en"", ""ml"")"),"താഴെ പറയുന്ന ഒന്നോ അതിലധികമോ കാരണങ്ങളാൽ:")</f>
        <v>താഴെ പറയുന്ന ഒന്നോ അതിലധികമോ കാരണങ്ങളാൽ:</v>
      </c>
      <c r="G181" s="7" t="str">
        <f>IFERROR(__xludf.DUMMYFUNCTION("GOOGLETRANSLATE(B181, ""en"", ""te"")"),"ఈ క్రింది కారణాలలో ఒకటి లేదా అంతకంటే ఎక్కువ కారణంగా:")</f>
        <v>ఈ క్రింది కారణాలలో ఒకటి లేదా అంతకంటే ఎక్కువ కారణంగా:</v>
      </c>
    </row>
    <row r="182">
      <c r="A182" s="4" t="s">
        <v>355</v>
      </c>
      <c r="B182" s="5" t="s">
        <v>356</v>
      </c>
      <c r="C182" s="6" t="str">
        <f>IFERROR(__xludf.DUMMYFUNCTION("GOOGLETRANSLATE(B182, ""en"", ""ta"")"),"நிலுவையில் உள்ள கட்டண நிலுவைகள்")</f>
        <v>நிலுவையில் உள்ள கட்டண நிலுவைகள்</v>
      </c>
      <c r="D182" s="6" t="str">
        <f>IFERROR(__xludf.DUMMYFUNCTION("GOOGLETRANSLATE(B182, ""en"", ""hi"")"),"बकाया भुगतान राशि")</f>
        <v>बकाया भुगतान राशि</v>
      </c>
      <c r="E182" s="6" t="str">
        <f>IFERROR(__xludf.DUMMYFUNCTION("GOOGLETRANSLATE(B182, ""en"", ""kn"")"),"ಬಾಕಿ ಪಾವತಿಗಳು")</f>
        <v>ಬಾಕಿ ಪಾವತಿಗಳು</v>
      </c>
      <c r="F182" s="7" t="str">
        <f>IFERROR(__xludf.DUMMYFUNCTION("GOOGLETRANSLATE(B182, ""en"", ""ml"")"),"തീർപ്പാക്കാത്ത പേയ്‌മെന്റ് കുടിശ്ശികകൾ")</f>
        <v>തീർപ്പാക്കാത്ത പേയ്‌മെന്റ് കുടിശ്ശികകൾ</v>
      </c>
      <c r="G182" s="7" t="str">
        <f>IFERROR(__xludf.DUMMYFUNCTION("GOOGLETRANSLATE(B182, ""en"", ""te"")"),"పెండింగ్ చెల్లింపు బకాయిలు")</f>
        <v>పెండింగ్ చెల్లింపు బకాయిలు</v>
      </c>
    </row>
    <row r="183">
      <c r="A183" s="4" t="s">
        <v>357</v>
      </c>
      <c r="B183" s="5" t="s">
        <v>358</v>
      </c>
      <c r="C183" s="6" t="str">
        <f>IFERROR(__xludf.DUMMYFUNCTION("GOOGLETRANSLATE(B183, ""en"", ""ta"")"),"நிராகரிக்கப்பட்ட பயணங்களின் எண்ணிக்கை அதிகம்")</f>
        <v>நிராகரிக்கப்பட்ட பயணங்களின் எண்ணிக்கை அதிகம்</v>
      </c>
      <c r="D183" s="6" t="str">
        <f>IFERROR(__xludf.DUMMYFUNCTION("GOOGLETRANSLATE(B183, ""en"", ""hi"")"),"अस्वीकृत यात्राओं की उच्च संख्या")</f>
        <v>अस्वीकृत यात्राओं की उच्च संख्या</v>
      </c>
      <c r="E183" s="6" t="str">
        <f>IFERROR(__xludf.DUMMYFUNCTION("GOOGLETRANSLATE(B183, ""en"", ""kn"")"),"ತಿರಸ್ಕರಿಸಿದ ಪ್ರವಾಸಗಳ ಸಂಖ್ಯೆ ಹೆಚ್ಚು.")</f>
        <v>ತಿರಸ್ಕರಿಸಿದ ಪ್ರವಾಸಗಳ ಸಂಖ್ಯೆ ಹೆಚ್ಚು.</v>
      </c>
      <c r="F183" s="7" t="str">
        <f>IFERROR(__xludf.DUMMYFUNCTION("GOOGLETRANSLATE(B183, ""en"", ""ml"")"),"നിരസിക്കപ്പെട്ട യാത്രകളുടെ എണ്ണം കൂടുതലാണ്")</f>
        <v>നിരസിക്കപ്പെട്ട യാത്രകളുടെ എണ്ണം കൂടുതലാണ്</v>
      </c>
      <c r="G183" s="7" t="str">
        <f>IFERROR(__xludf.DUMMYFUNCTION("GOOGLETRANSLATE(B183, ""en"", ""te"")"),"తిరస్కరించబడిన ట్రిప్పుల సంఖ్య ఎక్కువ")</f>
        <v>తిరస్కరించబడిన ట్రిప్పుల సంఖ్య ఎక్కువ</v>
      </c>
    </row>
    <row r="184">
      <c r="A184" s="4" t="s">
        <v>359</v>
      </c>
      <c r="B184" s="5" t="s">
        <v>360</v>
      </c>
      <c r="C184" s="6" t="str">
        <f>IFERROR(__xludf.DUMMYFUNCTION("GOOGLETRANSLATE(B184, ""en"", ""ta"")"),"குறைந்த ஓட்டுநர் மதிப்பீடுகள்")</f>
        <v>குறைந்த ஓட்டுநர் மதிப்பீடுகள்</v>
      </c>
      <c r="D184" s="6" t="str">
        <f>IFERROR(__xludf.DUMMYFUNCTION("GOOGLETRANSLATE(B184, ""en"", ""hi"")"),"कम ड्राइवर रेटिंग")</f>
        <v>कम ड्राइवर रेटिंग</v>
      </c>
      <c r="E184" s="6" t="str">
        <f>IFERROR(__xludf.DUMMYFUNCTION("GOOGLETRANSLATE(B184, ""en"", ""kn"")"),"ಕಡಿಮೆ ಚಾಲಕ ರೇಟಿಂಗ್‌ಗಳು")</f>
        <v>ಕಡಿಮೆ ಚಾಲಕ ರೇಟಿಂಗ್‌ಗಳು</v>
      </c>
      <c r="F184" s="7" t="str">
        <f>IFERROR(__xludf.DUMMYFUNCTION("GOOGLETRANSLATE(B184, ""en"", ""ml"")"),"കുറഞ്ഞ ഡ്രൈവർ റേറ്റിംഗുകൾ")</f>
        <v>കുറഞ്ഞ ഡ്രൈവർ റേറ്റിംഗുകൾ</v>
      </c>
      <c r="G184" s="7" t="str">
        <f>IFERROR(__xludf.DUMMYFUNCTION("GOOGLETRANSLATE(B184, ""en"", ""te"")"),"తక్కువ డ్రైవర్ రేటింగ్‌లు")</f>
        <v>తక్కువ డ్రైవర్ రేటింగ్‌లు</v>
      </c>
    </row>
    <row r="185">
      <c r="A185" s="4" t="s">
        <v>361</v>
      </c>
      <c r="B185" s="5" t="s">
        <v>362</v>
      </c>
      <c r="C185" s="6" t="str">
        <f>IFERROR(__xludf.DUMMYFUNCTION("GOOGLETRANSLATE(B185, ""en"", ""ta"")"),"மேலும் தகவலுக்கு ஆதரவைத் தொடர்பு கொள்ளவும்.")</f>
        <v>மேலும் தகவலுக்கு ஆதரவைத் தொடர்பு கொள்ளவும்.</v>
      </c>
      <c r="D185" s="6" t="str">
        <f>IFERROR(__xludf.DUMMYFUNCTION("GOOGLETRANSLATE(B185, ""en"", ""hi"")"),"अधिक जानकारी के लिए कृपया सहायता टीम से संपर्क करें।")</f>
        <v>अधिक जानकारी के लिए कृपया सहायता टीम से संपर्क करें।</v>
      </c>
      <c r="E185" s="6" t="str">
        <f>IFERROR(__xludf.DUMMYFUNCTION("GOOGLETRANSLATE(B185, ""en"", ""kn"")"),"ಹೆಚ್ಚಿನ ಮಾಹಿತಿಗಾಗಿ ಬೆಂಬಲವನ್ನು ಸಂಪರ್ಕಿಸಿ.")</f>
        <v>ಹೆಚ್ಚಿನ ಮಾಹಿತಿಗಾಗಿ ಬೆಂಬಲವನ್ನು ಸಂಪರ್ಕಿಸಿ.</v>
      </c>
      <c r="F185" s="7" t="str">
        <f>IFERROR(__xludf.DUMMYFUNCTION("GOOGLETRANSLATE(B185, ""en"", ""ml"")"),"കൂടുതൽ വിവരങ്ങൾക്ക് പിന്തുണയുമായി ബന്ധപ്പെടുക.")</f>
        <v>കൂടുതൽ വിവരങ്ങൾക്ക് പിന്തുണയുമായി ബന്ധപ്പെടുക.</v>
      </c>
      <c r="G185" s="7" t="str">
        <f>IFERROR(__xludf.DUMMYFUNCTION("GOOGLETRANSLATE(B185, ""en"", ""te"")"),"మరిన్ని వివరాల కోసం దయచేసి మద్దతును సంప్రదించండి.")</f>
        <v>మరిన్ని వివరాల కోసం దయచేసి మద్దతును సంప్రదించండి.</v>
      </c>
    </row>
    <row r="186">
      <c r="A186" s="4" t="s">
        <v>363</v>
      </c>
      <c r="B186" s="5" t="s">
        <v>364</v>
      </c>
      <c r="C186" s="6" t="str">
        <f>IFERROR(__xludf.DUMMYFUNCTION("GOOGLETRANSLATE(B186, ""en"", ""ta"")"),"உங்கள் கணக்கு மதிப்பாய்வில் உள்ளது.")</f>
        <v>உங்கள் கணக்கு மதிப்பாய்வில் உள்ளது.</v>
      </c>
      <c r="D186" s="6" t="str">
        <f>IFERROR(__xludf.DUMMYFUNCTION("GOOGLETRANSLATE(B186, ""en"", ""hi"")"),"आपके खाते की समीक्षा की जा रही है")</f>
        <v>आपके खाते की समीक्षा की जा रही है</v>
      </c>
      <c r="E186" s="6" t="str">
        <f>IFERROR(__xludf.DUMMYFUNCTION("GOOGLETRANSLATE(B186, ""en"", ""kn"")"),"ನಿಮ್ಮ ಖಾತೆ ಪರಿಶೀಲನೆಯಲ್ಲಿದೆ.")</f>
        <v>ನಿಮ್ಮ ಖಾತೆ ಪರಿಶೀಲನೆಯಲ್ಲಿದೆ.</v>
      </c>
      <c r="F186" s="7" t="str">
        <f>IFERROR(__xludf.DUMMYFUNCTION("GOOGLETRANSLATE(B186, ""en"", ""ml"")"),"നിങ്ങളുടെ അക്കൗണ്ട് അവലോകനത്തിലാണ്.")</f>
        <v>നിങ്ങളുടെ അക്കൗണ്ട് അവലോകനത്തിലാണ്.</v>
      </c>
      <c r="G186" s="7" t="str">
        <f>IFERROR(__xludf.DUMMYFUNCTION("GOOGLETRANSLATE(B186, ""en"", ""te"")"),"మీ ఖాతా సమీక్షలో ఉంది.")</f>
        <v>మీ ఖాతా సమీక్షలో ఉంది.</v>
      </c>
    </row>
    <row r="187">
      <c r="A187" s="4" t="s">
        <v>365</v>
      </c>
      <c r="B187" s="5" t="s">
        <v>366</v>
      </c>
      <c r="C187" s="6" t="str">
        <f>IFERROR(__xludf.DUMMYFUNCTION("GOOGLETRANSLATE(B187, ""en"", ""ta"")"),"உங்கள் கணக்கை நாங்கள் சரிபார்க்கும் வரை காத்திருங்கள்.")</f>
        <v>உங்கள் கணக்கை நாங்கள் சரிபார்க்கும் வரை காத்திருங்கள்.</v>
      </c>
      <c r="D187" s="6" t="str">
        <f>IFERROR(__xludf.DUMMYFUNCTION("GOOGLETRANSLATE(B187, ""en"", ""hi"")"),"कृपया प्रतीक्षा करें जब तक हम आपके खाते की पुष्टि नहीं कर लेते।")</f>
        <v>कृपया प्रतीक्षा करें जब तक हम आपके खाते की पुष्टि नहीं कर लेते।</v>
      </c>
      <c r="E187" s="6" t="str">
        <f>IFERROR(__xludf.DUMMYFUNCTION("GOOGLETRANSLATE(B187, ""en"", ""kn"")"),"ನಿಮ್ಮ ಖಾತೆಯನ್ನು ನಾವು ಪರಿಶೀಲಿಸುವವರೆಗೆ ದಯವಿಟ್ಟು ಕಾಯಿರಿ.")</f>
        <v>ನಿಮ್ಮ ಖಾತೆಯನ್ನು ನಾವು ಪರಿಶೀಲಿಸುವವರೆಗೆ ದಯವಿಟ್ಟು ಕಾಯಿರಿ.</v>
      </c>
      <c r="F187" s="7" t="str">
        <f>IFERROR(__xludf.DUMMYFUNCTION("GOOGLETRANSLATE(B187, ""en"", ""ml"")"),"നിങ്ങളുടെ അക്കൗണ്ട് ഞങ്ങൾ പരിശോധിക്കുന്നതുവരെ കാത്തിരിക്കുക.")</f>
        <v>നിങ്ങളുടെ അക്കൗണ്ട് ഞങ്ങൾ പരിശോധിക്കുന്നതുവരെ കാത്തിരിക്കുക.</v>
      </c>
      <c r="G187" s="7" t="str">
        <f>IFERROR(__xludf.DUMMYFUNCTION("GOOGLETRANSLATE(B187, ""en"", ""te"")"),"మేము మీ ఖాతాను ధృవీకరించే వరకు దయచేసి వేచి ఉండండి.")</f>
        <v>మేము మీ ఖాతాను ధృవీకరించే వరకు దయచేసి వేచి ఉండండి.</v>
      </c>
    </row>
    <row r="188">
      <c r="A188" s="4" t="s">
        <v>367</v>
      </c>
      <c r="B188" s="5" t="s">
        <v>368</v>
      </c>
      <c r="C188" s="6" t="str">
        <f>IFERROR(__xludf.DUMMYFUNCTION("GOOGLETRANSLATE(B188, ""en"", ""ta"")"),"ஆவணச் சரிபார்ப்பு நடந்து கொண்டிருக்கிறது.")</f>
        <v>ஆவணச் சரிபார்ப்பு நடந்து கொண்டிருக்கிறது.</v>
      </c>
      <c r="D188" s="6" t="str">
        <f>IFERROR(__xludf.DUMMYFUNCTION("GOOGLETRANSLATE(B188, ""en"", ""hi"")"),"दस्तावेज़ सत्यापन जारी है")</f>
        <v>दस्तावेज़ सत्यापन जारी है</v>
      </c>
      <c r="E188" s="6" t="str">
        <f>IFERROR(__xludf.DUMMYFUNCTION("GOOGLETRANSLATE(B188, ""en"", ""kn"")"),"ದಾಖಲೆ ಪರಿಶೀಲನೆ ಪ್ರಗತಿಯಲ್ಲಿದೆ")</f>
        <v>ದಾಖಲೆ ಪರಿಶೀಲನೆ ಪ್ರಗತಿಯಲ್ಲಿದೆ</v>
      </c>
      <c r="F188" s="7" t="str">
        <f>IFERROR(__xludf.DUMMYFUNCTION("GOOGLETRANSLATE(B188, ""en"", ""ml"")"),"ഡോക്യുമെന്റ് പരിശോധന പുരോഗമിക്കുന്നു")</f>
        <v>ഡോക്യുമെന്റ് പരിശോധന പുരോഗമിക്കുന്നു</v>
      </c>
      <c r="G188" s="7" t="str">
        <f>IFERROR(__xludf.DUMMYFUNCTION("GOOGLETRANSLATE(B188, ""en"", ""te"")"),"డాక్యుమెంట్ వెరిఫికేషన్ ప్రోగ్రెస్‌లో ఉంది")</f>
        <v>డాక్యుమెంట్ వెరిఫికేషన్ ప్రోగ్రెస్‌లో ఉంది</v>
      </c>
    </row>
    <row r="189">
      <c r="A189" s="4" t="s">
        <v>369</v>
      </c>
      <c r="B189" s="5" t="s">
        <v>370</v>
      </c>
      <c r="C189" s="6" t="str">
        <f>IFERROR(__xludf.DUMMYFUNCTION("GOOGLETRANSLATE(B189, ""en"", ""ta"")"),"பின்னணி சரிபார்ப்பு நிலுவையில் உள்ளது")</f>
        <v>பின்னணி சரிபார்ப்பு நிலுவையில் உள்ளது</v>
      </c>
      <c r="D189" s="6" t="str">
        <f>IFERROR(__xludf.DUMMYFUNCTION("GOOGLETRANSLATE(B189, ""en"", ""hi"")"),"पृष्ठभूमि जांच लंबित है")</f>
        <v>पृष्ठभूमि जांच लंबित है</v>
      </c>
      <c r="E189" s="6" t="str">
        <f>IFERROR(__xludf.DUMMYFUNCTION("GOOGLETRANSLATE(B189, ""en"", ""kn"")"),"ಹಿನ್ನೆಲೆ ಪರಿಶೀಲನೆ ಬಾಕಿ ಇದೆ")</f>
        <v>ಹಿನ್ನೆಲೆ ಪರಿಶೀಲನೆ ಬಾಕಿ ಇದೆ</v>
      </c>
      <c r="F189" s="7" t="str">
        <f>IFERROR(__xludf.DUMMYFUNCTION("GOOGLETRANSLATE(B189, ""en"", ""ml"")"),"പശ്ചാത്തല പരിശോധന പൂർത്തിയായിട്ടില്ല")</f>
        <v>പശ്ചാത്തല പരിശോധന പൂർത്തിയായിട്ടില്ല</v>
      </c>
      <c r="G189" s="7" t="str">
        <f>IFERROR(__xludf.DUMMYFUNCTION("GOOGLETRANSLATE(B189, ""en"", ""te"")"),"నేపథ్య తనిఖీ పెండింగ్‌లో ఉంది")</f>
        <v>నేపథ్య తనిఖీ పెండింగ్‌లో ఉంది</v>
      </c>
    </row>
    <row r="190">
      <c r="A190" s="4" t="s">
        <v>371</v>
      </c>
      <c r="B190" s="5" t="s">
        <v>372</v>
      </c>
      <c r="C190" s="6" t="str">
        <f>IFERROR(__xludf.DUMMYFUNCTION("GOOGLETRANSLATE(B190, ""en"", ""ta"")"),"வாகன ஆய்வு மதிப்பாய்வு")</f>
        <v>வாகன ஆய்வு மதிப்பாய்வு</v>
      </c>
      <c r="D190" s="6" t="str">
        <f>IFERROR(__xludf.DUMMYFUNCTION("GOOGLETRANSLATE(B190, ""en"", ""hi"")"),"वाहन निरीक्षण समीक्षा")</f>
        <v>वाहन निरीक्षण समीक्षा</v>
      </c>
      <c r="E190" s="6" t="str">
        <f>IFERROR(__xludf.DUMMYFUNCTION("GOOGLETRANSLATE(B190, ""en"", ""kn"")"),"ವಾಹನ ತಪಾಸಣೆ ವಿಮರ್ಶೆ")</f>
        <v>ವಾಹನ ತಪಾಸಣೆ ವಿಮರ್ಶೆ</v>
      </c>
      <c r="F190" s="7" t="str">
        <f>IFERROR(__xludf.DUMMYFUNCTION("GOOGLETRANSLATE(B190, ""en"", ""ml"")"),"വാഹന പരിശോധന അവലോകനം")</f>
        <v>വാഹന പരിശോധന അവലോകനം</v>
      </c>
      <c r="G190" s="7" t="str">
        <f>IFERROR(__xludf.DUMMYFUNCTION("GOOGLETRANSLATE(B190, ""en"", ""te"")"),"వాహన తనిఖీ సమీక్ష")</f>
        <v>వాహన తనిఖీ సమీక్ష</v>
      </c>
    </row>
    <row r="191">
      <c r="A191" s="4" t="s">
        <v>373</v>
      </c>
      <c r="B191" s="5" t="s">
        <v>374</v>
      </c>
      <c r="C191" s="6" t="str">
        <f>IFERROR(__xludf.DUMMYFUNCTION("GOOGLETRANSLATE(B191, ""en"", ""ta"")"),"வங்கி விவரங்கள் மதிப்பாய்வில் உள்ளன")</f>
        <v>வங்கி விவரங்கள் மதிப்பாய்வில் உள்ளன</v>
      </c>
      <c r="D191" s="6" t="str">
        <f>IFERROR(__xludf.DUMMYFUNCTION("GOOGLETRANSLATE(B191, ""en"", ""hi"")"),"बैंक विवरण की समीक्षा की जा रही है")</f>
        <v>बैंक विवरण की समीक्षा की जा रही है</v>
      </c>
      <c r="E191" s="6" t="str">
        <f>IFERROR(__xludf.DUMMYFUNCTION("GOOGLETRANSLATE(B191, ""en"", ""kn"")"),"ಬ್ಯಾಂಕ್ ವಿವರಗಳು ಪರಿಶೀಲನೆಯಲ್ಲಿವೆ")</f>
        <v>ಬ್ಯಾಂಕ್ ವಿವರಗಳು ಪರಿಶೀಲನೆಯಲ್ಲಿವೆ</v>
      </c>
      <c r="F191" s="7" t="str">
        <f>IFERROR(__xludf.DUMMYFUNCTION("GOOGLETRANSLATE(B191, ""en"", ""ml"")"),"ബാങ്ക് വിശദാംശങ്ങൾ അവലോകനത്തിലാണ്")</f>
        <v>ബാങ്ക് വിശദാംശങ്ങൾ അവലോകനത്തിലാണ്</v>
      </c>
      <c r="G191" s="7" t="str">
        <f>IFERROR(__xludf.DUMMYFUNCTION("GOOGLETRANSLATE(B191, ""en"", ""te"")"),"బ్యాంక్ వివరాలు సమీక్షలో ఉన్నాయి")</f>
        <v>బ్యాంక్ వివరాలు సమీక్షలో ఉన్నాయి</v>
      </c>
    </row>
    <row r="192">
      <c r="A192" s="4" t="s">
        <v>375</v>
      </c>
      <c r="B192" s="5" t="s">
        <v>376</v>
      </c>
      <c r="C192" s="6" t="str">
        <f>IFERROR(__xludf.DUMMYFUNCTION("GOOGLETRANSLATE(B192, ""en"", ""ta"")"),"கட்டணச் செயலாக்கத்திற்காக உங்கள் வங்கிக் கணக்கு சரிபார்க்கப்படுகிறது.")</f>
        <v>கட்டணச் செயலாக்கத்திற்காக உங்கள் வங்கிக் கணக்கு சரிபார்க்கப்படுகிறது.</v>
      </c>
      <c r="D192" s="6" t="str">
        <f>IFERROR(__xludf.DUMMYFUNCTION("GOOGLETRANSLATE(B192, ""en"", ""hi"")"),"भुगतान प्रक्रिया के लिए आपके बैंक खाते का सत्यापन किया जा रहा है।")</f>
        <v>भुगतान प्रक्रिया के लिए आपके बैंक खाते का सत्यापन किया जा रहा है।</v>
      </c>
      <c r="E192" s="6" t="str">
        <f>IFERROR(__xludf.DUMMYFUNCTION("GOOGLETRANSLATE(B192, ""en"", ""kn"")"),"ಪಾವತಿ ಪ್ರಕ್ರಿಯೆಗಾಗಿ ನಿಮ್ಮ ಬ್ಯಾಂಕ್ ಖಾತೆಯನ್ನು ಪರಿಶೀಲಿಸಲಾಗುತ್ತಿದೆ.")</f>
        <v>ಪಾವತಿ ಪ್ರಕ್ರಿಯೆಗಾಗಿ ನಿಮ್ಮ ಬ್ಯಾಂಕ್ ಖಾತೆಯನ್ನು ಪರಿಶೀಲಿಸಲಾಗುತ್ತಿದೆ.</v>
      </c>
      <c r="F192" s="7" t="str">
        <f>IFERROR(__xludf.DUMMYFUNCTION("GOOGLETRANSLATE(B192, ""en"", ""ml"")"),"പേയ്‌മെന്റ് പ്രോസസ്സിംഗിനായി നിങ്ങളുടെ ബാങ്ക് അക്കൗണ്ട് പരിശോധിച്ചുറപ്പിച്ചുകൊണ്ടിരിക്കുന്നു.")</f>
        <v>പേയ്‌മെന്റ് പ്രോസസ്സിംഗിനായി നിങ്ങളുടെ ബാങ്ക് അക്കൗണ്ട് പരിശോധിച്ചുറപ്പിച്ചുകൊണ്ടിരിക്കുന്നു.</v>
      </c>
      <c r="G192" s="7" t="str">
        <f>IFERROR(__xludf.DUMMYFUNCTION("GOOGLETRANSLATE(B192, ""en"", ""te"")"),"చెల్లింపు ప్రాసెసింగ్ కోసం మీ బ్యాంక్ ఖాతా ధృవీకరించబడుతోంది.")</f>
        <v>చెల్లింపు ప్రాసెసింగ్ కోసం మీ బ్యాంక్ ఖాతా ధృవీకరించబడుతోంది.</v>
      </c>
    </row>
    <row r="193">
      <c r="A193" s="4" t="s">
        <v>377</v>
      </c>
      <c r="B193" s="5" t="s">
        <v>378</v>
      </c>
      <c r="C193" s="6" t="str">
        <f>IFERROR(__xludf.DUMMYFUNCTION("GOOGLETRANSLATE(B193, ""en"", ""ta"")"),"வங்கிக் கணக்கு சரிபார்ப்பு செயலில் உள்ளது.")</f>
        <v>வங்கிக் கணக்கு சரிபார்ப்பு செயலில் உள்ளது.</v>
      </c>
      <c r="D193" s="6" t="str">
        <f>IFERROR(__xludf.DUMMYFUNCTION("GOOGLETRANSLATE(B193, ""en"", ""hi"")"),"बैंक खाते का सत्यापन जारी है")</f>
        <v>बैंक खाते का सत्यापन जारी है</v>
      </c>
      <c r="E193" s="6" t="str">
        <f>IFERROR(__xludf.DUMMYFUNCTION("GOOGLETRANSLATE(B193, ""en"", ""kn"")"),"ಬ್ಯಾಂಕ್ ಖಾತೆ ಪರಿಶೀಲನೆ ಪ್ರಗತಿಯಲ್ಲಿದೆ.")</f>
        <v>ಬ್ಯಾಂಕ್ ಖಾತೆ ಪರಿಶೀಲನೆ ಪ್ರಗತಿಯಲ್ಲಿದೆ.</v>
      </c>
      <c r="F193" s="7" t="str">
        <f>IFERROR(__xludf.DUMMYFUNCTION("GOOGLETRANSLATE(B193, ""en"", ""ml"")"),"ബാങ്ക് അക്കൗണ്ട് പരിശോധന പുരോഗമിക്കുന്നു")</f>
        <v>ബാങ്ക് അക്കൗണ്ട് പരിശോധന പുരോഗമിക്കുന്നു</v>
      </c>
      <c r="G193" s="7" t="str">
        <f>IFERROR(__xludf.DUMMYFUNCTION("GOOGLETRANSLATE(B193, ""en"", ""te"")"),"బ్యాంక్ ఖాతా ధృవీకరణ ప్రోగ్రెస్‌లో ఉంది")</f>
        <v>బ్యాంక్ ఖాతా ధృవీకరణ ప్రోగ్రెస్‌లో ఉంది</v>
      </c>
    </row>
    <row r="194">
      <c r="A194" s="4" t="s">
        <v>379</v>
      </c>
      <c r="B194" s="5" t="s">
        <v>380</v>
      </c>
      <c r="C194" s="6" t="str">
        <f>IFERROR(__xludf.DUMMYFUNCTION("GOOGLETRANSLATE(B194, ""en"", ""ta"")"),"கட்டண விவரங்கள் சரிபார்க்கப்படுகின்றன.")</f>
        <v>கட்டண விவரங்கள் சரிபார்க்கப்படுகின்றன.</v>
      </c>
      <c r="D194" s="6" t="str">
        <f>IFERROR(__xludf.DUMMYFUNCTION("GOOGLETRANSLATE(B194, ""en"", ""hi"")"),"भुगतान विवरण का सत्यापन किया जा रहा है")</f>
        <v>भुगतान विवरण का सत्यापन किया जा रहा है</v>
      </c>
      <c r="E194" s="6" t="str">
        <f>IFERROR(__xludf.DUMMYFUNCTION("GOOGLETRANSLATE(B194, ""en"", ""kn"")"),"ಪಾವತಿ ವಿವರಗಳನ್ನು ಮೌಲ್ಯೀಕರಿಸಲಾಗುತ್ತಿದೆ")</f>
        <v>ಪಾವತಿ ವಿವರಗಳನ್ನು ಮೌಲ್ಯೀಕರಿಸಲಾಗುತ್ತಿದೆ</v>
      </c>
      <c r="F194" s="7" t="str">
        <f>IFERROR(__xludf.DUMMYFUNCTION("GOOGLETRANSLATE(B194, ""en"", ""ml"")"),"പേയ്‌മെന്റ് വിശദാംശങ്ങൾ സാധൂകരിക്കുന്നു")</f>
        <v>പേയ്‌മെന്റ് വിശദാംശങ്ങൾ സാധൂകരിക്കുന്നു</v>
      </c>
      <c r="G194" s="7" t="str">
        <f>IFERROR(__xludf.DUMMYFUNCTION("GOOGLETRANSLATE(B194, ""en"", ""te"")"),"చెల్లింపు వివరాలు ధృవీకరించబడుతున్నాయి")</f>
        <v>చెల్లింపు వివరాలు ధృవీకరించబడుతున్నాయి</v>
      </c>
    </row>
    <row r="195">
      <c r="A195" s="4" t="s">
        <v>381</v>
      </c>
      <c r="B195" s="5" t="s">
        <v>382</v>
      </c>
      <c r="C195" s="6" t="str">
        <f>IFERROR(__xludf.DUMMYFUNCTION("GOOGLETRANSLATE(B195, ""en"", ""ta"")"),"இந்த செயல்முறை வழக்கமாக 1-2 வணிக நாட்கள் ஆகும்.")</f>
        <v>இந்த செயல்முறை வழக்கமாக 1-2 வணிக நாட்கள் ஆகும்.</v>
      </c>
      <c r="D195" s="6" t="str">
        <f>IFERROR(__xludf.DUMMYFUNCTION("GOOGLETRANSLATE(B195, ""en"", ""hi"")"),"इस प्रक्रिया में आमतौर पर 1-2 कार्य दिवस लगते हैं।")</f>
        <v>इस प्रक्रिया में आमतौर पर 1-2 कार्य दिवस लगते हैं।</v>
      </c>
      <c r="E195" s="6" t="str">
        <f>IFERROR(__xludf.DUMMYFUNCTION("GOOGLETRANSLATE(B195, ""en"", ""kn"")"),"ಈ ಪ್ರಕ್ರಿಯೆಯು ಸಾಮಾನ್ಯವಾಗಿ 1-2 ವ್ಯವಹಾರ ದಿನಗಳನ್ನು ತೆಗೆದುಕೊಳ್ಳುತ್ತದೆ.")</f>
        <v>ಈ ಪ್ರಕ್ರಿಯೆಯು ಸಾಮಾನ್ಯವಾಗಿ 1-2 ವ್ಯವಹಾರ ದಿನಗಳನ್ನು ತೆಗೆದುಕೊಳ್ಳುತ್ತದೆ.</v>
      </c>
      <c r="F195" s="7" t="str">
        <f>IFERROR(__xludf.DUMMYFUNCTION("GOOGLETRANSLATE(B195, ""en"", ""ml"")"),"ഈ പ്രക്രിയയ്ക്ക് സാധാരണയായി 1-2 പ്രവൃത്തി ദിവസങ്ങൾ എടുക്കും.")</f>
        <v>ഈ പ്രക്രിയയ്ക്ക് സാധാരണയായി 1-2 പ്രവൃത്തി ദിവസങ്ങൾ എടുക്കും.</v>
      </c>
      <c r="G195" s="7" t="str">
        <f>IFERROR(__xludf.DUMMYFUNCTION("GOOGLETRANSLATE(B195, ""en"", ""te"")"),"ఈ ప్రక్రియకు సాధారణంగా 1-2 పని దినాలు పడుతుంది.")</f>
        <v>ఈ ప్రక్రియకు సాధారణంగా 1-2 పని దినాలు పడుతుంది.</v>
      </c>
    </row>
    <row r="196">
      <c r="A196" s="4" t="s">
        <v>383</v>
      </c>
      <c r="B196" s="5" t="s">
        <v>384</v>
      </c>
      <c r="C196" s="6" t="str">
        <f>IFERROR(__xludf.DUMMYFUNCTION("GOOGLETRANSLATE(B196, ""en"", ""ta"")"),"சரிபார்ப்பு அதிக நேரம் எடுத்தால் ஆதரவைத் தொடர்பு கொள்ளவும்.")</f>
        <v>சரிபார்ப்பு அதிக நேரம் எடுத்தால் ஆதரவைத் தொடர்பு கொள்ளவும்.</v>
      </c>
      <c r="D196" s="6" t="str">
        <f>IFERROR(__xludf.DUMMYFUNCTION("GOOGLETRANSLATE(B196, ""en"", ""hi"")"),"यदि सत्यापन में अधिक समय लगता है तो सहायता टीम से संपर्क करें।")</f>
        <v>यदि सत्यापन में अधिक समय लगता है तो सहायता टीम से संपर्क करें।</v>
      </c>
      <c r="E196" s="6" t="str">
        <f>IFERROR(__xludf.DUMMYFUNCTION("GOOGLETRANSLATE(B196, ""en"", ""kn"")"),"ಪರಿಶೀಲನೆಗೆ ಹೆಚ್ಚಿನ ಸಮಯ ತೆಗೆದುಕೊಂಡರೆ ಬೆಂಬಲವನ್ನು ಸಂಪರ್ಕಿಸಿ")</f>
        <v>ಪರಿಶೀಲನೆಗೆ ಹೆಚ್ಚಿನ ಸಮಯ ತೆಗೆದುಕೊಂಡರೆ ಬೆಂಬಲವನ್ನು ಸಂಪರ್ಕಿಸಿ</v>
      </c>
      <c r="F196" s="7" t="str">
        <f>IFERROR(__xludf.DUMMYFUNCTION("GOOGLETRANSLATE(B196, ""en"", ""ml"")"),"പരിശോധിച്ചുറപ്പിക്കലിന് കൂടുതൽ സമയമെടുക്കുന്നുവെങ്കിൽ പിന്തുണയുമായി ബന്ധപ്പെടുക.")</f>
        <v>പരിശോധിച്ചുറപ്പിക്കലിന് കൂടുതൽ സമയമെടുക്കുന്നുവെങ്കിൽ പിന്തുണയുമായി ബന്ധപ്പെടുക.</v>
      </c>
      <c r="G196" s="7" t="str">
        <f>IFERROR(__xludf.DUMMYFUNCTION("GOOGLETRANSLATE(B196, ""en"", ""te"")"),"ధృవీకరణకు ఎక్కువ సమయం పడితే మద్దతును సంప్రదించండి")</f>
        <v>ధృవీకరణకు ఎక్కువ సమయం పడితే మద్దతును సంప్రదించండి</v>
      </c>
    </row>
    <row r="197">
      <c r="A197" s="4" t="s">
        <v>385</v>
      </c>
      <c r="B197" s="5" t="s">
        <v>386</v>
      </c>
      <c r="C197" s="6" t="str">
        <f>IFERROR(__xludf.DUMMYFUNCTION("GOOGLETRANSLATE(B197, ""en"", ""ta"")"),"பயணங்கள்")</f>
        <v>பயணங்கள்</v>
      </c>
      <c r="D197" s="6" t="str">
        <f>IFERROR(__xludf.DUMMYFUNCTION("GOOGLETRANSLATE(B197, ""en"", ""hi"")"),"ट्रिप्स")</f>
        <v>ट्रिप्स</v>
      </c>
      <c r="E197" s="6" t="str">
        <f>IFERROR(__xludf.DUMMYFUNCTION("GOOGLETRANSLATE(B197, ""en"", ""kn"")"),"ಪ್ರವಾಸಗಳು")</f>
        <v>ಪ್ರವಾಸಗಳು</v>
      </c>
      <c r="F197" s="7" t="str">
        <f>IFERROR(__xludf.DUMMYFUNCTION("GOOGLETRANSLATE(B197, ""en"", ""ml"")"),"യാത്രകൾ")</f>
        <v>യാത്രകൾ</v>
      </c>
      <c r="G197" s="7" t="str">
        <f>IFERROR(__xludf.DUMMYFUNCTION("GOOGLETRANSLATE(B197, ""en"", ""te"")"),"ట్రిప్స్")</f>
        <v>ట్రిప్స్</v>
      </c>
    </row>
    <row r="198">
      <c r="A198" s="4" t="s">
        <v>387</v>
      </c>
      <c r="B198" s="5" t="s">
        <v>388</v>
      </c>
      <c r="C198" s="6" t="str">
        <f>IFERROR(__xludf.DUMMYFUNCTION("GOOGLETRANSLATE(B198, ""en"", ""ta"")"),"வருவாய்")</f>
        <v>வருவாய்</v>
      </c>
      <c r="D198" s="6" t="str">
        <f>IFERROR(__xludf.DUMMYFUNCTION("GOOGLETRANSLATE(B198, ""en"", ""hi"")"),"आय")</f>
        <v>आय</v>
      </c>
      <c r="E198" s="6" t="str">
        <f>IFERROR(__xludf.DUMMYFUNCTION("GOOGLETRANSLATE(B198, ""en"", ""kn"")"),"ಗಳಿಕೆಗಳು")</f>
        <v>ಗಳಿಕೆಗಳು</v>
      </c>
      <c r="F198" s="7" t="str">
        <f>IFERROR(__xludf.DUMMYFUNCTION("GOOGLETRANSLATE(B198, ""en"", ""ml"")"),"വരുമാനം")</f>
        <v>വരുമാനം</v>
      </c>
      <c r="G198" s="7" t="str">
        <f>IFERROR(__xludf.DUMMYFUNCTION("GOOGLETRANSLATE(B198, ""en"", ""te"")"),"ఆదాయాలు")</f>
        <v>ఆదాయాలు</v>
      </c>
    </row>
    <row r="199">
      <c r="A199" s="4" t="s">
        <v>389</v>
      </c>
      <c r="B199" s="5" t="s">
        <v>390</v>
      </c>
      <c r="C199" s="6" t="str">
        <f>IFERROR(__xludf.DUMMYFUNCTION("GOOGLETRANSLATE(B199, ""en"", ""ta"")"),"ஆன்லைனில் செல்க")</f>
        <v>ஆன்லைனில் செல்க</v>
      </c>
      <c r="D199" s="6" t="str">
        <f>IFERROR(__xludf.DUMMYFUNCTION("GOOGLETRANSLATE(B199, ""en"", ""hi"")"),"ऑनलाइन जाओ")</f>
        <v>ऑनलाइन जाओ</v>
      </c>
      <c r="E199" s="6" t="str">
        <f>IFERROR(__xludf.DUMMYFUNCTION("GOOGLETRANSLATE(B199, ""en"", ""kn"")"),"ಆನ್‌ಲೈನ್‌ಗೆ ಹೋಗಿ")</f>
        <v>ಆನ್‌ಲೈನ್‌ಗೆ ಹೋಗಿ</v>
      </c>
      <c r="F199" s="7" t="str">
        <f>IFERROR(__xludf.DUMMYFUNCTION("GOOGLETRANSLATE(B199, ""en"", ""ml"")"),"ഓൺലൈനിൽ പോകുക")</f>
        <v>ഓൺലൈനിൽ പോകുക</v>
      </c>
      <c r="G199" s="7" t="str">
        <f>IFERROR(__xludf.DUMMYFUNCTION("GOOGLETRANSLATE(B199, ""en"", ""te"")"),"ఆన్‌లైన్‌లోకి వెళ్లండి")</f>
        <v>ఆన్‌లైన్‌లోకి వెళ్లండి</v>
      </c>
    </row>
    <row r="200">
      <c r="A200" s="4" t="s">
        <v>391</v>
      </c>
      <c r="B200" s="5" t="s">
        <v>392</v>
      </c>
      <c r="C200" s="6" t="str">
        <f>IFERROR(__xludf.DUMMYFUNCTION("GOOGLETRANSLATE(B200, ""en"", ""ta"")"),"நிறுத்தங்கள்")</f>
        <v>நிறுத்தங்கள்</v>
      </c>
      <c r="D200" s="6" t="str">
        <f>IFERROR(__xludf.DUMMYFUNCTION("GOOGLETRANSLATE(B200, ""en"", ""hi"")"),"बंद हो जाता है")</f>
        <v>बंद हो जाता है</v>
      </c>
      <c r="E200" s="6" t="str">
        <f>IFERROR(__xludf.DUMMYFUNCTION("GOOGLETRANSLATE(B200, ""en"", ""kn"")"),"ನಿಲ್ದಾಣಗಳು")</f>
        <v>ನಿಲ್ದಾಣಗಳು</v>
      </c>
      <c r="F200" s="7" t="str">
        <f>IFERROR(__xludf.DUMMYFUNCTION("GOOGLETRANSLATE(B200, ""en"", ""ml"")"),"സ്റ്റോപ്പുകൾ")</f>
        <v>സ്റ്റോപ്പുകൾ</v>
      </c>
      <c r="G200" s="7" t="str">
        <f>IFERROR(__xludf.DUMMYFUNCTION("GOOGLETRANSLATE(B200, ""en"", ""te"")"),"స్టాప్‌లు")</f>
        <v>స్టాప్‌లు</v>
      </c>
    </row>
    <row r="201">
      <c r="A201" s="4" t="s">
        <v>393</v>
      </c>
      <c r="B201" s="5" t="s">
        <v>394</v>
      </c>
      <c r="C201" s="6" t="str">
        <f>IFERROR(__xludf.DUMMYFUNCTION("GOOGLETRANSLATE(B201, ""en"", ""ta"")"),"பிக்அப் இடம்")</f>
        <v>பிக்அப் இடம்</v>
      </c>
      <c r="D201" s="6" t="str">
        <f>IFERROR(__xludf.DUMMYFUNCTION("GOOGLETRANSLATE(B201, ""en"", ""hi"")"),"लेने की जगह")</f>
        <v>लेने की जगह</v>
      </c>
      <c r="E201" s="6" t="str">
        <f>IFERROR(__xludf.DUMMYFUNCTION("GOOGLETRANSLATE(B201, ""en"", ""kn"")"),"ಪಿಕಪ್ ಸ್ಥಳ")</f>
        <v>ಪಿಕಪ್ ಸ್ಥಳ</v>
      </c>
      <c r="F201" s="7" t="str">
        <f>IFERROR(__xludf.DUMMYFUNCTION("GOOGLETRANSLATE(B201, ""en"", ""ml"")"),"പിക്കപ്പ് ലൊക്കേഷൻ")</f>
        <v>പിക്കപ്പ് ലൊക്കേഷൻ</v>
      </c>
      <c r="G201" s="7" t="str">
        <f>IFERROR(__xludf.DUMMYFUNCTION("GOOGLETRANSLATE(B201, ""en"", ""te"")"),"పికప్ స్థానం")</f>
        <v>పికప్ స్థానం</v>
      </c>
    </row>
    <row r="202">
      <c r="A202" s="4" t="s">
        <v>395</v>
      </c>
      <c r="B202" s="5" t="s">
        <v>396</v>
      </c>
      <c r="C202" s="6" t="str">
        <f>IFERROR(__xludf.DUMMYFUNCTION("GOOGLETRANSLATE(B202, ""en"", ""ta"")"),"டிராப் இடம்")</f>
        <v>டிராப் இடம்</v>
      </c>
      <c r="D202" s="6" t="str">
        <f>IFERROR(__xludf.DUMMYFUNCTION("GOOGLETRANSLATE(B202, ""en"", ""hi"")"),"ड्रॉप स्थान")</f>
        <v>ड्रॉप स्थान</v>
      </c>
      <c r="E202" s="6" t="str">
        <f>IFERROR(__xludf.DUMMYFUNCTION("GOOGLETRANSLATE(B202, ""en"", ""kn"")"),"ಡ್ರಾಪ್ ಸ್ಥಳ")</f>
        <v>ಡ್ರಾಪ್ ಸ್ಥಳ</v>
      </c>
      <c r="F202" s="7" t="str">
        <f>IFERROR(__xludf.DUMMYFUNCTION("GOOGLETRANSLATE(B202, ""en"", ""ml"")"),"ഡ്രോപ്പ് ലൊക്കേഷൻ")</f>
        <v>ഡ്രോപ്പ് ലൊക്കേഷൻ</v>
      </c>
      <c r="G202" s="7" t="str">
        <f>IFERROR(__xludf.DUMMYFUNCTION("GOOGLETRANSLATE(B202, ""en"", ""te"")"),"డ్రాప్ లొకేషన్")</f>
        <v>డ్రాప్ లొకేషన్</v>
      </c>
    </row>
    <row r="203">
      <c r="A203" s="4" t="s">
        <v>397</v>
      </c>
      <c r="B203" s="5" t="s">
        <v>398</v>
      </c>
      <c r="C203" s="6" t="str">
        <f>IFERROR(__xludf.DUMMYFUNCTION("GOOGLETRANSLATE(B203, ""en"", ""ta"")"),"முடிந்தது")</f>
        <v>முடிந்தது</v>
      </c>
      <c r="D203" s="6" t="str">
        <f>IFERROR(__xludf.DUMMYFUNCTION("GOOGLETRANSLATE(B203, ""en"", ""hi"")"),"हो गया")</f>
        <v>हो गया</v>
      </c>
      <c r="E203" s="6" t="str">
        <f>IFERROR(__xludf.DUMMYFUNCTION("GOOGLETRANSLATE(B203, ""en"", ""kn"")"),"ಮುಗಿದಿದೆ")</f>
        <v>ಮುಗಿದಿದೆ</v>
      </c>
      <c r="F203" s="7" t="str">
        <f>IFERROR(__xludf.DUMMYFUNCTION("GOOGLETRANSLATE(B203, ""en"", ""ml"")"),"ചെയ്തുകഴിഞ്ഞു")</f>
        <v>ചെയ്തുകഴിഞ്ഞു</v>
      </c>
      <c r="G203" s="7" t="str">
        <f>IFERROR(__xludf.DUMMYFUNCTION("GOOGLETRANSLATE(B203, ""en"", ""te"")"),"పూర్తయింది")</f>
        <v>పూర్తయింది</v>
      </c>
    </row>
    <row r="204">
      <c r="A204" s="4" t="s">
        <v>399</v>
      </c>
      <c r="B204" s="5" t="s">
        <v>400</v>
      </c>
      <c r="C204" s="6" t="str">
        <f>IFERROR(__xludf.DUMMYFUNCTION("GOOGLETRANSLATE(B204, ""en"", ""ta"")"),"வடிவம்")</f>
        <v>வடிவம்</v>
      </c>
      <c r="D204" s="6" t="str">
        <f>IFERROR(__xludf.DUMMYFUNCTION("GOOGLETRANSLATE(B204, ""en"", ""hi"")"),"प्रारूप")</f>
        <v>प्रारूप</v>
      </c>
      <c r="E204" s="6" t="str">
        <f>IFERROR(__xludf.DUMMYFUNCTION("GOOGLETRANSLATE(B204, ""en"", ""kn"")"),"ಸ್ವರೂಪ")</f>
        <v>ಸ್ವರೂಪ</v>
      </c>
      <c r="F204" s="7" t="str">
        <f>IFERROR(__xludf.DUMMYFUNCTION("GOOGLETRANSLATE(B204, ""en"", ""ml"")"),"ഫോർമാറ്റ്")</f>
        <v>ഫോർമാറ്റ്</v>
      </c>
      <c r="G204" s="7" t="str">
        <f>IFERROR(__xludf.DUMMYFUNCTION("GOOGLETRANSLATE(B204, ""en"", ""te"")"),"ఫార్మాట్")</f>
        <v>ఫార్మాట్</v>
      </c>
    </row>
    <row r="205">
      <c r="A205" s="4" t="s">
        <v>401</v>
      </c>
      <c r="B205" s="5" t="s">
        <v>402</v>
      </c>
      <c r="C205" s="6" t="str">
        <f>IFERROR(__xludf.DUMMYFUNCTION("GOOGLETRANSLATE(B205, ""en"", ""ta"")"),"அளவு: ஒவ்வொன்றும் அதிகபட்சம் 10MB")</f>
        <v>அளவு: ஒவ்வொன்றும் அதிகபட்சம் 10MB</v>
      </c>
      <c r="D205" s="6" t="str">
        <f>IFERROR(__xludf.DUMMYFUNCTION("GOOGLETRANSLATE(B205, ""en"", ""hi"")"),"आकार: अधिकतम 10MB प्रत्येक")</f>
        <v>आकार: अधिकतम 10MB प्रत्येक</v>
      </c>
      <c r="E205" s="6" t="str">
        <f>IFERROR(__xludf.DUMMYFUNCTION("GOOGLETRANSLATE(B205, ""en"", ""kn"")"),"ಗಾತ್ರ: ಪ್ರತಿಯೊಂದಕ್ಕೂ ಗರಿಷ್ಠ 10MB")</f>
        <v>ಗಾತ್ರ: ಪ್ರತಿಯೊಂದಕ್ಕೂ ಗರಿಷ್ಠ 10MB</v>
      </c>
      <c r="F205" s="7" t="str">
        <f>IFERROR(__xludf.DUMMYFUNCTION("GOOGLETRANSLATE(B205, ""en"", ""ml"")"),"വലുപ്പം: ഓരോന്നിനും പരമാവധി 10MB")</f>
        <v>വലുപ്പം: ഓരോന്നിനും പരമാവധി 10MB</v>
      </c>
      <c r="G205" s="7" t="str">
        <f>IFERROR(__xludf.DUMMYFUNCTION("GOOGLETRANSLATE(B205, ""en"", ""te"")"),"పరిమాణం: ఒక్కొక్కటి గరిష్టంగా 10MB")</f>
        <v>పరిమాణం: ఒక్కొక్కటి గరిష్టంగా 10MB</v>
      </c>
    </row>
    <row r="206">
      <c r="A206" s="4" t="s">
        <v>403</v>
      </c>
      <c r="B206" s="5" t="s">
        <v>404</v>
      </c>
      <c r="C206" s="6" t="str">
        <f>IFERROR(__xludf.DUMMYFUNCTION("GOOGLETRANSLATE(B206, ""en"", ""ta"")"),"தெளிவுத்திறன்: அதிகபட்சம் 2000px")</f>
        <v>தெளிவுத்திறன்: அதிகபட்சம் 2000px</v>
      </c>
      <c r="D206" s="6" t="str">
        <f>IFERROR(__xludf.DUMMYFUNCTION("GOOGLETRANSLATE(B206, ""en"", ""hi"")"),"रिज़ॉल्यूशन: अधिकतम 2000px")</f>
        <v>रिज़ॉल्यूशन: अधिकतम 2000px</v>
      </c>
      <c r="E206" s="6" t="str">
        <f>IFERROR(__xludf.DUMMYFUNCTION("GOOGLETRANSLATE(B206, ""en"", ""kn"")"),"ರೆಸಲ್ಯೂಷನ್: ಗರಿಷ್ಠ 2000px")</f>
        <v>ರೆಸಲ್ಯೂಷನ್: ಗರಿಷ್ಠ 2000px</v>
      </c>
      <c r="F206" s="7" t="str">
        <f>IFERROR(__xludf.DUMMYFUNCTION("GOOGLETRANSLATE(B206, ""en"", ""ml"")"),"റെസല്യൂഷൻ: പരമാവധി 2000px")</f>
        <v>റെസല്യൂഷൻ: പരമാവധി 2000px</v>
      </c>
      <c r="G206" s="7" t="str">
        <f>IFERROR(__xludf.DUMMYFUNCTION("GOOGLETRANSLATE(B206, ""en"", ""te"")"),"రిజల్యూషన్: గరిష్టంగా 2000px")</f>
        <v>రిజల్యూషన్: గరిష్టంగా 2000px</v>
      </c>
    </row>
    <row r="207">
      <c r="A207" s="4" t="s">
        <v>405</v>
      </c>
      <c r="B207" s="5" t="s">
        <v>406</v>
      </c>
      <c r="C207" s="6" t="str">
        <f>IFERROR(__xludf.DUMMYFUNCTION("GOOGLETRANSLATE(B207, ""en"", ""ta"")"),"ஆவணத்தைப் பதிவேற்று")</f>
        <v>ஆவணத்தைப் பதிவேற்று</v>
      </c>
      <c r="D207" s="6" t="str">
        <f>IFERROR(__xludf.DUMMYFUNCTION("GOOGLETRANSLATE(B207, ""en"", ""hi"")"),"दस्तावेज़ अपलोड करें")</f>
        <v>दस्तावेज़ अपलोड करें</v>
      </c>
      <c r="E207" s="6" t="str">
        <f>IFERROR(__xludf.DUMMYFUNCTION("GOOGLETRANSLATE(B207, ""en"", ""kn"")"),"ಡಾಕ್ಯುಮೆಂಟ್ ಅಪ್‌ಲೋಡ್ ಮಾಡಿ")</f>
        <v>ಡಾಕ್ಯುಮೆಂಟ್ ಅಪ್‌ಲೋಡ್ ಮಾಡಿ</v>
      </c>
      <c r="F207" s="7" t="str">
        <f>IFERROR(__xludf.DUMMYFUNCTION("GOOGLETRANSLATE(B207, ""en"", ""ml"")"),"പ്രമാണം അപ്‌ലോഡ് ചെയ്യുക")</f>
        <v>പ്രമാണം അപ്‌ലോഡ് ചെയ്യുക</v>
      </c>
      <c r="G207" s="7" t="str">
        <f>IFERROR(__xludf.DUMMYFUNCTION("GOOGLETRANSLATE(B207, ""en"", ""te"")"),"పత్రాన్ని అప్‌లోడ్ చేయండి")</f>
        <v>పత్రాన్ని అప్‌లోడ్ చేయండి</v>
      </c>
    </row>
    <row r="208">
      <c r="A208" s="4" t="s">
        <v>407</v>
      </c>
      <c r="B208" s="5" t="s">
        <v>408</v>
      </c>
      <c r="C208" s="6" t="str">
        <f>IFERROR(__xludf.DUMMYFUNCTION("GOOGLETRANSLATE(B208, ""en"", ""ta"")"),"பதிவேற்று")</f>
        <v>பதிவேற்று</v>
      </c>
      <c r="D208" s="6" t="str">
        <f>IFERROR(__xludf.DUMMYFUNCTION("GOOGLETRANSLATE(B208, ""en"", ""hi"")"),"अपलोड करें")</f>
        <v>अपलोड करें</v>
      </c>
      <c r="E208" s="6" t="str">
        <f>IFERROR(__xludf.DUMMYFUNCTION("GOOGLETRANSLATE(B208, ""en"", ""kn"")"),"ಅಪ್‌ಲೋಡ್ ಮಾಡಿ")</f>
        <v>ಅಪ್‌ಲೋಡ್ ಮಾಡಿ</v>
      </c>
      <c r="F208" s="7" t="str">
        <f>IFERROR(__xludf.DUMMYFUNCTION("GOOGLETRANSLATE(B208, ""en"", ""ml"")"),"അപ്‌ലോഡ് ചെയ്യുക")</f>
        <v>അപ്‌ലോഡ് ചെയ്യുക</v>
      </c>
      <c r="G208" s="7" t="str">
        <f>IFERROR(__xludf.DUMMYFUNCTION("GOOGLETRANSLATE(B208, ""en"", ""te"")"),"అప్‌లోడ్ చేయండి")</f>
        <v>అప్‌లోడ్ చేయండి</v>
      </c>
    </row>
    <row r="209">
      <c r="A209" s="4" t="s">
        <v>409</v>
      </c>
      <c r="B209" s="5" t="s">
        <v>410</v>
      </c>
      <c r="C209" s="6" t="str">
        <f>IFERROR(__xludf.DUMMYFUNCTION("GOOGLETRANSLATE(B209, ""en"", ""ta"")"),"OTP வெற்றிகரமாக அனுப்பப்பட்டது.")</f>
        <v>OTP வெற்றிகரமாக அனுப்பப்பட்டது.</v>
      </c>
      <c r="D209" s="6" t="str">
        <f>IFERROR(__xludf.DUMMYFUNCTION("GOOGLETRANSLATE(B209, ""en"", ""hi"")"),"ओटीपी सफलतापूर्वक भेज दिया गया")</f>
        <v>ओटीपी सफलतापूर्वक भेज दिया गया</v>
      </c>
      <c r="E209" s="6" t="str">
        <f>IFERROR(__xludf.DUMMYFUNCTION("GOOGLETRANSLATE(B209, ""en"", ""kn"")"),"OTP ಯಶಸ್ವಿಯಾಗಿ ಕಳುಹಿಸಲಾಗಿದೆ")</f>
        <v>OTP ಯಶಸ್ವಿಯಾಗಿ ಕಳುಹಿಸಲಾಗಿದೆ</v>
      </c>
      <c r="F209" s="7" t="str">
        <f>IFERROR(__xludf.DUMMYFUNCTION("GOOGLETRANSLATE(B209, ""en"", ""ml"")"),"OTP വിജയകരമായി അയച്ചു")</f>
        <v>OTP വിജയകരമായി അയച്ചു</v>
      </c>
      <c r="G209" s="7" t="str">
        <f>IFERROR(__xludf.DUMMYFUNCTION("GOOGLETRANSLATE(B209, ""en"", ""te"")"),"OTP విజయవంతంగా పంపబడింది")</f>
        <v>OTP విజయవంతంగా పంపబడింది</v>
      </c>
    </row>
    <row r="210">
      <c r="A210" s="4" t="s">
        <v>411</v>
      </c>
      <c r="B210" s="5" t="s">
        <v>412</v>
      </c>
      <c r="C210" s="6" t="str">
        <f>IFERROR(__xludf.DUMMYFUNCTION("GOOGLETRANSLATE(B210, ""en"", ""ta"")"),"டிக்கெட்டை உயர்த்தவும்")</f>
        <v>டிக்கெட்டை உயர்த்தவும்</v>
      </c>
      <c r="D210" s="6" t="str">
        <f>IFERROR(__xludf.DUMMYFUNCTION("GOOGLETRANSLATE(B210, ""en"", ""hi"")"),"टिकट बढ़ाएँ")</f>
        <v>टिकट बढ़ाएँ</v>
      </c>
      <c r="E210" s="6" t="str">
        <f>IFERROR(__xludf.DUMMYFUNCTION("GOOGLETRANSLATE(B210, ""en"", ""kn"")"),"ಟಿಕೆಟ್ ಹೆಚ್ಚಿಸಿ")</f>
        <v>ಟಿಕೆಟ್ ಹೆಚ್ಚಿಸಿ</v>
      </c>
      <c r="F210" s="7" t="str">
        <f>IFERROR(__xludf.DUMMYFUNCTION("GOOGLETRANSLATE(B210, ""en"", ""ml"")"),"ടിക്കറ്റ് ഉയർത്തുക")</f>
        <v>ടിക്കറ്റ് ഉയർത്തുക</v>
      </c>
      <c r="G210" s="7" t="str">
        <f>IFERROR(__xludf.DUMMYFUNCTION("GOOGLETRANSLATE(B210, ""en"", ""te"")"),"టికెట్ పెంచండి")</f>
        <v>టికెట్ పెంచండి</v>
      </c>
    </row>
    <row r="211">
      <c r="A211" s="4" t="s">
        <v>413</v>
      </c>
      <c r="B211" s="5" t="s">
        <v>414</v>
      </c>
      <c r="C211" s="6" t="str">
        <f>IFERROR(__xludf.DUMMYFUNCTION("GOOGLETRANSLATE(B211, ""en"", ""ta"")"),"மாற்றம்")</f>
        <v>மாற்றம்</v>
      </c>
      <c r="D211" s="6" t="str">
        <f>IFERROR(__xludf.DUMMYFUNCTION("GOOGLETRANSLATE(B211, ""en"", ""hi"")"),"परिवर्तन")</f>
        <v>परिवर्तन</v>
      </c>
      <c r="E211" s="6" t="str">
        <f>IFERROR(__xludf.DUMMYFUNCTION("GOOGLETRANSLATE(B211, ""en"", ""kn"")"),"ಬದಲಾವಣೆ")</f>
        <v>ಬದಲಾವಣೆ</v>
      </c>
      <c r="F211" s="7" t="str">
        <f>IFERROR(__xludf.DUMMYFUNCTION("GOOGLETRANSLATE(B211, ""en"", ""ml"")"),"മാറ്റം")</f>
        <v>മാറ്റം</v>
      </c>
      <c r="G211" s="7" t="str">
        <f>IFERROR(__xludf.DUMMYFUNCTION("GOOGLETRANSLATE(B211, ""en"", ""te"")"),"మార్చు")</f>
        <v>మార్చు</v>
      </c>
    </row>
    <row r="212">
      <c r="A212" s="4" t="s">
        <v>241</v>
      </c>
      <c r="B212" s="5" t="s">
        <v>242</v>
      </c>
      <c r="C212" s="6" t="str">
        <f>IFERROR(__xludf.DUMMYFUNCTION("GOOGLETRANSLATE(B212, ""en"", ""ta"")"),"உலவ")</f>
        <v>உலவ</v>
      </c>
      <c r="D212" s="6" t="str">
        <f>IFERROR(__xludf.DUMMYFUNCTION("GOOGLETRANSLATE(B212, ""en"", ""hi"")"),"ब्राउज़")</f>
        <v>ब्राउज़</v>
      </c>
      <c r="E212" s="6" t="str">
        <f>IFERROR(__xludf.DUMMYFUNCTION("GOOGLETRANSLATE(B212, ""en"", ""kn"")"),"ಬ್ರೌಸ್ ಮಾಡಿ")</f>
        <v>ಬ್ರೌಸ್ ಮಾಡಿ</v>
      </c>
      <c r="F212" s="7" t="str">
        <f>IFERROR(__xludf.DUMMYFUNCTION("GOOGLETRANSLATE(B212, ""en"", ""ml"")"),"ബ്രൗസ് ചെയ്യുക")</f>
        <v>ബ്രൗസ് ചെയ്യുക</v>
      </c>
      <c r="G212" s="7" t="str">
        <f>IFERROR(__xludf.DUMMYFUNCTION("GOOGLETRANSLATE(B212, ""en"", ""te"")"),"బ్రౌజ్ చేయండి")</f>
        <v>బ్రౌజ్ చేయండి</v>
      </c>
    </row>
    <row r="213">
      <c r="A213" s="4" t="s">
        <v>415</v>
      </c>
      <c r="B213" s="5" t="s">
        <v>416</v>
      </c>
      <c r="C213" s="6" t="str">
        <f>IFERROR(__xludf.DUMMYFUNCTION("GOOGLETRANSLATE(B213, ""en"", ""ta"")"),"பயண வரலாறு")</f>
        <v>பயண வரலாறு</v>
      </c>
      <c r="D213" s="6" t="str">
        <f>IFERROR(__xludf.DUMMYFUNCTION("GOOGLETRANSLATE(B213, ""en"", ""hi"")"),"यात्रा इतिहास")</f>
        <v>यात्रा इतिहास</v>
      </c>
      <c r="E213" s="6" t="str">
        <f>IFERROR(__xludf.DUMMYFUNCTION("GOOGLETRANSLATE(B213, ""en"", ""kn"")"),"ಪ್ರವಾಸ ಇತಿಹಾಸ")</f>
        <v>ಪ್ರವಾಸ ಇತಿಹಾಸ</v>
      </c>
      <c r="F213" s="7" t="str">
        <f>IFERROR(__xludf.DUMMYFUNCTION("GOOGLETRANSLATE(B213, ""en"", ""ml"")"),"യാത്രാ ചരിത്രം")</f>
        <v>യാത്രാ ചരിത്രം</v>
      </c>
      <c r="G213" s="7" t="str">
        <f>IFERROR(__xludf.DUMMYFUNCTION("GOOGLETRANSLATE(B213, ""en"", ""te"")"),"పర్యటన చరిత్ర")</f>
        <v>పర్యటన చరిత్ర</v>
      </c>
    </row>
    <row r="214">
      <c r="A214" s="4" t="s">
        <v>417</v>
      </c>
      <c r="B214" s="5" t="s">
        <v>418</v>
      </c>
      <c r="C214" s="6" t="str">
        <f>IFERROR(__xludf.DUMMYFUNCTION("GOOGLETRANSLATE(B214, ""en"", ""ta"")"),"பயணங்கள் எதுவும் இல்லை")</f>
        <v>பயணங்கள் எதுவும் இல்லை</v>
      </c>
      <c r="D214" s="6" t="str">
        <f>IFERROR(__xludf.DUMMYFUNCTION("GOOGLETRANSLATE(B214, ""en"", ""hi"")"),"कोई यात्रा नहीं मिली")</f>
        <v>कोई यात्रा नहीं मिली</v>
      </c>
      <c r="E214" s="6" t="str">
        <f>IFERROR(__xludf.DUMMYFUNCTION("GOOGLETRANSLATE(B214, ""en"", ""kn"")"),"ಯಾವುದೇ ಪ್ರವಾಸಗಳು ಕಂಡುಬಂದಿಲ್ಲ.")</f>
        <v>ಯಾವುದೇ ಪ್ರವಾಸಗಳು ಕಂಡುಬಂದಿಲ್ಲ.</v>
      </c>
      <c r="F214" s="7" t="str">
        <f>IFERROR(__xludf.DUMMYFUNCTION("GOOGLETRANSLATE(B214, ""en"", ""ml"")"),"യാത്രകളൊന്നും കണ്ടെത്തിയില്ല")</f>
        <v>യാത്രകളൊന്നും കണ്ടെത്തിയില്ല</v>
      </c>
      <c r="G214" s="7" t="str">
        <f>IFERROR(__xludf.DUMMYFUNCTION("GOOGLETRANSLATE(B214, ""en"", ""te"")"),"ట్రిప్‌లు ఏవీ కనుగొనబడలేదు")</f>
        <v>ట్రిప్‌లు ఏవీ కనుగొనబడలేదు</v>
      </c>
    </row>
    <row r="215">
      <c r="A215" s="4" t="s">
        <v>419</v>
      </c>
      <c r="B215" s="5" t="s">
        <v>420</v>
      </c>
      <c r="C215" s="6" t="str">
        <f>IFERROR(__xludf.DUMMYFUNCTION("GOOGLETRANSLATE(B215, ""en"", ""ta"")"),"நீங்கள் இன்னும் எந்தப் பயணங்களையும் முடிக்கவில்லை.")</f>
        <v>நீங்கள் இன்னும் எந்தப் பயணங்களையும் முடிக்கவில்லை.</v>
      </c>
      <c r="D215" s="6" t="str">
        <f>IFERROR(__xludf.DUMMYFUNCTION("GOOGLETRANSLATE(B215, ""en"", ""hi"")"),"आपने अभी तक कोई यात्रा पूरी नहीं की है।")</f>
        <v>आपने अभी तक कोई यात्रा पूरी नहीं की है।</v>
      </c>
      <c r="E215" s="6" t="str">
        <f>IFERROR(__xludf.DUMMYFUNCTION("GOOGLETRANSLATE(B215, ""en"", ""kn"")"),"ನೀವು ಇನ್ನೂ ಯಾವುದೇ ಪ್ರವಾಸಗಳನ್ನು ಪೂರ್ಣಗೊಳಿಸಿಲ್ಲ.")</f>
        <v>ನೀವು ಇನ್ನೂ ಯಾವುದೇ ಪ್ರವಾಸಗಳನ್ನು ಪೂರ್ಣಗೊಳಿಸಿಲ್ಲ.</v>
      </c>
      <c r="F215" s="7" t="str">
        <f>IFERROR(__xludf.DUMMYFUNCTION("GOOGLETRANSLATE(B215, ""en"", ""ml"")"),"നിങ്ങൾ ഇതുവരെ ഒരു യാത്രയും പൂർത്തിയാക്കിയിട്ടില്ല.")</f>
        <v>നിങ്ങൾ ഇതുവരെ ഒരു യാത്രയും പൂർത്തിയാക്കിയിട്ടില്ല.</v>
      </c>
      <c r="G215" s="7" t="str">
        <f>IFERROR(__xludf.DUMMYFUNCTION("GOOGLETRANSLATE(B215, ""en"", ""te"")"),"మీరు ఇంకా ఏ ప్రయాణాలను పూర్తి చేయలేదు.")</f>
        <v>మీరు ఇంకా ఏ ప్రయాణాలను పూర్తి చేయలేదు.</v>
      </c>
    </row>
    <row r="216">
      <c r="A216" s="4" t="s">
        <v>421</v>
      </c>
      <c r="B216" s="5" t="s">
        <v>422</v>
      </c>
      <c r="C216" s="6" t="str">
        <f>IFERROR(__xludf.DUMMYFUNCTION("GOOGLETRANSLATE(B216, ""en"", ""ta"")"),"மேலும் பயணங்களை ஏற்றுகிறது...")</f>
        <v>மேலும் பயணங்களை ஏற்றுகிறது...</v>
      </c>
      <c r="D216" s="6" t="str">
        <f>IFERROR(__xludf.DUMMYFUNCTION("GOOGLETRANSLATE(B216, ""en"", ""hi"")"),"और भी ट्रिप लोड हो रही हैं...")</f>
        <v>और भी ट्रिप लोड हो रही हैं...</v>
      </c>
      <c r="E216" s="6" t="str">
        <f>IFERROR(__xludf.DUMMYFUNCTION("GOOGLETRANSLATE(B216, ""en"", ""kn"")"),"ಇನ್ನಷ್ಟು ಪ್ರವಾಸಗಳನ್ನು ಲೋಡ್ ಮಾಡಲಾಗುತ್ತಿದೆ...")</f>
        <v>ಇನ್ನಷ್ಟು ಪ್ರವಾಸಗಳನ್ನು ಲೋಡ್ ಮಾಡಲಾಗುತ್ತಿದೆ...</v>
      </c>
      <c r="F216" s="7" t="str">
        <f>IFERROR(__xludf.DUMMYFUNCTION("GOOGLETRANSLATE(B216, ""en"", ""ml"")"),"കൂടുതൽ യാത്രകൾ ലോഡ് ചെയ്യുന്നു...")</f>
        <v>കൂടുതൽ യാത്രകൾ ലോഡ് ചെയ്യുന്നു...</v>
      </c>
      <c r="G216" s="7" t="str">
        <f>IFERROR(__xludf.DUMMYFUNCTION("GOOGLETRANSLATE(B216, ""en"", ""te"")"),"మరిన్ని ట్రిప్‌లను లోడ్ చేస్తోంది...")</f>
        <v>మరిన్ని ట్రిప్‌లను లోడ్ చేస్తోంది...</v>
      </c>
    </row>
    <row r="217">
      <c r="A217" s="4" t="s">
        <v>423</v>
      </c>
      <c r="B217" s="5" t="s">
        <v>424</v>
      </c>
      <c r="C217" s="6" t="str">
        <f>IFERROR(__xludf.DUMMYFUNCTION("GOOGLETRANSLATE(B217, ""en"", ""ta"")"),"விவரங்களைப் பார்")</f>
        <v>விவரங்களைப் பார்</v>
      </c>
      <c r="D217" s="6" t="str">
        <f>IFERROR(__xludf.DUMMYFUNCTION("GOOGLETRANSLATE(B217, ""en"", ""hi"")"),"विवरण देखें")</f>
        <v>विवरण देखें</v>
      </c>
      <c r="E217" s="6" t="str">
        <f>IFERROR(__xludf.DUMMYFUNCTION("GOOGLETRANSLATE(B217, ""en"", ""kn"")"),"ವಿವರಗಳು ವೀಕ್ಷಿಸಿ")</f>
        <v>ವಿವರಗಳು ವೀಕ್ಷಿಸಿ</v>
      </c>
      <c r="F217" s="7" t="str">
        <f>IFERROR(__xludf.DUMMYFUNCTION("GOOGLETRANSLATE(B217, ""en"", ""ml"")"),"വിശദാംശങ്ങൾ കാണുക")</f>
        <v>വിശദാംശങ്ങൾ കാണുക</v>
      </c>
      <c r="G217" s="7" t="str">
        <f>IFERROR(__xludf.DUMMYFUNCTION("GOOGLETRANSLATE(B217, ""en"", ""te"")"),"వివరాలు చూడండి")</f>
        <v>వివరాలు చూడండి</v>
      </c>
    </row>
    <row r="218">
      <c r="A218" s="4" t="s">
        <v>425</v>
      </c>
      <c r="B218" s="5" t="s">
        <v>426</v>
      </c>
      <c r="C218" s="6" t="str">
        <f>IFERROR(__xludf.DUMMYFUNCTION("GOOGLETRANSLATE(B218, ""en"", ""ta"")"),"முடிவு இடம்")</f>
        <v>முடிவு இடம்</v>
      </c>
      <c r="D218" s="6" t="str">
        <f>IFERROR(__xludf.DUMMYFUNCTION("GOOGLETRANSLATE(B218, ""en"", ""hi"")"),"अंतिम स्थान")</f>
        <v>अंतिम स्थान</v>
      </c>
      <c r="E218" s="6" t="str">
        <f>IFERROR(__xludf.DUMMYFUNCTION("GOOGLETRANSLATE(B218, ""en"", ""kn"")"),"ಸ್ಥಳ ಅಂತ್ಯ")</f>
        <v>ಸ್ಥಳ ಅಂತ್ಯ</v>
      </c>
      <c r="F218" s="7" t="str">
        <f>IFERROR(__xludf.DUMMYFUNCTION("GOOGLETRANSLATE(B218, ""en"", ""ml"")"),"അവസാന സ്ഥലം")</f>
        <v>അവസാന സ്ഥലം</v>
      </c>
      <c r="G218" s="7" t="str">
        <f>IFERROR(__xludf.DUMMYFUNCTION("GOOGLETRANSLATE(B218, ""en"", ""te"")"),"స్థానం ముగింపు")</f>
        <v>స్థానం ముగింపు</v>
      </c>
    </row>
    <row r="219">
      <c r="A219" s="4" t="s">
        <v>427</v>
      </c>
      <c r="B219" s="5" t="s">
        <v>428</v>
      </c>
      <c r="C219" s="6" t="str">
        <f>IFERROR(__xludf.DUMMYFUNCTION("GOOGLETRANSLATE(B219, ""en"", ""ta"")"),"தொடக்க இடம்")</f>
        <v>தொடக்க இடம்</v>
      </c>
      <c r="D219" s="6" t="str">
        <f>IFERROR(__xludf.DUMMYFUNCTION("GOOGLETRANSLATE(B219, ""en"", ""hi"")"),"आरंभिक स्थान")</f>
        <v>आरंभिक स्थान</v>
      </c>
      <c r="E219" s="6" t="str">
        <f>IFERROR(__xludf.DUMMYFUNCTION("GOOGLETRANSLATE(B219, ""en"", ""kn"")"),"ಸ್ಥಳ ಪ್ರಾರಂಭಿಸಿ")</f>
        <v>ಸ್ಥಳ ಪ್ರಾರಂಭಿಸಿ</v>
      </c>
      <c r="F219" s="7" t="str">
        <f>IFERROR(__xludf.DUMMYFUNCTION("GOOGLETRANSLATE(B219, ""en"", ""ml"")"),"ആരംഭ സ്ഥലം")</f>
        <v>ആരംഭ സ്ഥലം</v>
      </c>
      <c r="G219" s="7" t="str">
        <f>IFERROR(__xludf.DUMMYFUNCTION("GOOGLETRANSLATE(B219, ""en"", ""te"")"),"ప్రారంభ స్థానం")</f>
        <v>ప్రారంభ స్థానం</v>
      </c>
    </row>
    <row r="220">
      <c r="A220" s="4" t="s">
        <v>429</v>
      </c>
      <c r="B220" s="5" t="s">
        <v>430</v>
      </c>
      <c r="C220" s="6" t="str">
        <f>IFERROR(__xludf.DUMMYFUNCTION("GOOGLETRANSLATE(B220, ""en"", ""ta"")"),"நிலையைத் தேர்ந்தெடுக்கவும்")</f>
        <v>நிலையைத் தேர்ந்தெடுக்கவும்</v>
      </c>
      <c r="D220" s="6" t="str">
        <f>IFERROR(__xludf.DUMMYFUNCTION("GOOGLETRANSLATE(B220, ""en"", ""hi"")"),"स्थिति का चयन करें")</f>
        <v>स्थिति का चयन करें</v>
      </c>
      <c r="E220" s="6" t="str">
        <f>IFERROR(__xludf.DUMMYFUNCTION("GOOGLETRANSLATE(B220, ""en"", ""kn"")"),"ಸ್ಥಿತಿ ಆಯ್ಕೆಮಾಡಿ")</f>
        <v>ಸ್ಥಿತಿ ಆಯ್ಕೆಮಾಡಿ</v>
      </c>
      <c r="F220" s="7" t="str">
        <f>IFERROR(__xludf.DUMMYFUNCTION("GOOGLETRANSLATE(B220, ""en"", ""ml"")"),"സ്റ്റാറ്റസ് തിരഞ്ഞെടുക്കുക")</f>
        <v>സ്റ്റാറ്റസ് തിരഞ്ഞെടുക്കുക</v>
      </c>
      <c r="G220" s="7" t="str">
        <f>IFERROR(__xludf.DUMMYFUNCTION("GOOGLETRANSLATE(B220, ""en"", ""te"")"),"స్థితిని ఎంచుకోండి")</f>
        <v>స్థితిని ఎంచుకోండి</v>
      </c>
    </row>
    <row r="221">
      <c r="A221" s="4" t="s">
        <v>431</v>
      </c>
      <c r="B221" s="5" t="s">
        <v>432</v>
      </c>
      <c r="C221" s="6" t="str">
        <f>IFERROR(__xludf.DUMMYFUNCTION("GOOGLETRANSLATE(B221, ""en"", ""ta"")"),"தேதி வரம்பைத் தேர்ந்தெடுக்கவும்")</f>
        <v>தேதி வரம்பைத் தேர்ந்தெடுக்கவும்</v>
      </c>
      <c r="D221" s="6" t="str">
        <f>IFERROR(__xludf.DUMMYFUNCTION("GOOGLETRANSLATE(B221, ""en"", ""hi"")"),"दिनांक सीमा चुनें")</f>
        <v>दिनांक सीमा चुनें</v>
      </c>
      <c r="E221" s="6" t="str">
        <f>IFERROR(__xludf.DUMMYFUNCTION("GOOGLETRANSLATE(B221, ""en"", ""kn"")"),"ದಿನಾಂಕ ಶ್ರೇಣಿಯನ್ನು ಆಯ್ಕೆಮಾಡಿ")</f>
        <v>ದಿನಾಂಕ ಶ್ರೇಣಿಯನ್ನು ಆಯ್ಕೆಮಾಡಿ</v>
      </c>
      <c r="F221" s="7" t="str">
        <f>IFERROR(__xludf.DUMMYFUNCTION("GOOGLETRANSLATE(B221, ""en"", ""ml"")"),"തീയതി ശ്രേണി തിരഞ്ഞെടുക്കുക")</f>
        <v>തീയതി ശ്രേണി തിരഞ്ഞെടുക്കുക</v>
      </c>
      <c r="G221" s="7" t="str">
        <f>IFERROR(__xludf.DUMMYFUNCTION("GOOGLETRANSLATE(B221, ""en"", ""te"")"),"తేదీ పరిధిని ఎంచుకోండి")</f>
        <v>తేదీ పరిధిని ఎంచుకోండి</v>
      </c>
    </row>
    <row r="222">
      <c r="A222" s="4" t="s">
        <v>433</v>
      </c>
      <c r="B222" s="5" t="s">
        <v>434</v>
      </c>
      <c r="C222" s="6" t="str">
        <f>IFERROR(__xludf.DUMMYFUNCTION("GOOGLETRANSLATE(B222, ""en"", ""ta"")"),"மொத்த பயணங்கள்")</f>
        <v>மொத்த பயணங்கள்</v>
      </c>
      <c r="D222" s="6" t="str">
        <f>IFERROR(__xludf.DUMMYFUNCTION("GOOGLETRANSLATE(B222, ""en"", ""hi"")"),"कुल यात्राएँ")</f>
        <v>कुल यात्राएँ</v>
      </c>
      <c r="E222" s="6" t="str">
        <f>IFERROR(__xludf.DUMMYFUNCTION("GOOGLETRANSLATE(B222, ""en"", ""kn"")"),"ಒಟ್ಟು ಪ್ರವಾಸಗಳು")</f>
        <v>ಒಟ್ಟು ಪ್ರವಾಸಗಳು</v>
      </c>
      <c r="F222" s="7" t="str">
        <f>IFERROR(__xludf.DUMMYFUNCTION("GOOGLETRANSLATE(B222, ""en"", ""ml"")"),"ആകെ യാത്രകൾ")</f>
        <v>ആകെ യാത്രകൾ</v>
      </c>
      <c r="G222" s="7" t="str">
        <f>IFERROR(__xludf.DUMMYFUNCTION("GOOGLETRANSLATE(B222, ""en"", ""te"")"),"మొత్తం ట్రిప్పులు")</f>
        <v>మొత్తం ట్రిప్పులు</v>
      </c>
    </row>
    <row r="223">
      <c r="A223" s="4" t="s">
        <v>435</v>
      </c>
      <c r="B223" s="5" t="s">
        <v>436</v>
      </c>
      <c r="C223" s="6" t="str">
        <f>IFERROR(__xludf.DUMMYFUNCTION("GOOGLETRANSLATE(B223, ""en"", ""ta"")"),"மொத்த ஆன்லைன் நேரங்கள்")</f>
        <v>மொத்த ஆன்லைன் நேரங்கள்</v>
      </c>
      <c r="D223" s="6" t="str">
        <f>IFERROR(__xludf.DUMMYFUNCTION("GOOGLETRANSLATE(B223, ""en"", ""hi"")"),"कुल ऑनलाइन घंटे")</f>
        <v>कुल ऑनलाइन घंटे</v>
      </c>
      <c r="E223" s="6" t="str">
        <f>IFERROR(__xludf.DUMMYFUNCTION("GOOGLETRANSLATE(B223, ""en"", ""kn"")"),"ಒಟ್ಟು ಆನ್‌ಲೈನ್ ಗಂಟೆಗಳು")</f>
        <v>ಒಟ್ಟು ಆನ್‌ಲೈನ್ ಗಂಟೆಗಳು</v>
      </c>
      <c r="F223" s="7" t="str">
        <f>IFERROR(__xludf.DUMMYFUNCTION("GOOGLETRANSLATE(B223, ""en"", ""ml"")"),"ആകെ ഓൺലൈൻ മണിക്കൂറുകൾ")</f>
        <v>ആകെ ഓൺലൈൻ മണിക്കൂറുകൾ</v>
      </c>
      <c r="G223" s="7" t="str">
        <f>IFERROR(__xludf.DUMMYFUNCTION("GOOGLETRANSLATE(B223, ""en"", ""te"")"),"మొత్తం ఆన్‌లైన్ గంటలు")</f>
        <v>మొత్తం ఆన్‌లైన్ గంటలు</v>
      </c>
    </row>
    <row r="224">
      <c r="A224" s="4" t="s">
        <v>437</v>
      </c>
      <c r="B224" s="5" t="s">
        <v>438</v>
      </c>
      <c r="C224" s="6" t="str">
        <f>IFERROR(__xludf.DUMMYFUNCTION("GOOGLETRANSLATE(B224, ""en"", ""ta"")"),"செலுத்தப்பட்ட தொகை")</f>
        <v>செலுத்தப்பட்ட தொகை</v>
      </c>
      <c r="D224" s="6" t="str">
        <f>IFERROR(__xludf.DUMMYFUNCTION("GOOGLETRANSLATE(B224, ""en"", ""hi"")"),"चुकाई गई राशि")</f>
        <v>चुकाई गई राशि</v>
      </c>
      <c r="E224" s="6" t="str">
        <f>IFERROR(__xludf.DUMMYFUNCTION("GOOGLETRANSLATE(B224, ""en"", ""kn"")"),"ಪಾವತಿಸಿದ ಮೊತ್ತ")</f>
        <v>ಪಾವತಿಸಿದ ಮೊತ್ತ</v>
      </c>
      <c r="F224" s="7" t="str">
        <f>IFERROR(__xludf.DUMMYFUNCTION("GOOGLETRANSLATE(B224, ""en"", ""ml"")"),"അടച്ച തുക")</f>
        <v>അടച്ച തുക</v>
      </c>
      <c r="G224" s="7" t="str">
        <f>IFERROR(__xludf.DUMMYFUNCTION("GOOGLETRANSLATE(B224, ""en"", ""te"")"),"చెల్లించిన మొత్తం")</f>
        <v>చెల్లించిన మొత్తం</v>
      </c>
    </row>
    <row r="225">
      <c r="A225" s="4" t="s">
        <v>439</v>
      </c>
      <c r="B225" s="5" t="s">
        <v>440</v>
      </c>
      <c r="C225" s="6" t="str">
        <f>IFERROR(__xludf.DUMMYFUNCTION("GOOGLETRANSLATE(B225, ""en"", ""ta"")"),"நிலுவைத் தொகை")</f>
        <v>நிலுவைத் தொகை</v>
      </c>
      <c r="D225" s="6" t="str">
        <f>IFERROR(__xludf.DUMMYFUNCTION("GOOGLETRANSLATE(B225, ""en"", ""hi"")"),"बकाया राशि")</f>
        <v>बकाया राशि</v>
      </c>
      <c r="E225" s="6" t="str">
        <f>IFERROR(__xludf.DUMMYFUNCTION("GOOGLETRANSLATE(B225, ""en"", ""kn"")"),"ಬಾಕಿ ಮೊತ್ತ")</f>
        <v>ಬಾಕಿ ಮೊತ್ತ</v>
      </c>
      <c r="F225" s="7" t="str">
        <f>IFERROR(__xludf.DUMMYFUNCTION("GOOGLETRANSLATE(B225, ""en"", ""ml"")"),"കുടിശ്ശിക തുക")</f>
        <v>കുടിശ്ശിക തുക</v>
      </c>
      <c r="G225" s="7" t="str">
        <f>IFERROR(__xludf.DUMMYFUNCTION("GOOGLETRANSLATE(B225, ""en"", ""te"")"),"బకాయి మొత్తం")</f>
        <v>బకాయి మొత్తం</v>
      </c>
    </row>
    <row r="226">
      <c r="A226" s="4" t="s">
        <v>441</v>
      </c>
      <c r="B226" s="5" t="s">
        <v>442</v>
      </c>
      <c r="C226" s="6" t="str">
        <f>IFERROR(__xludf.DUMMYFUNCTION("GOOGLETRANSLATE(B226, ""en"", ""ta"")"),"மொத்த வருவாய்")</f>
        <v>மொத்த வருவாய்</v>
      </c>
      <c r="D226" s="6" t="str">
        <f>IFERROR(__xludf.DUMMYFUNCTION("GOOGLETRANSLATE(B226, ""en"", ""hi"")"),"कुल कमाई")</f>
        <v>कुल कमाई</v>
      </c>
      <c r="E226" s="6" t="str">
        <f>IFERROR(__xludf.DUMMYFUNCTION("GOOGLETRANSLATE(B226, ""en"", ""kn"")"),"ಒಟ್ಟು ಗಳಿಕೆಗಳು")</f>
        <v>ಒಟ್ಟು ಗಳಿಕೆಗಳು</v>
      </c>
      <c r="F226" s="7" t="str">
        <f>IFERROR(__xludf.DUMMYFUNCTION("GOOGLETRANSLATE(B226, ""en"", ""ml"")"),"ആകെ വരുമാനം")</f>
        <v>ആകെ വരുമാനം</v>
      </c>
      <c r="G226" s="7" t="str">
        <f>IFERROR(__xludf.DUMMYFUNCTION("GOOGLETRANSLATE(B226, ""en"", ""te"")"),"మొత్తం ఆదాయాలు")</f>
        <v>మొత్తం ఆదాయాలు</v>
      </c>
    </row>
    <row r="227">
      <c r="A227" s="4" t="s">
        <v>443</v>
      </c>
      <c r="B227" s="5" t="s">
        <v>444</v>
      </c>
      <c r="C227" s="6" t="str">
        <f>IFERROR(__xludf.DUMMYFUNCTION("GOOGLETRANSLATE(B227, ""en"", ""ta"")"),"நிலுவைத் தொகையைச் செலுத்துங்கள்")</f>
        <v>நிலுவைத் தொகையைச் செலுத்துங்கள்</v>
      </c>
      <c r="D227" s="6" t="str">
        <f>IFERROR(__xludf.DUMMYFUNCTION("GOOGLETRANSLATE(B227, ""en"", ""hi"")"),"देय राशि का भुगतान करें")</f>
        <v>देय राशि का भुगतान करें</v>
      </c>
      <c r="E227" s="6" t="str">
        <f>IFERROR(__xludf.DUMMYFUNCTION("GOOGLETRANSLATE(B227, ""en"", ""kn"")"),"ಬಾಕಿ ಮೊತ್ತವನ್ನು ಪಾವತಿಸಿ")</f>
        <v>ಬಾಕಿ ಮೊತ್ತವನ್ನು ಪಾವತಿಸಿ</v>
      </c>
      <c r="F227" s="7" t="str">
        <f>IFERROR(__xludf.DUMMYFUNCTION("GOOGLETRANSLATE(B227, ""en"", ""ml"")"),"കുടിശ്ശിക തുക അടയ്ക്കുക")</f>
        <v>കുടിശ്ശിക തുക അടയ്ക്കുക</v>
      </c>
      <c r="G227" s="7" t="str">
        <f>IFERROR(__xludf.DUMMYFUNCTION("GOOGLETRANSLATE(B227, ""en"", ""te"")"),"బకాయి మొత్తాన్ని చెల్లించండి")</f>
        <v>బకాయి మొత్తాన్ని చెల్లించండి</v>
      </c>
    </row>
    <row r="228">
      <c r="A228" s="4" t="s">
        <v>445</v>
      </c>
      <c r="B228" s="5" t="s">
        <v>446</v>
      </c>
      <c r="C228" s="6" t="str">
        <f>IFERROR(__xludf.DUMMYFUNCTION("GOOGLETRANSLATE(B228, ""en"", ""ta"")"),"அடுத்த நிலுவைத் தேதி")</f>
        <v>அடுத்த நிலுவைத் தேதி</v>
      </c>
      <c r="D228" s="6" t="str">
        <f>IFERROR(__xludf.DUMMYFUNCTION("GOOGLETRANSLATE(B228, ""en"", ""hi"")"),"अगली नियत तिथि")</f>
        <v>अगली नियत तिथि</v>
      </c>
      <c r="E228" s="6" t="str">
        <f>IFERROR(__xludf.DUMMYFUNCTION("GOOGLETRANSLATE(B228, ""en"", ""kn"")"),"ಮುಂದಿನ ಅಂತಿಮ ದಿನಾಂಕ")</f>
        <v>ಮುಂದಿನ ಅಂತಿಮ ದಿನಾಂಕ</v>
      </c>
      <c r="F228" s="7" t="str">
        <f>IFERROR(__xludf.DUMMYFUNCTION("GOOGLETRANSLATE(B228, ""en"", ""ml"")"),"അടുത്ത അവസാന തീയതി")</f>
        <v>അടുത്ത അവസാന തീയതി</v>
      </c>
      <c r="G228" s="7" t="str">
        <f>IFERROR(__xludf.DUMMYFUNCTION("GOOGLETRANSLATE(B228, ""en"", ""te"")"),"తదుపరి గడువు తేదీ")</f>
        <v>తదుపరి గడువు తేదీ</v>
      </c>
    </row>
    <row r="229">
      <c r="A229" s="4" t="s">
        <v>447</v>
      </c>
      <c r="B229" s="5" t="s">
        <v>448</v>
      </c>
      <c r="C229" s="6" t="str">
        <f>IFERROR(__xludf.DUMMYFUNCTION("GOOGLETRANSLATE(B229, ""en"", ""ta"")"),"இப்போதே பணம் செலுத்துங்கள்")</f>
        <v>இப்போதே பணம் செலுத்துங்கள்</v>
      </c>
      <c r="D229" s="6" t="str">
        <f>IFERROR(__xludf.DUMMYFUNCTION("GOOGLETRANSLATE(B229, ""en"", ""hi"")"),"अब भुगतान करें")</f>
        <v>अब भुगतान करें</v>
      </c>
      <c r="E229" s="6" t="str">
        <f>IFERROR(__xludf.DUMMYFUNCTION("GOOGLETRANSLATE(B229, ""en"", ""kn"")"),"ಈಗಲೇ ಪಾವತಿಸಿ")</f>
        <v>ಈಗಲೇ ಪಾವತಿಸಿ</v>
      </c>
      <c r="F229" s="7" t="str">
        <f>IFERROR(__xludf.DUMMYFUNCTION("GOOGLETRANSLATE(B229, ""en"", ""ml"")"),"ഇപ്പോൾ പണമടയ്‌ക്കുക")</f>
        <v>ഇപ്പോൾ പണമടയ്‌ക്കുക</v>
      </c>
      <c r="G229" s="7" t="str">
        <f>IFERROR(__xludf.DUMMYFUNCTION("GOOGLETRANSLATE(B229, ""en"", ""te"")"),"ఇప్పుడే చెల్లించండి")</f>
        <v>ఇప్పుడే చెల్లించండి</v>
      </c>
    </row>
    <row r="230">
      <c r="A230" s="4" t="s">
        <v>387</v>
      </c>
      <c r="B230" s="5" t="s">
        <v>388</v>
      </c>
      <c r="C230" s="6" t="str">
        <f>IFERROR(__xludf.DUMMYFUNCTION("GOOGLETRANSLATE(B230, ""en"", ""ta"")"),"வருவாய்")</f>
        <v>வருவாய்</v>
      </c>
      <c r="D230" s="6" t="str">
        <f>IFERROR(__xludf.DUMMYFUNCTION("GOOGLETRANSLATE(B230, ""en"", ""hi"")"),"आय")</f>
        <v>आय</v>
      </c>
      <c r="E230" s="6" t="str">
        <f>IFERROR(__xludf.DUMMYFUNCTION("GOOGLETRANSLATE(B230, ""en"", ""kn"")"),"ಗಳಿಕೆಗಳು")</f>
        <v>ಗಳಿಕೆಗಳು</v>
      </c>
      <c r="F230" s="7" t="str">
        <f>IFERROR(__xludf.DUMMYFUNCTION("GOOGLETRANSLATE(B230, ""en"", ""ml"")"),"വരുമാനം")</f>
        <v>വരുമാനം</v>
      </c>
      <c r="G230" s="7" t="str">
        <f>IFERROR(__xludf.DUMMYFUNCTION("GOOGLETRANSLATE(B230, ""en"", ""te"")"),"ఆదాయాలు")</f>
        <v>ఆదాయాలు</v>
      </c>
    </row>
    <row r="231">
      <c r="A231" s="4" t="s">
        <v>449</v>
      </c>
      <c r="B231" s="5" t="s">
        <v>450</v>
      </c>
      <c r="C231" s="6" t="str">
        <f>IFERROR(__xludf.DUMMYFUNCTION("GOOGLETRANSLATE(B231, ""en"", ""ta"")"),"பரிவர்த்தனைகள்")</f>
        <v>பரிவர்த்தனைகள்</v>
      </c>
      <c r="D231" s="6" t="str">
        <f>IFERROR(__xludf.DUMMYFUNCTION("GOOGLETRANSLATE(B231, ""en"", ""hi"")"),"लेनदेन")</f>
        <v>लेनदेन</v>
      </c>
      <c r="E231" s="6" t="str">
        <f>IFERROR(__xludf.DUMMYFUNCTION("GOOGLETRANSLATE(B231, ""en"", ""kn"")"),"ವಹಿವಾಟುಗಳು")</f>
        <v>ವಹಿವಾಟುಗಳು</v>
      </c>
      <c r="F231" s="7" t="str">
        <f>IFERROR(__xludf.DUMMYFUNCTION("GOOGLETRANSLATE(B231, ""en"", ""ml"")"),"ഇടപാടുകൾ")</f>
        <v>ഇടപാടുകൾ</v>
      </c>
      <c r="G231" s="7" t="str">
        <f>IFERROR(__xludf.DUMMYFUNCTION("GOOGLETRANSLATE(B231, ""en"", ""te"")"),"లావాదేవీలు")</f>
        <v>లావాదేవీలు</v>
      </c>
    </row>
    <row r="232">
      <c r="A232" s="4" t="s">
        <v>103</v>
      </c>
      <c r="B232" s="5" t="s">
        <v>104</v>
      </c>
      <c r="C232" s="6" t="str">
        <f>IFERROR(__xludf.DUMMYFUNCTION("GOOGLETRANSLATE(B232, ""en"", ""ta"")"),"வாகன வகை")</f>
        <v>வாகன வகை</v>
      </c>
      <c r="D232" s="6" t="str">
        <f>IFERROR(__xludf.DUMMYFUNCTION("GOOGLETRANSLATE(B232, ""en"", ""hi"")"),"वाहन का प्रकार")</f>
        <v>वाहन का प्रकार</v>
      </c>
      <c r="E232" s="6" t="str">
        <f>IFERROR(__xludf.DUMMYFUNCTION("GOOGLETRANSLATE(B232, ""en"", ""kn"")"),"ವಾಹನದ ಪ್ರಕಾರ")</f>
        <v>ವಾಹನದ ಪ್ರಕಾರ</v>
      </c>
      <c r="F232" s="7" t="str">
        <f>IFERROR(__xludf.DUMMYFUNCTION("GOOGLETRANSLATE(B232, ""en"", ""ml"")"),"വാഹന തരം")</f>
        <v>വാഹന തരം</v>
      </c>
      <c r="G232" s="7" t="str">
        <f>IFERROR(__xludf.DUMMYFUNCTION("GOOGLETRANSLATE(B232, ""en"", ""te"")"),"వాహన రకం")</f>
        <v>వాహన రకం</v>
      </c>
    </row>
    <row r="233">
      <c r="A233" s="4" t="s">
        <v>451</v>
      </c>
      <c r="B233" s="5" t="s">
        <v>452</v>
      </c>
      <c r="C233" s="6" t="str">
        <f>IFERROR(__xludf.DUMMYFUNCTION("GOOGLETRANSLATE(B233, ""en"", ""ta"")"),"பயணிகள் கட்டணம்")</f>
        <v>பயணிகள் கட்டணம்</v>
      </c>
      <c r="D233" s="6" t="str">
        <f>IFERROR(__xludf.DUMMYFUNCTION("GOOGLETRANSLATE(B233, ""en"", ""hi"")"),"यात्री भुगतान")</f>
        <v>यात्री भुगतान</v>
      </c>
      <c r="E233" s="6" t="str">
        <f>IFERROR(__xludf.DUMMYFUNCTION("GOOGLETRANSLATE(B233, ""en"", ""kn"")"),"ಪ್ಯಾಸೆಂಜರ್ ಪಾವತಿ")</f>
        <v>ಪ್ಯಾಸೆಂಜರ್ ಪಾವತಿ</v>
      </c>
      <c r="F233" s="7" t="str">
        <f>IFERROR(__xludf.DUMMYFUNCTION("GOOGLETRANSLATE(B233, ""en"", ""ml"")"),"പാസഞ്ചർ പേയ്‌മെന്റ്")</f>
        <v>പാസഞ്ചർ പേയ്‌മെന്റ്</v>
      </c>
      <c r="G233" s="7" t="str">
        <f>IFERROR(__xludf.DUMMYFUNCTION("GOOGLETRANSLATE(B233, ""en"", ""te"")"),"ప్యాసింజర్ చెల్లింపు")</f>
        <v>ప్యాసింజర్ చెల్లింపు</v>
      </c>
    </row>
    <row r="234">
      <c r="A234" s="4" t="s">
        <v>453</v>
      </c>
      <c r="B234" s="5" t="s">
        <v>454</v>
      </c>
      <c r="C234" s="6" t="str">
        <f>IFERROR(__xludf.DUMMYFUNCTION("GOOGLETRANSLATE(B234, ""en"", ""ta"")"),"நிலுவைத் தொகை")</f>
        <v>நிலுவைத் தொகை</v>
      </c>
      <c r="D234" s="6" t="str">
        <f>IFERROR(__xludf.DUMMYFUNCTION("GOOGLETRANSLATE(B234, ""en"", ""hi"")"),"नियत स्थिति")</f>
        <v>नियत स्थिति</v>
      </c>
      <c r="E234" s="6" t="str">
        <f>IFERROR(__xludf.DUMMYFUNCTION("GOOGLETRANSLATE(B234, ""en"", ""kn"")"),"ಬಾಕಿ ಸ್ಥಿತಿ")</f>
        <v>ಬಾಕಿ ಸ್ಥಿತಿ</v>
      </c>
      <c r="F234" s="7" t="str">
        <f>IFERROR(__xludf.DUMMYFUNCTION("GOOGLETRANSLATE(B234, ""en"", ""ml"")"),"ഡ്യൂ സ്റ്റാറ്റസ്")</f>
        <v>ഡ്യൂ സ്റ്റാറ്റസ്</v>
      </c>
      <c r="G234" s="7" t="str">
        <f>IFERROR(__xludf.DUMMYFUNCTION("GOOGLETRANSLATE(B234, ""en"", ""te"")"),"గడువు స్థితి")</f>
        <v>గడువు స్థితి</v>
      </c>
    </row>
    <row r="235">
      <c r="A235" s="4" t="s">
        <v>455</v>
      </c>
      <c r="B235" s="5" t="s">
        <v>456</v>
      </c>
      <c r="C235" s="6" t="str">
        <f>IFERROR(__xludf.DUMMYFUNCTION("GOOGLETRANSLATE(B235, ""en"", ""ta"")"),"கூடுதல் கட்டணங்களை ஏற்றுகிறது...")</f>
        <v>கூடுதல் கட்டணங்களை ஏற்றுகிறது...</v>
      </c>
      <c r="D235" s="6" t="str">
        <f>IFERROR(__xludf.DUMMYFUNCTION("GOOGLETRANSLATE(B235, ""en"", ""hi"")"),"और भुगतान लोड हो रहे हैं...")</f>
        <v>और भुगतान लोड हो रहे हैं...</v>
      </c>
      <c r="E235" s="6" t="str">
        <f>IFERROR(__xludf.DUMMYFUNCTION("GOOGLETRANSLATE(B235, ""en"", ""kn"")"),"ಇನ್ನಷ್ಟು ಪಾವತಿಗಳನ್ನು ಲೋಡ್ ಮಾಡಲಾಗುತ್ತಿದೆ...")</f>
        <v>ಇನ್ನಷ್ಟು ಪಾವತಿಗಳನ್ನು ಲೋಡ್ ಮಾಡಲಾಗುತ್ತಿದೆ...</v>
      </c>
      <c r="F235" s="7" t="str">
        <f>IFERROR(__xludf.DUMMYFUNCTION("GOOGLETRANSLATE(B235, ""en"", ""ml"")"),"കൂടുതൽ പേയ്‌മെന്റുകൾ ലോഡ് ചെയ്യുന്നു...")</f>
        <v>കൂടുതൽ പേയ്‌മെന്റുകൾ ലോഡ് ചെയ്യുന്നു...</v>
      </c>
      <c r="G235" s="7" t="str">
        <f>IFERROR(__xludf.DUMMYFUNCTION("GOOGLETRANSLATE(B235, ""en"", ""te"")"),"మరిన్ని చెల్లింపులు లోడ్ అవుతున్నాయి...")</f>
        <v>మరిన్ని చెల్లింపులు లోడ్ అవుతున్నాయి...</v>
      </c>
    </row>
    <row r="236">
      <c r="A236" s="4" t="s">
        <v>457</v>
      </c>
      <c r="B236" s="5" t="s">
        <v>458</v>
      </c>
      <c r="C236" s="6" t="str">
        <f>IFERROR(__xludf.DUMMYFUNCTION("GOOGLETRANSLATE(B236, ""en"", ""ta"")"),"பணம் எதுவும் கிடைக்கவில்லை.")</f>
        <v>பணம் எதுவும் கிடைக்கவில்லை.</v>
      </c>
      <c r="D236" s="6" t="str">
        <f>IFERROR(__xludf.DUMMYFUNCTION("GOOGLETRANSLATE(B236, ""en"", ""hi"")"),"कोई भुगतान नहीं मिला")</f>
        <v>कोई भुगतान नहीं मिला</v>
      </c>
      <c r="E236" s="6" t="str">
        <f>IFERROR(__xludf.DUMMYFUNCTION("GOOGLETRANSLATE(B236, ""en"", ""kn"")"),"ಯಾವುದೇ ಪಾವತಿಗಳು ಕಂಡುಬಂದಿಲ್ಲ.")</f>
        <v>ಯಾವುದೇ ಪಾವತಿಗಳು ಕಂಡುಬಂದಿಲ್ಲ.</v>
      </c>
      <c r="F236" s="7" t="str">
        <f>IFERROR(__xludf.DUMMYFUNCTION("GOOGLETRANSLATE(B236, ""en"", ""ml"")"),"പേയ്‌മെന്റുകളൊന്നും കണ്ടെത്തിയില്ല")</f>
        <v>പേയ്‌മെന്റുകളൊന്നും കണ്ടെത്തിയില്ല</v>
      </c>
      <c r="G236" s="7" t="str">
        <f>IFERROR(__xludf.DUMMYFUNCTION("GOOGLETRANSLATE(B236, ""en"", ""te"")"),"చెల్లింపులు ఏవీ కనుగొనబడలేదు")</f>
        <v>చెల్లింపులు ఏవీ కనుగొనబడలేదు</v>
      </c>
    </row>
    <row r="237">
      <c r="A237" s="4" t="s">
        <v>459</v>
      </c>
      <c r="B237" s="5" t="s">
        <v>460</v>
      </c>
      <c r="C237" s="6" t="str">
        <f>IFERROR(__xludf.DUMMYFUNCTION("GOOGLETRANSLATE(B237, ""en"", ""ta"")"),"தேர்ந்தெடுத்த தேதி வரம்பிற்கு இன்னும் உங்களுக்கு எந்தப் பணப் பரிமாற்றமும் கிடைக்கவில்லை.")</f>
        <v>தேர்ந்தெடுத்த தேதி வரம்பிற்கு இன்னும் உங்களுக்கு எந்தப் பணப் பரிமாற்றமும் கிடைக்கவில்லை.</v>
      </c>
      <c r="D237" s="6" t="str">
        <f>IFERROR(__xludf.DUMMYFUNCTION("GOOGLETRANSLATE(B237, ""en"", ""hi"")"),"चुनी गई तिथि सीमा के लिए आपको अभी तक कोई भुगतान प्राप्त नहीं हुआ है।")</f>
        <v>चुनी गई तिथि सीमा के लिए आपको अभी तक कोई भुगतान प्राप्त नहीं हुआ है।</v>
      </c>
      <c r="E237" s="6" t="str">
        <f>IFERROR(__xludf.DUMMYFUNCTION("GOOGLETRANSLATE(B237, ""en"", ""kn"")"),"ಆಯ್ಕೆ ಮಾಡಿದ ದಿನಾಂಕ ಶ್ರೇಣಿಗೆ ನೀವು ಇನ್ನೂ ಯಾವುದೇ ಪಾವತಿಗಳನ್ನು ಸ್ವೀಕರಿಸಿಲ್ಲ.")</f>
        <v>ಆಯ್ಕೆ ಮಾಡಿದ ದಿನಾಂಕ ಶ್ರೇಣಿಗೆ ನೀವು ಇನ್ನೂ ಯಾವುದೇ ಪಾವತಿಗಳನ್ನು ಸ್ವೀಕರಿಸಿಲ್ಲ.</v>
      </c>
      <c r="F237" s="7" t="str">
        <f>IFERROR(__xludf.DUMMYFUNCTION("GOOGLETRANSLATE(B237, ""en"", ""ml"")"),"തിരഞ്ഞെടുത്ത തീയതി ശ്രേണിയിൽ നിങ്ങൾക്ക് ഇതുവരെ പേയ്‌മെന്റുകളൊന്നും ലഭിച്ചിട്ടില്ല.")</f>
        <v>തിരഞ്ഞെടുത്ത തീയതി ശ്രേണിയിൽ നിങ്ങൾക്ക് ഇതുവരെ പേയ്‌മെന്റുകളൊന്നും ലഭിച്ചിട്ടില്ല.</v>
      </c>
      <c r="G237" s="7" t="str">
        <f>IFERROR(__xludf.DUMMYFUNCTION("GOOGLETRANSLATE(B237, ""en"", ""te"")"),"ఎంచుకున్న తేదీ పరిధికి మీకు ఇంకా చెల్లింపులు రాలేదు.")</f>
        <v>ఎంచుకున్న తేదీ పరిధికి మీకు ఇంకా చెల్లింపులు రాలేదు.</v>
      </c>
    </row>
    <row r="238">
      <c r="A238" s="4" t="s">
        <v>461</v>
      </c>
      <c r="B238" s="5" t="s">
        <v>462</v>
      </c>
      <c r="C238" s="6" t="str">
        <f>IFERROR(__xludf.DUMMYFUNCTION("GOOGLETRANSLATE(B238, ""en"", ""ta"")"),"தொகை")</f>
        <v>தொகை</v>
      </c>
      <c r="D238" s="6" t="str">
        <f>IFERROR(__xludf.DUMMYFUNCTION("GOOGLETRANSLATE(B238, ""en"", ""hi"")"),"मात्रा")</f>
        <v>मात्रा</v>
      </c>
      <c r="E238" s="6" t="str">
        <f>IFERROR(__xludf.DUMMYFUNCTION("GOOGLETRANSLATE(B238, ""en"", ""kn"")"),"ಮೊತ್ತ")</f>
        <v>ಮೊತ್ತ</v>
      </c>
      <c r="F238" s="7" t="str">
        <f>IFERROR(__xludf.DUMMYFUNCTION("GOOGLETRANSLATE(B238, ""en"", ""ml"")"),"തുക")</f>
        <v>തുക</v>
      </c>
      <c r="G238" s="7" t="str">
        <f>IFERROR(__xludf.DUMMYFUNCTION("GOOGLETRANSLATE(B238, ""en"", ""te"")"),"మొత్తం")</f>
        <v>మొత్తం</v>
      </c>
    </row>
    <row r="239">
      <c r="A239" s="4" t="s">
        <v>463</v>
      </c>
      <c r="B239" s="5" t="s">
        <v>464</v>
      </c>
      <c r="C239" s="6" t="str">
        <f>IFERROR(__xludf.DUMMYFUNCTION("GOOGLETRANSLATE(B239, ""en"", ""ta"")"),"நாணயம்")</f>
        <v>நாணயம்</v>
      </c>
      <c r="D239" s="6" t="str">
        <f>IFERROR(__xludf.DUMMYFUNCTION("GOOGLETRANSLATE(B239, ""en"", ""hi"")"),"मुद्रा")</f>
        <v>मुद्रा</v>
      </c>
      <c r="E239" s="6" t="str">
        <f>IFERROR(__xludf.DUMMYFUNCTION("GOOGLETRANSLATE(B239, ""en"", ""kn"")"),"ಕರೆನ್ಸಿ")</f>
        <v>ಕರೆನ್ಸಿ</v>
      </c>
      <c r="F239" s="7" t="str">
        <f>IFERROR(__xludf.DUMMYFUNCTION("GOOGLETRANSLATE(B239, ""en"", ""ml"")"),"കറൻസി")</f>
        <v>കറൻസി</v>
      </c>
      <c r="G239" s="7" t="str">
        <f>IFERROR(__xludf.DUMMYFUNCTION("GOOGLETRANSLATE(B239, ""en"", ""te"")"),"కరెన్సీ")</f>
        <v>కరెన్సీ</v>
      </c>
    </row>
    <row r="240">
      <c r="A240" s="4" t="s">
        <v>465</v>
      </c>
      <c r="B240" s="5" t="s">
        <v>466</v>
      </c>
      <c r="C240" s="6" t="str">
        <f>IFERROR(__xludf.DUMMYFUNCTION("GOOGLETRANSLATE(B240, ""en"", ""ta"")"),"கட்டண ஐடி")</f>
        <v>கட்டண ஐடி</v>
      </c>
      <c r="D240" s="6" t="str">
        <f>IFERROR(__xludf.DUMMYFUNCTION("GOOGLETRANSLATE(B240, ""en"", ""hi"")"),"भुगतान आईडी")</f>
        <v>भुगतान आईडी</v>
      </c>
      <c r="E240" s="6" t="str">
        <f>IFERROR(__xludf.DUMMYFUNCTION("GOOGLETRANSLATE(B240, ""en"", ""kn"")"),"ಪಾವತಿ ಐಡಿ")</f>
        <v>ಪಾವತಿ ಐಡಿ</v>
      </c>
      <c r="F240" s="7" t="str">
        <f>IFERROR(__xludf.DUMMYFUNCTION("GOOGLETRANSLATE(B240, ""en"", ""ml"")"),"പേയ്‌മെന്റ് ഐഡി")</f>
        <v>പേയ്‌മെന്റ് ഐഡി</v>
      </c>
      <c r="G240" s="7" t="str">
        <f>IFERROR(__xludf.DUMMYFUNCTION("GOOGLETRANSLATE(B240, ""en"", ""te"")"),"చెల్లింపు ఐడి")</f>
        <v>చెల్లింపు ఐడి</v>
      </c>
    </row>
    <row r="241">
      <c r="A241" s="4" t="s">
        <v>467</v>
      </c>
      <c r="B241" s="5" t="s">
        <v>468</v>
      </c>
      <c r="C241" s="6" t="str">
        <f>IFERROR(__xludf.DUMMYFUNCTION("GOOGLETRANSLATE(B241, ""en"", ""ta"")"),"ரசீது")</f>
        <v>ரசீது</v>
      </c>
      <c r="D241" s="6" t="str">
        <f>IFERROR(__xludf.DUMMYFUNCTION("GOOGLETRANSLATE(B241, ""en"", ""hi"")"),"रसीद")</f>
        <v>रसीद</v>
      </c>
      <c r="E241" s="6" t="str">
        <f>IFERROR(__xludf.DUMMYFUNCTION("GOOGLETRANSLATE(B241, ""en"", ""kn"")"),"ರಶೀದಿ")</f>
        <v>ರಶೀದಿ</v>
      </c>
      <c r="F241" s="7" t="str">
        <f>IFERROR(__xludf.DUMMYFUNCTION("GOOGLETRANSLATE(B241, ""en"", ""ml"")"),"രസീത്")</f>
        <v>രസീത്</v>
      </c>
      <c r="G241" s="7" t="str">
        <f>IFERROR(__xludf.DUMMYFUNCTION("GOOGLETRANSLATE(B241, ""en"", ""te"")"),"రసీదు")</f>
        <v>రసీదు</v>
      </c>
    </row>
    <row r="242">
      <c r="A242" s="4" t="s">
        <v>469</v>
      </c>
      <c r="B242" s="5" t="s">
        <v>470</v>
      </c>
      <c r="C242" s="6" t="str">
        <f>IFERROR(__xludf.DUMMYFUNCTION("GOOGLETRANSLATE(B242, ""en"", ""ta"")"),"மேலும் பரிவர்த்தனைகளை ஏற்றுகிறது...")</f>
        <v>மேலும் பரிவர்த்தனைகளை ஏற்றுகிறது...</v>
      </c>
      <c r="D242" s="6" t="str">
        <f>IFERROR(__xludf.DUMMYFUNCTION("GOOGLETRANSLATE(B242, ""en"", ""hi"")"),"और लेन-देन लोड हो रहे हैं...")</f>
        <v>और लेन-देन लोड हो रहे हैं...</v>
      </c>
      <c r="E242" s="6" t="str">
        <f>IFERROR(__xludf.DUMMYFUNCTION("GOOGLETRANSLATE(B242, ""en"", ""kn"")"),"ಹೆಚ್ಚಿನ ವಹಿವಾಟುಗಳನ್ನು ಲೋಡ್ ಮಾಡಲಾಗುತ್ತಿದೆ...")</f>
        <v>ಹೆಚ್ಚಿನ ವಹಿವಾಟುಗಳನ್ನು ಲೋಡ್ ಮಾಡಲಾಗುತ್ತಿದೆ...</v>
      </c>
      <c r="F242" s="7" t="str">
        <f>IFERROR(__xludf.DUMMYFUNCTION("GOOGLETRANSLATE(B242, ""en"", ""ml"")"),"കൂടുതൽ ഇടപാടുകൾ ലോഡ് ചെയ്യുന്നു...")</f>
        <v>കൂടുതൽ ഇടപാടുകൾ ലോഡ് ചെയ്യുന്നു...</v>
      </c>
      <c r="G242" s="7" t="str">
        <f>IFERROR(__xludf.DUMMYFUNCTION("GOOGLETRANSLATE(B242, ""en"", ""te"")"),"మరిన్ని లావాదేవీలను లోడ్ చేస్తోంది...")</f>
        <v>మరిన్ని లావాదేవీలను లోడ్ చేస్తోంది...</v>
      </c>
    </row>
    <row r="243">
      <c r="A243" s="4" t="s">
        <v>471</v>
      </c>
      <c r="B243" s="5" t="s">
        <v>472</v>
      </c>
      <c r="C243" s="6" t="str">
        <f>IFERROR(__xludf.DUMMYFUNCTION("GOOGLETRANSLATE(B243, ""en"", ""ta"")"),"எந்தப் பரிவர்த்தனைகளும் இல்லை.")</f>
        <v>எந்தப் பரிவர்த்தனைகளும் இல்லை.</v>
      </c>
      <c r="D243" s="6" t="str">
        <f>IFERROR(__xludf.DUMMYFUNCTION("GOOGLETRANSLATE(B243, ""en"", ""hi"")"),"कोई परिणाम नहीं मिले")</f>
        <v>कोई परिणाम नहीं मिले</v>
      </c>
      <c r="E243" s="6" t="str">
        <f>IFERROR(__xludf.DUMMYFUNCTION("GOOGLETRANSLATE(B243, ""en"", ""kn"")"),"ಯಾವುದೇ ವಹಿವಾಟುಗಳು ಕಂಡುಬಂದಿಲ್ಲ.")</f>
        <v>ಯಾವುದೇ ವಹಿವಾಟುಗಳು ಕಂಡುಬಂದಿಲ್ಲ.</v>
      </c>
      <c r="F243" s="7" t="str">
        <f>IFERROR(__xludf.DUMMYFUNCTION("GOOGLETRANSLATE(B243, ""en"", ""ml"")"),"ഇടപാടുകളൊന്നും കണ്ടെത്തിയില്ല")</f>
        <v>ഇടപാടുകളൊന്നും കണ്ടെത്തിയില്ല</v>
      </c>
      <c r="G243" s="7" t="str">
        <f>IFERROR(__xludf.DUMMYFUNCTION("GOOGLETRANSLATE(B243, ""en"", ""te"")"),"లావాదేవీలు ఏవీ కనుగొనబడలేదు")</f>
        <v>లావాదేవీలు ఏవీ కనుగొనబడలేదు</v>
      </c>
    </row>
    <row r="244">
      <c r="A244" s="4" t="s">
        <v>473</v>
      </c>
      <c r="B244" s="5" t="s">
        <v>474</v>
      </c>
      <c r="C244" s="6" t="str">
        <f>IFERROR(__xludf.DUMMYFUNCTION("GOOGLETRANSLATE(B244, ""en"", ""ta"")"),"தேர்ந்தெடுத்த தேதி வரம்பிற்கு நீங்கள் இன்னும் எந்தப் பரிவர்த்தனைகளையும் செய்யவில்லை.")</f>
        <v>தேர்ந்தெடுத்த தேதி வரம்பிற்கு நீங்கள் இன்னும் எந்தப் பரிவர்த்தனைகளையும் செய்யவில்லை.</v>
      </c>
      <c r="D244" s="6" t="str">
        <f>IFERROR(__xludf.DUMMYFUNCTION("GOOGLETRANSLATE(B244, ""en"", ""hi"")"),"आपने चुनी गई तिथि सीमा के लिए अभी तक कोई लेन-देन नहीं किया है।")</f>
        <v>आपने चुनी गई तिथि सीमा के लिए अभी तक कोई लेन-देन नहीं किया है।</v>
      </c>
      <c r="E244" s="6" t="str">
        <f>IFERROR(__xludf.DUMMYFUNCTION("GOOGLETRANSLATE(B244, ""en"", ""kn"")"),"ಆಯ್ಕೆ ಮಾಡಿದ ದಿನಾಂಕ ವ್ಯಾಪ್ತಿಯಲ್ಲಿ ನೀವು ಇನ್ನೂ ಯಾವುದೇ ವಹಿವಾಟುಗಳನ್ನು ಮಾಡಿಲ್ಲ.")</f>
        <v>ಆಯ್ಕೆ ಮಾಡಿದ ದಿನಾಂಕ ವ್ಯಾಪ್ತಿಯಲ್ಲಿ ನೀವು ಇನ್ನೂ ಯಾವುದೇ ವಹಿವಾಟುಗಳನ್ನು ಮಾಡಿಲ್ಲ.</v>
      </c>
      <c r="F244" s="7" t="str">
        <f>IFERROR(__xludf.DUMMYFUNCTION("GOOGLETRANSLATE(B244, ""en"", ""ml"")"),"തിരഞ്ഞെടുത്ത തീയതി ശ്രേണിയിൽ നിങ്ങൾ ഇതുവരെ ഇടപാടുകളൊന്നും നടത്തിയിട്ടില്ല.")</f>
        <v>തിരഞ്ഞെടുത്ത തീയതി ശ്രേണിയിൽ നിങ്ങൾ ഇതുവരെ ഇടപാടുകളൊന്നും നടത്തിയിട്ടില്ല.</v>
      </c>
      <c r="G244" s="7" t="str">
        <f>IFERROR(__xludf.DUMMYFUNCTION("GOOGLETRANSLATE(B244, ""en"", ""te"")"),"ఎంచుకున్న తేదీ పరిధిలో మీరు ఇంకా ఎటువంటి లావాదేవీలు చేయలేదు.")</f>
        <v>ఎంచుకున్న తేదీ పరిధిలో మీరు ఇంకా ఎటువంటి లావాదేవీలు చేయలేదు.</v>
      </c>
    </row>
    <row r="245">
      <c r="A245" s="4" t="s">
        <v>475</v>
      </c>
      <c r="B245" s="5" t="s">
        <v>476</v>
      </c>
      <c r="C245" s="6" t="str">
        <f>IFERROR(__xludf.DUMMYFUNCTION("GOOGLETRANSLATE(B245, ""en"", ""ta"")"),"ஓட்டுநர் கட்டணம்")</f>
        <v>ஓட்டுநர் கட்டணம்</v>
      </c>
      <c r="D245" s="6" t="str">
        <f>IFERROR(__xludf.DUMMYFUNCTION("GOOGLETRANSLATE(B245, ""en"", ""hi"")"),"ड्राइवर के कारण")</f>
        <v>ड्राइवर के कारण</v>
      </c>
      <c r="E245" s="6" t="str">
        <f>IFERROR(__xludf.DUMMYFUNCTION("GOOGLETRANSLATE(B245, ""en"", ""kn"")"),"ಚಾಲಕ ಬಾಕಿ")</f>
        <v>ಚಾಲಕ ಬಾಕಿ</v>
      </c>
      <c r="F245" s="7" t="str">
        <f>IFERROR(__xludf.DUMMYFUNCTION("GOOGLETRANSLATE(B245, ""en"", ""ml"")"),"ഡ്രൈവർ ഡ്യൂ")</f>
        <v>ഡ്രൈവർ ഡ്യൂ</v>
      </c>
      <c r="G245" s="7" t="str">
        <f>IFERROR(__xludf.DUMMYFUNCTION("GOOGLETRANSLATE(B245, ""en"", ""te"")"),"డ్రైవర్ డ్యూ")</f>
        <v>డ్రైవర్ డ్యూ</v>
      </c>
    </row>
    <row r="246">
      <c r="A246" s="4" t="s">
        <v>477</v>
      </c>
      <c r="B246" s="5" t="s">
        <v>478</v>
      </c>
      <c r="C246" s="6" t="str">
        <f>IFERROR(__xludf.DUMMYFUNCTION("GOOGLETRANSLATE(B246, ""en"", ""ta"")"),"ஓட்டுநர் வருவாய்")</f>
        <v>ஓட்டுநர் வருவாய்</v>
      </c>
      <c r="D246" s="6" t="str">
        <f>IFERROR(__xludf.DUMMYFUNCTION("GOOGLETRANSLATE(B246, ""en"", ""hi"")"),"ड्राइवर की कमाई")</f>
        <v>ड्राइवर की कमाई</v>
      </c>
      <c r="E246" s="6" t="str">
        <f>IFERROR(__xludf.DUMMYFUNCTION("GOOGLETRANSLATE(B246, ""en"", ""kn"")"),"ಚಾಲಕ ಗಳಿಕೆ")</f>
        <v>ಚಾಲಕ ಗಳಿಕೆ</v>
      </c>
      <c r="F246" s="7" t="str">
        <f>IFERROR(__xludf.DUMMYFUNCTION("GOOGLETRANSLATE(B246, ""en"", ""ml"")"),"ഡ്രൈവർ വരുമാനം")</f>
        <v>ഡ്രൈവർ വരുമാനം</v>
      </c>
      <c r="G246" s="7" t="str">
        <f>IFERROR(__xludf.DUMMYFUNCTION("GOOGLETRANSLATE(B246, ""en"", ""te"")"),"డ్రైవర్ ఆదాయాలు")</f>
        <v>డ్రైవర్ ఆదాయాలు</v>
      </c>
    </row>
    <row r="247">
      <c r="A247" s="4" t="s">
        <v>479</v>
      </c>
      <c r="B247" s="5" t="s">
        <v>480</v>
      </c>
      <c r="C247" s="6" t="str">
        <f>IFERROR(__xludf.DUMMYFUNCTION("GOOGLETRANSLATE(B247, ""en"", ""ta"")"),"உள்நுழைந்த வாகன விவரங்கள்")</f>
        <v>உள்நுழைந்த வாகன விவரங்கள்</v>
      </c>
      <c r="D247" s="6" t="str">
        <f>IFERROR(__xludf.DUMMYFUNCTION("GOOGLETRANSLATE(B247, ""en"", ""hi"")"),"लॉग इन वाहन विवरण")</f>
        <v>लॉग इन वाहन विवरण</v>
      </c>
      <c r="E247" s="6" t="str">
        <f>IFERROR(__xludf.DUMMYFUNCTION("GOOGLETRANSLATE(B247, ""en"", ""kn"")"),"ಲಾಗಿನ್ ಆಗಿರುವ ವಾಹನದ ವಿವರಗಳು")</f>
        <v>ಲಾಗಿನ್ ಆಗಿರುವ ವಾಹನದ ವಿವರಗಳು</v>
      </c>
      <c r="F247" s="7" t="str">
        <f>IFERROR(__xludf.DUMMYFUNCTION("GOOGLETRANSLATE(B247, ""en"", ""ml"")"),"ലോഗിൻ ചെയ്ത വാഹന വിശദാംശങ്ങൾ")</f>
        <v>ലോഗിൻ ചെയ്ത വാഹന വിശദാംശങ്ങൾ</v>
      </c>
      <c r="G247" s="7" t="str">
        <f>IFERROR(__xludf.DUMMYFUNCTION("GOOGLETRANSLATE(B247, ""en"", ""te"")"),"లాగిన్ అయిన వాహన వివరాలు")</f>
        <v>లాగిన్ అయిన వాహన వివరాలు</v>
      </c>
    </row>
    <row r="248">
      <c r="A248" s="4" t="s">
        <v>481</v>
      </c>
      <c r="B248" s="5" t="s">
        <v>482</v>
      </c>
      <c r="C248" s="6" t="str">
        <f>IFERROR(__xludf.DUMMYFUNCTION("GOOGLETRANSLATE(B248, ""en"", ""ta"")"),"வாகனத்திலிருந்து வெளியேறு")</f>
        <v>வாகனத்திலிருந்து வெளியேறு</v>
      </c>
      <c r="D248" s="6" t="str">
        <f>IFERROR(__xludf.DUMMYFUNCTION("GOOGLETRANSLATE(B248, ""en"", ""hi"")"),"वाहन से लॉगआउट करें")</f>
        <v>वाहन से लॉगआउट करें</v>
      </c>
      <c r="E248" s="6" t="str">
        <f>IFERROR(__xludf.DUMMYFUNCTION("GOOGLETRANSLATE(B248, ""en"", ""kn"")"),"ವಾಹನದಿಂದ ಲಾಗ್ ಔಟ್ ಮಾಡಿ")</f>
        <v>ವಾಹನದಿಂದ ಲಾಗ್ ಔಟ್ ಮಾಡಿ</v>
      </c>
      <c r="F248" s="7" t="str">
        <f>IFERROR(__xludf.DUMMYFUNCTION("GOOGLETRANSLATE(B248, ""en"", ""ml"")"),"വാഹനത്തിൽ നിന്ന് ലോഗ്ഔട്ട് ചെയ്യുക")</f>
        <v>വാഹനത്തിൽ നിന്ന് ലോഗ്ഔട്ട് ചെയ്യുക</v>
      </c>
      <c r="G248" s="7" t="str">
        <f>IFERROR(__xludf.DUMMYFUNCTION("GOOGLETRANSLATE(B248, ""en"", ""te"")"),"వాహనం నుండి లాగ్ అవుట్ చేయండి")</f>
        <v>వాహనం నుండి లాగ్ అవుట్ చేయండి</v>
      </c>
    </row>
    <row r="249">
      <c r="A249" s="4" t="s">
        <v>483</v>
      </c>
      <c r="B249" s="5" t="s">
        <v>484</v>
      </c>
      <c r="C249" s="6" t="str">
        <f>IFERROR(__xludf.DUMMYFUNCTION("GOOGLETRANSLATE(B249, ""en"", ""ta"")"),"வாகனத்தைத் தேர்வுசெய்க")</f>
        <v>வாகனத்தைத் தேர்வுசெய்க</v>
      </c>
      <c r="D249" s="6" t="str">
        <f>IFERROR(__xludf.DUMMYFUNCTION("GOOGLETRANSLATE(B249, ""en"", ""hi"")"),"वाहन चुनें")</f>
        <v>वाहन चुनें</v>
      </c>
      <c r="E249" s="6" t="str">
        <f>IFERROR(__xludf.DUMMYFUNCTION("GOOGLETRANSLATE(B249, ""en"", ""kn"")"),"ವಾಹನವನ್ನು ಆರಿಸಿ")</f>
        <v>ವಾಹನವನ್ನು ಆರಿಸಿ</v>
      </c>
      <c r="F249" s="7" t="str">
        <f>IFERROR(__xludf.DUMMYFUNCTION("GOOGLETRANSLATE(B249, ""en"", ""ml"")"),"വാഹനം തിരഞ്ഞെടുക്കുക")</f>
        <v>വാഹനം തിരഞ്ഞെടുക്കുക</v>
      </c>
      <c r="G249" s="7" t="str">
        <f>IFERROR(__xludf.DUMMYFUNCTION("GOOGLETRANSLATE(B249, ""en"", ""te"")"),"వాహనాన్ని ఎంచుకోండి")</f>
        <v>వాహనాన్ని ఎంచుకోండి</v>
      </c>
    </row>
    <row r="250">
      <c r="A250" s="4" t="s">
        <v>485</v>
      </c>
      <c r="B250" s="5" t="s">
        <v>486</v>
      </c>
      <c r="C250" s="6" t="str">
        <f>IFERROR(__xludf.DUMMYFUNCTION("GOOGLETRANSLATE(B250, ""en"", ""ta"")"),"கிடைக்கவில்லை")</f>
        <v>கிடைக்கவில்லை</v>
      </c>
      <c r="D250" s="6" t="str">
        <f>IFERROR(__xludf.DUMMYFUNCTION("GOOGLETRANSLATE(B250, ""en"", ""hi"")"),"उपलब्ध नहीं है")</f>
        <v>उपलब्ध नहीं है</v>
      </c>
      <c r="E250" s="6" t="str">
        <f>IFERROR(__xludf.DUMMYFUNCTION("GOOGLETRANSLATE(B250, ""en"", ""kn"")"),"ಲಭ್ಯವಿಲ್ಲ")</f>
        <v>ಲಭ್ಯವಿಲ್ಲ</v>
      </c>
      <c r="F250" s="7" t="str">
        <f>IFERROR(__xludf.DUMMYFUNCTION("GOOGLETRANSLATE(B250, ""en"", ""ml"")"),"ലഭ്യമല്ല")</f>
        <v>ലഭ്യമല്ല</v>
      </c>
      <c r="G250" s="7" t="str">
        <f>IFERROR(__xludf.DUMMYFUNCTION("GOOGLETRANSLATE(B250, ""en"", ""te"")"),"అందుబాటులో లేదు")</f>
        <v>అందుబాటులో లేదు</v>
      </c>
    </row>
    <row r="251">
      <c r="A251" s="4" t="s">
        <v>487</v>
      </c>
      <c r="B251" s="5" t="s">
        <v>488</v>
      </c>
      <c r="C251" s="6" t="str">
        <f>IFERROR(__xludf.DUMMYFUNCTION("GOOGLETRANSLATE(B251, ""en"", ""ta"")"),"ஏற்கனவே ஓட்டுநருக்கு ஒதுக்கப்பட்டுள்ளது")</f>
        <v>ஏற்கனவே ஓட்டுநருக்கு ஒதுக்கப்பட்டுள்ளது</v>
      </c>
      <c r="D251" s="6" t="str">
        <f>IFERROR(__xludf.DUMMYFUNCTION("GOOGLETRANSLATE(B251, ""en"", ""hi"")"),"ड्राइवर को पहले ही आवंटित कर दिया गया है")</f>
        <v>ड्राइवर को पहले ही आवंटित कर दिया गया है</v>
      </c>
      <c r="E251" s="6" t="str">
        <f>IFERROR(__xludf.DUMMYFUNCTION("GOOGLETRANSLATE(B251, ""en"", ""kn"")"),"ಈಗಾಗಲೇ ಚಾಲಕನಿಗೆ ನಿಯೋಜಿಸಲಾಗಿದೆ")</f>
        <v>ಈಗಾಗಲೇ ಚಾಲಕನಿಗೆ ನಿಯೋಜಿಸಲಾಗಿದೆ</v>
      </c>
      <c r="F251" s="7" t="str">
        <f>IFERROR(__xludf.DUMMYFUNCTION("GOOGLETRANSLATE(B251, ""en"", ""ml"")"),"ഡ്രൈവർക്ക് ഇതിനകം നിയോഗിച്ചിട്ടുണ്ട്")</f>
        <v>ഡ്രൈവർക്ക് ഇതിനകം നിയോഗിച്ചിട്ടുണ്ട്</v>
      </c>
      <c r="G251" s="7" t="str">
        <f>IFERROR(__xludf.DUMMYFUNCTION("GOOGLETRANSLATE(B251, ""en"", ""te"")"),"ఇప్పటికే డ్రైవర్‌కు కేటాయించబడింది")</f>
        <v>ఇప్పటికే డ్రైవర్‌కు కేటాయించబడింది</v>
      </c>
    </row>
    <row r="252">
      <c r="A252" s="4" t="s">
        <v>489</v>
      </c>
      <c r="B252" s="5" t="s">
        <v>490</v>
      </c>
      <c r="C252" s="6" t="str">
        <f>IFERROR(__xludf.DUMMYFUNCTION("GOOGLETRANSLATE(B252, ""en"", ""ta"")"),"வாகனங்கள் எதுவும் இல்லை")</f>
        <v>வாகனங்கள் எதுவும் இல்லை</v>
      </c>
      <c r="D252" s="6" t="str">
        <f>IFERROR(__xludf.DUMMYFUNCTION("GOOGLETRANSLATE(B252, ""en"", ""hi"")"),"कोई वाहन उपलब्ध नहीं है")</f>
        <v>कोई वाहन उपलब्ध नहीं है</v>
      </c>
      <c r="E252" s="6" t="str">
        <f>IFERROR(__xludf.DUMMYFUNCTION("GOOGLETRANSLATE(B252, ""en"", ""kn"")"),"ಯಾವುದೇ ವಾಹನಗಳು ಲಭ್ಯವಿಲ್ಲ.")</f>
        <v>ಯಾವುದೇ ವಾಹನಗಳು ಲಭ್ಯವಿಲ್ಲ.</v>
      </c>
      <c r="F252" s="7" t="str">
        <f>IFERROR(__xludf.DUMMYFUNCTION("GOOGLETRANSLATE(B252, ""en"", ""ml"")"),"വാഹനങ്ങളൊന്നും ലഭ്യമല്ല.")</f>
        <v>വാഹനങ്ങളൊന്നും ലഭ്യമല്ല.</v>
      </c>
      <c r="G252" s="7" t="str">
        <f>IFERROR(__xludf.DUMMYFUNCTION("GOOGLETRANSLATE(B252, ""en"", ""te"")"),"వాహనాలు అందుబాటులో లేవు")</f>
        <v>వాహనాలు అందుబాటులో లేవు</v>
      </c>
    </row>
    <row r="253">
      <c r="A253" s="4" t="s">
        <v>491</v>
      </c>
      <c r="B253" s="5" t="s">
        <v>492</v>
      </c>
      <c r="C253" s="6" t="str">
        <f>IFERROR(__xludf.DUMMYFUNCTION("GOOGLETRANSLATE(B253, ""en"", ""ta"")"),"உங்கள் நிர்வாகியைத் தொடர்பு கொள்ளவும்.")</f>
        <v>உங்கள் நிர்வாகியைத் தொடர்பு கொள்ளவும்.</v>
      </c>
      <c r="D253" s="6" t="str">
        <f>IFERROR(__xludf.DUMMYFUNCTION("GOOGLETRANSLATE(B253, ""en"", ""hi"")"),"कृपया अपने प्रशासक से संपर्क करें")</f>
        <v>कृपया अपने प्रशासक से संपर्क करें</v>
      </c>
      <c r="E253" s="6" t="str">
        <f>IFERROR(__xludf.DUMMYFUNCTION("GOOGLETRANSLATE(B253, ""en"", ""kn"")"),"ದಯವಿಟ್ಟು ನಿಮ್ಮ ನಿರ್ವಾಹಕರನ್ನು ಸಂಪರ್ಕಿಸಿ.")</f>
        <v>ದಯವಿಟ್ಟು ನಿಮ್ಮ ನಿರ್ವಾಹಕರನ್ನು ಸಂಪರ್ಕಿಸಿ.</v>
      </c>
      <c r="F253" s="7" t="str">
        <f>IFERROR(__xludf.DUMMYFUNCTION("GOOGLETRANSLATE(B253, ""en"", ""ml"")"),"നിങ്ങളുടെ അഡ്മിനിസ്ട്രേറ്ററെ ബന്ധപ്പെടുക.")</f>
        <v>നിങ്ങളുടെ അഡ്മിനിസ്ട്രേറ്ററെ ബന്ധപ്പെടുക.</v>
      </c>
      <c r="G253" s="7" t="str">
        <f>IFERROR(__xludf.DUMMYFUNCTION("GOOGLETRANSLATE(B253, ""en"", ""te"")"),"దయచేసి మీ నిర్వాహకుడిని సంప్రదించండి")</f>
        <v>దయచేసి మీ నిర్వాహకుడిని సంప్రదించండి</v>
      </c>
    </row>
    <row r="254">
      <c r="A254" s="4" t="s">
        <v>493</v>
      </c>
      <c r="B254" s="5" t="s">
        <v>494</v>
      </c>
      <c r="C254" s="6" t="str">
        <f>IFERROR(__xludf.DUMMYFUNCTION("GOOGLETRANSLATE(B254, ""en"", ""ta"")"),"வாகனங்களை ஏற்றுகிறது...")</f>
        <v>வாகனங்களை ஏற்றுகிறது...</v>
      </c>
      <c r="D254" s="6" t="str">
        <f>IFERROR(__xludf.DUMMYFUNCTION("GOOGLETRANSLATE(B254, ""en"", ""hi"")"),"वाहनों में सामान लोड किया जा रहा है...")</f>
        <v>वाहनों में सामान लोड किया जा रहा है...</v>
      </c>
      <c r="E254" s="6" t="str">
        <f>IFERROR(__xludf.DUMMYFUNCTION("GOOGLETRANSLATE(B254, ""en"", ""kn"")"),"ವಾಹನಗಳನ್ನು ಲೋಡ್ ಮಾಡಲಾಗುತ್ತಿದೆ...")</f>
        <v>ವಾಹನಗಳನ್ನು ಲೋಡ್ ಮಾಡಲಾಗುತ್ತಿದೆ...</v>
      </c>
      <c r="F254" s="7" t="str">
        <f>IFERROR(__xludf.DUMMYFUNCTION("GOOGLETRANSLATE(B254, ""en"", ""ml"")"),"വാഹനങ്ങൾ കയറ്റുന്നു...")</f>
        <v>വാഹനങ്ങൾ കയറ്റുന്നു...</v>
      </c>
      <c r="G254" s="7" t="str">
        <f>IFERROR(__xludf.DUMMYFUNCTION("GOOGLETRANSLATE(B254, ""en"", ""te"")"),"వాహనాలను లోడ్ చేస్తోంది...")</f>
        <v>వాహనాలను లోడ్ చేస్తోంది...</v>
      </c>
    </row>
    <row r="255">
      <c r="A255" s="4" t="s">
        <v>495</v>
      </c>
      <c r="B255" s="5" t="s">
        <v>496</v>
      </c>
      <c r="C255" s="6" t="str">
        <f>IFERROR(__xludf.DUMMYFUNCTION("GOOGLETRANSLATE(B255, ""en"", ""ta"")"),"கிடைக்கக்கூடிய வாகனங்களிலிருந்து தேர்வு செய்யவும்")</f>
        <v>கிடைக்கக்கூடிய வாகனங்களிலிருந்து தேர்வு செய்யவும்</v>
      </c>
      <c r="D255" s="6" t="str">
        <f>IFERROR(__xludf.DUMMYFUNCTION("GOOGLETRANSLATE(B255, ""en"", ""hi"")"),"उपलब्ध वाहनों में से चुनें")</f>
        <v>उपलब्ध वाहनों में से चुनें</v>
      </c>
      <c r="E255" s="6" t="str">
        <f>IFERROR(__xludf.DUMMYFUNCTION("GOOGLETRANSLATE(B255, ""en"", ""kn"")"),"ಲಭ್ಯವಿರುವ ವಾಹನಗಳಿಂದ ಆರಿಸಿ")</f>
        <v>ಲಭ್ಯವಿರುವ ವಾಹನಗಳಿಂದ ಆರಿಸಿ</v>
      </c>
      <c r="F255" s="7" t="str">
        <f>IFERROR(__xludf.DUMMYFUNCTION("GOOGLETRANSLATE(B255, ""en"", ""ml"")"),"ലഭ്യമായ വാഹനങ്ങളിൽ നിന്ന് തിരഞ്ഞെടുക്കുക")</f>
        <v>ലഭ്യമായ വാഹനങ്ങളിൽ നിന്ന് തിരഞ്ഞെടുക്കുക</v>
      </c>
      <c r="G255" s="7" t="str">
        <f>IFERROR(__xludf.DUMMYFUNCTION("GOOGLETRANSLATE(B255, ""en"", ""te"")"),"అందుబాటులో ఉన్న వాహనాల నుండి ఎంచుకోండి")</f>
        <v>అందుబాటులో ఉన్న వాహనాల నుండి ఎంచుకోండి</v>
      </c>
    </row>
    <row r="256">
      <c r="A256" s="4" t="s">
        <v>497</v>
      </c>
      <c r="B256" s="5" t="s">
        <v>498</v>
      </c>
      <c r="C256" s="6" t="str">
        <f>IFERROR(__xludf.DUMMYFUNCTION("GOOGLETRANSLATE(B256, ""en"", ""ta"")"),"கிடைக்கும் வாகனங்கள்")</f>
        <v>கிடைக்கும் வாகனங்கள்</v>
      </c>
      <c r="D256" s="6" t="str">
        <f>IFERROR(__xludf.DUMMYFUNCTION("GOOGLETRANSLATE(B256, ""en"", ""hi"")"),"उपलब्ध वाहन")</f>
        <v>उपलब्ध वाहन</v>
      </c>
      <c r="E256" s="6" t="str">
        <f>IFERROR(__xludf.DUMMYFUNCTION("GOOGLETRANSLATE(B256, ""en"", ""kn"")"),"ಲಭ್ಯವಿರುವ ವಾಹನಗಳು")</f>
        <v>ಲಭ್ಯವಿರುವ ವಾಹನಗಳು</v>
      </c>
      <c r="F256" s="7" t="str">
        <f>IFERROR(__xludf.DUMMYFUNCTION("GOOGLETRANSLATE(B256, ""en"", ""ml"")"),"ലഭ്യമായ വാഹനങ്ങൾ")</f>
        <v>ലഭ്യമായ വാഹനങ്ങൾ</v>
      </c>
      <c r="G256" s="7" t="str">
        <f>IFERROR(__xludf.DUMMYFUNCTION("GOOGLETRANSLATE(B256, ""en"", ""te"")"),"అందుబాటులో ఉన్న వాహనాలు")</f>
        <v>అందుబాటులో ఉన్న వాహనాలు</v>
      </c>
    </row>
    <row r="257">
      <c r="A257" s="4" t="s">
        <v>499</v>
      </c>
      <c r="B257" s="5" t="s">
        <v>500</v>
      </c>
      <c r="C257" s="6" t="str">
        <f>IFERROR(__xludf.DUMMYFUNCTION("GOOGLETRANSLATE(B257, ""en"", ""ta"")"),"தடுக்கப்பட்டது")</f>
        <v>தடுக்கப்பட்டது</v>
      </c>
      <c r="D257" s="6" t="str">
        <f>IFERROR(__xludf.DUMMYFUNCTION("GOOGLETRANSLATE(B257, ""en"", ""hi"")"),"अवरोधित")</f>
        <v>अवरोधित</v>
      </c>
      <c r="E257" s="6" t="str">
        <f>IFERROR(__xludf.DUMMYFUNCTION("GOOGLETRANSLATE(B257, ""en"", ""kn"")"),"ನಿರ್ಬಂಧಿಸಲಾಗಿದೆ")</f>
        <v>ನಿರ್ಬಂಧಿಸಲಾಗಿದೆ</v>
      </c>
      <c r="F257" s="7" t="str">
        <f>IFERROR(__xludf.DUMMYFUNCTION("GOOGLETRANSLATE(B257, ""en"", ""ml"")"),"ബ്ലോക്ക് ചെയ്‌തു")</f>
        <v>ബ്ലോക്ക് ചെയ്‌തു</v>
      </c>
      <c r="G257" s="7" t="str">
        <f>IFERROR(__xludf.DUMMYFUNCTION("GOOGLETRANSLATE(B257, ""en"", ""te"")"),"బ్లాక్ చేయబడింది")</f>
        <v>బ్లాక్ చేయబడింది</v>
      </c>
    </row>
    <row r="258">
      <c r="A258" s="4" t="s">
        <v>501</v>
      </c>
      <c r="B258" s="5" t="s">
        <v>502</v>
      </c>
      <c r="C258" s="6" t="str">
        <f>IFERROR(__xludf.DUMMYFUNCTION("GOOGLETRANSLATE(B258, ""en"", ""ta"")"),"கிடைக்கும்")</f>
        <v>கிடைக்கும்</v>
      </c>
      <c r="D258" s="6" t="str">
        <f>IFERROR(__xludf.DUMMYFUNCTION("GOOGLETRANSLATE(B258, ""en"", ""hi"")"),"उपलब्ध")</f>
        <v>उपलब्ध</v>
      </c>
      <c r="E258" s="6" t="str">
        <f>IFERROR(__xludf.DUMMYFUNCTION("GOOGLETRANSLATE(B258, ""en"", ""kn"")"),"ಲಭ್ಯವಿದೆ")</f>
        <v>ಲಭ್ಯವಿದೆ</v>
      </c>
      <c r="F258" s="7" t="str">
        <f>IFERROR(__xludf.DUMMYFUNCTION("GOOGLETRANSLATE(B258, ""en"", ""ml"")"),"ലഭ്യമാണ്")</f>
        <v>ലഭ്യമാണ്</v>
      </c>
      <c r="G258" s="7" t="str">
        <f>IFERROR(__xludf.DUMMYFUNCTION("GOOGLETRANSLATE(B258, ""en"", ""te"")"),"అందుబాటులో ఉంది")</f>
        <v>అందుబాటులో ఉంది</v>
      </c>
    </row>
    <row r="259">
      <c r="A259" s="4" t="s">
        <v>503</v>
      </c>
      <c r="B259" s="5" t="s">
        <v>504</v>
      </c>
      <c r="C259" s="6" t="str">
        <f>IFERROR(__xludf.DUMMYFUNCTION("GOOGLETRANSLATE(B259, ""en"", ""ta"")"),"பணம் பெறப்பட்டது")</f>
        <v>பணம் பெறப்பட்டது</v>
      </c>
      <c r="D259" s="6" t="str">
        <f>IFERROR(__xludf.DUMMYFUNCTION("GOOGLETRANSLATE(B259, ""en"", ""hi"")"),"भुगतान प्राप्त")</f>
        <v>भुगतान प्राप्त</v>
      </c>
      <c r="E259" s="6" t="str">
        <f>IFERROR(__xludf.DUMMYFUNCTION("GOOGLETRANSLATE(B259, ""en"", ""kn"")"),"ಪಾವತಿ ಸ್ವೀಕರಿಸಲಾಗಿದೆ")</f>
        <v>ಪಾವತಿ ಸ್ವೀಕರಿಸಲಾಗಿದೆ</v>
      </c>
      <c r="F259" s="7" t="str">
        <f>IFERROR(__xludf.DUMMYFUNCTION("GOOGLETRANSLATE(B259, ""en"", ""ml"")"),"പേയ്‌മെന്റ് ലഭിച്ചു")</f>
        <v>പേയ്‌മെന്റ് ലഭിച്ചു</v>
      </c>
      <c r="G259" s="7" t="str">
        <f>IFERROR(__xludf.DUMMYFUNCTION("GOOGLETRANSLATE(B259, ""en"", ""te"")"),"చెల్లింపు అందింది")</f>
        <v>చెల్లింపు అందింది</v>
      </c>
    </row>
    <row r="260">
      <c r="A260" s="4" t="s">
        <v>505</v>
      </c>
      <c r="B260" s="5" t="s">
        <v>506</v>
      </c>
      <c r="C260" s="6" t="str">
        <f>IFERROR(__xludf.DUMMYFUNCTION("GOOGLETRANSLATE(B260, ""en"", ""ta"")"),"கட்டண முறையைத் தேர்ந்தெடுக்கவும்.")</f>
        <v>கட்டண முறையைத் தேர்ந்தெடுக்கவும்.</v>
      </c>
      <c r="D260" s="6" t="str">
        <f>IFERROR(__xludf.DUMMYFUNCTION("GOOGLETRANSLATE(B260, ""en"", ""hi"")"),"एक भुगतान पद्धति का चयन करें")</f>
        <v>एक भुगतान पद्धति का चयन करें</v>
      </c>
      <c r="E260" s="6" t="str">
        <f>IFERROR(__xludf.DUMMYFUNCTION("GOOGLETRANSLATE(B260, ""en"", ""kn"")"),"ದಯವಿಟ್ಟು ಪಾವತಿ ವಿಧಾನವನ್ನು ಆಯ್ಕೆಮಾಡಿ.")</f>
        <v>ದಯವಿಟ್ಟು ಪಾವತಿ ವಿಧಾನವನ್ನು ಆಯ್ಕೆಮಾಡಿ.</v>
      </c>
      <c r="F260" s="7" t="str">
        <f>IFERROR(__xludf.DUMMYFUNCTION("GOOGLETRANSLATE(B260, ""en"", ""ml"")"),"ഒരു പേയ്‌മെന്റ് രീതി തിരഞ്ഞെടുക്കുക.")</f>
        <v>ഒരു പേയ്‌മെന്റ് രീതി തിരഞ്ഞെടുക്കുക.</v>
      </c>
      <c r="G260" s="7" t="str">
        <f>IFERROR(__xludf.DUMMYFUNCTION("GOOGLETRANSLATE(B260, ""en"", ""te"")"),"దయచేసి చెల్లింపు పద్ధతిని ఎంచుకోండి.")</f>
        <v>దయచేసి చెల్లింపు పద్ధతిని ఎంచుకోండి.</v>
      </c>
    </row>
    <row r="261">
      <c r="A261" s="4" t="s">
        <v>507</v>
      </c>
      <c r="B261" s="5" t="s">
        <v>508</v>
      </c>
      <c r="C261" s="6" t="str">
        <f>IFERROR(__xludf.DUMMYFUNCTION("GOOGLETRANSLATE(B261, ""en"", ""ta"")"),"பயணக் கட்டணம்")</f>
        <v>பயணக் கட்டணம்</v>
      </c>
      <c r="D261" s="6" t="str">
        <f>IFERROR(__xludf.DUMMYFUNCTION("GOOGLETRANSLATE(B261, ""en"", ""hi"")"),"सवारी का किराया")</f>
        <v>सवारी का किराया</v>
      </c>
      <c r="E261" s="6" t="str">
        <f>IFERROR(__xludf.DUMMYFUNCTION("GOOGLETRANSLATE(B261, ""en"", ""kn"")"),"ಸವಾರಿ ದರ")</f>
        <v>ಸವಾರಿ ದರ</v>
      </c>
      <c r="F261" s="7" t="str">
        <f>IFERROR(__xludf.DUMMYFUNCTION("GOOGLETRANSLATE(B261, ""en"", ""ml"")"),"യാത്രാക്കൂലി")</f>
        <v>യാത്രാക്കൂലി</v>
      </c>
      <c r="G261" s="7" t="str">
        <f>IFERROR(__xludf.DUMMYFUNCTION("GOOGLETRANSLATE(B261, ""en"", ""te"")"),"రైడ్ ఛార్జీలు")</f>
        <v>రైడ్ ఛార్జీలు</v>
      </c>
    </row>
    <row r="262">
      <c r="A262" s="4" t="s">
        <v>509</v>
      </c>
      <c r="B262" s="5" t="s">
        <v>510</v>
      </c>
      <c r="C262" s="6" t="str">
        <f>IFERROR(__xludf.DUMMYFUNCTION("GOOGLETRANSLATE(B262, ""en"", ""ta"")"),"இருப்பிட விவரங்கள்")</f>
        <v>இருப்பிட விவரங்கள்</v>
      </c>
      <c r="D262" s="6" t="str">
        <f>IFERROR(__xludf.DUMMYFUNCTION("GOOGLETRANSLATE(B262, ""en"", ""hi"")"),"स्थान विवरण")</f>
        <v>स्थान विवरण</v>
      </c>
      <c r="E262" s="6" t="str">
        <f>IFERROR(__xludf.DUMMYFUNCTION("GOOGLETRANSLATE(B262, ""en"", ""kn"")"),"ಸ್ಥಳದ ವಿವರಗಳು")</f>
        <v>ಸ್ಥಳದ ವಿವರಗಳು</v>
      </c>
      <c r="F262" s="7" t="str">
        <f>IFERROR(__xludf.DUMMYFUNCTION("GOOGLETRANSLATE(B262, ""en"", ""ml"")"),"ലൊക്കേഷൻ വിശദാംശങ്ങൾ")</f>
        <v>ലൊക്കേഷൻ വിശദാംശങ്ങൾ</v>
      </c>
      <c r="G262" s="7" t="str">
        <f>IFERROR(__xludf.DUMMYFUNCTION("GOOGLETRANSLATE(B262, ""en"", ""te"")"),"స్థాన వివరాలు")</f>
        <v>స్థాన వివరాలు</v>
      </c>
    </row>
    <row r="263">
      <c r="A263" s="4" t="s">
        <v>511</v>
      </c>
      <c r="B263" s="5" t="s">
        <v>512</v>
      </c>
      <c r="C263" s="6" t="str">
        <f>IFERROR(__xludf.DUMMYFUNCTION("GOOGLETRANSLATE(B263, ""en"", ""ta"")"),"கட்டண விவரங்கள்")</f>
        <v>கட்டண விவரங்கள்</v>
      </c>
      <c r="D263" s="6" t="str">
        <f>IFERROR(__xludf.DUMMYFUNCTION("GOOGLETRANSLATE(B263, ""en"", ""hi"")"),"भुगतान विवरण")</f>
        <v>भुगतान विवरण</v>
      </c>
      <c r="E263" s="6" t="str">
        <f>IFERROR(__xludf.DUMMYFUNCTION("GOOGLETRANSLATE(B263, ""en"", ""kn"")"),"ಪಾವತಿ ವಿವರಗಳು")</f>
        <v>ಪಾವತಿ ವಿವರಗಳು</v>
      </c>
      <c r="F263" s="7" t="str">
        <f>IFERROR(__xludf.DUMMYFUNCTION("GOOGLETRANSLATE(B263, ""en"", ""ml"")"),"പേയ്‌മെന്റ് വിശദാംശങ്ങൾ")</f>
        <v>പേയ്‌മെന്റ് വിശദാംശങ്ങൾ</v>
      </c>
      <c r="G263" s="7" t="str">
        <f>IFERROR(__xludf.DUMMYFUNCTION("GOOGLETRANSLATE(B263, ""en"", ""te"")"),"చెల్లింపు వివరాలు")</f>
        <v>చెల్లింపు వివరాలు</v>
      </c>
    </row>
    <row r="264">
      <c r="A264" s="4" t="s">
        <v>513</v>
      </c>
      <c r="B264" s="5" t="s">
        <v>514</v>
      </c>
      <c r="C264" s="6" t="str">
        <f>IFERROR(__xludf.DUMMYFUNCTION("GOOGLETRANSLATE(B264, ""en"", ""ta"")"),"கூப்பன்")</f>
        <v>கூப்பன்</v>
      </c>
      <c r="D264" s="6" t="str">
        <f>IFERROR(__xludf.DUMMYFUNCTION("GOOGLETRANSLATE(B264, ""en"", ""hi"")"),"कूपन")</f>
        <v>कूपन</v>
      </c>
      <c r="E264" s="6" t="str">
        <f>IFERROR(__xludf.DUMMYFUNCTION("GOOGLETRANSLATE(B264, ""en"", ""kn"")"),"ಕೂಪನ್")</f>
        <v>ಕೂಪನ್</v>
      </c>
      <c r="F264" s="7" t="str">
        <f>IFERROR(__xludf.DUMMYFUNCTION("GOOGLETRANSLATE(B264, ""en"", ""ml"")"),"കൂപ്പൺ")</f>
        <v>കൂപ്പൺ</v>
      </c>
      <c r="G264" s="7" t="str">
        <f>IFERROR(__xludf.DUMMYFUNCTION("GOOGLETRANSLATE(B264, ""en"", ""te"")"),"కూపన్")</f>
        <v>కూపన్</v>
      </c>
    </row>
    <row r="265">
      <c r="A265" s="4" t="s">
        <v>515</v>
      </c>
      <c r="B265" s="5" t="s">
        <v>516</v>
      </c>
      <c r="C265" s="6" t="str">
        <f>IFERROR(__xludf.DUMMYFUNCTION("GOOGLETRANSLATE(B265, ""en"", ""ta"")"),"காரணமாக")</f>
        <v>காரணமாக</v>
      </c>
      <c r="D265" s="6" t="str">
        <f>IFERROR(__xludf.DUMMYFUNCTION("GOOGLETRANSLATE(B265, ""en"", ""hi"")"),"देय")</f>
        <v>देय</v>
      </c>
      <c r="E265" s="6" t="str">
        <f>IFERROR(__xludf.DUMMYFUNCTION("GOOGLETRANSLATE(B265, ""en"", ""kn"")"),"ಬಾಕಿ")</f>
        <v>ಬಾಕಿ</v>
      </c>
      <c r="F265" s="7" t="str">
        <f>IFERROR(__xludf.DUMMYFUNCTION("GOOGLETRANSLATE(B265, ""en"", ""ml"")"),"കാരണം")</f>
        <v>കാരണം</v>
      </c>
      <c r="G265" s="7" t="str">
        <f>IFERROR(__xludf.DUMMYFUNCTION("GOOGLETRANSLATE(B265, ""en"", ""te"")"),"గడువు")</f>
        <v>గడువు</v>
      </c>
    </row>
    <row r="266">
      <c r="A266" s="4" t="s">
        <v>387</v>
      </c>
      <c r="B266" s="5" t="s">
        <v>388</v>
      </c>
      <c r="C266" s="6" t="str">
        <f>IFERROR(__xludf.DUMMYFUNCTION("GOOGLETRANSLATE(B266, ""en"", ""ta"")"),"வருவாய்")</f>
        <v>வருவாய்</v>
      </c>
      <c r="D266" s="6" t="str">
        <f>IFERROR(__xludf.DUMMYFUNCTION("GOOGLETRANSLATE(B266, ""en"", ""hi"")"),"आय")</f>
        <v>आय</v>
      </c>
      <c r="E266" s="6" t="str">
        <f>IFERROR(__xludf.DUMMYFUNCTION("GOOGLETRANSLATE(B266, ""en"", ""kn"")"),"ಗಳಿಕೆಗಳು")</f>
        <v>ಗಳಿಕೆಗಳು</v>
      </c>
      <c r="F266" s="7" t="str">
        <f>IFERROR(__xludf.DUMMYFUNCTION("GOOGLETRANSLATE(B266, ""en"", ""ml"")"),"വരുമാനം")</f>
        <v>വരുമാനം</v>
      </c>
      <c r="G266" s="7" t="str">
        <f>IFERROR(__xludf.DUMMYFUNCTION("GOOGLETRANSLATE(B266, ""en"", ""te"")"),"ఆదాయాలు")</f>
        <v>ఆదాయాలు</v>
      </c>
    </row>
    <row r="267">
      <c r="A267" s="4" t="s">
        <v>517</v>
      </c>
      <c r="B267" s="5" t="s">
        <v>517</v>
      </c>
      <c r="C267" s="6" t="str">
        <f>IFERROR(__xludf.DUMMYFUNCTION("GOOGLETRANSLATE(B267, ""en"", ""ta"")"),"கூட்டுத்தொகை")</f>
        <v>கூட்டுத்தொகை</v>
      </c>
      <c r="D267" s="6" t="str">
        <f>IFERROR(__xludf.DUMMYFUNCTION("GOOGLETRANSLATE(B267, ""en"", ""hi"")"),"उप-योग")</f>
        <v>उप-योग</v>
      </c>
      <c r="E267" s="6" t="str">
        <f>IFERROR(__xludf.DUMMYFUNCTION("GOOGLETRANSLATE(B267, ""en"", ""kn"")"),"ಉಪಮೊತ್ತ")</f>
        <v>ಉಪಮೊತ್ತ</v>
      </c>
      <c r="F267" s="7" t="str">
        <f>IFERROR(__xludf.DUMMYFUNCTION("GOOGLETRANSLATE(B267, ""en"", ""ml"")"),"ആകെത്തുക")</f>
        <v>ആകെത്തുക</v>
      </c>
      <c r="G267" s="7" t="str">
        <f>IFERROR(__xludf.DUMMYFUNCTION("GOOGLETRANSLATE(B267, ""en"", ""te"")"),"ఉపమొత్తం")</f>
        <v>ఉపమొత్తం</v>
      </c>
    </row>
    <row r="268">
      <c r="A268" s="4" t="s">
        <v>518</v>
      </c>
      <c r="B268" s="5" t="s">
        <v>519</v>
      </c>
      <c r="C268" s="6" t="str">
        <f>IFERROR(__xludf.DUMMYFUNCTION("GOOGLETRANSLATE(B268, ""en"", ""ta"")"),"மொத்தம்")</f>
        <v>மொத்தம்</v>
      </c>
      <c r="D268" s="6" t="str">
        <f>IFERROR(__xludf.DUMMYFUNCTION("GOOGLETRANSLATE(B268, ""en"", ""hi"")"),"कुल")</f>
        <v>कुल</v>
      </c>
      <c r="E268" s="6" t="str">
        <f>IFERROR(__xludf.DUMMYFUNCTION("GOOGLETRANSLATE(B268, ""en"", ""kn"")"),"ಒಟ್ಟು")</f>
        <v>ಒಟ್ಟು</v>
      </c>
      <c r="F268" s="7" t="str">
        <f>IFERROR(__xludf.DUMMYFUNCTION("GOOGLETRANSLATE(B268, ""en"", ""ml"")"),"ആകെ")</f>
        <v>ആകെ</v>
      </c>
      <c r="G268" s="7" t="str">
        <f>IFERROR(__xludf.DUMMYFUNCTION("GOOGLETRANSLATE(B268, ""en"", ""te"")"),"మొత్తం")</f>
        <v>మొత్తం</v>
      </c>
    </row>
    <row r="269">
      <c r="A269" s="4" t="s">
        <v>520</v>
      </c>
      <c r="B269" s="5" t="s">
        <v>521</v>
      </c>
      <c r="C269" s="6" t="str">
        <f>IFERROR(__xludf.DUMMYFUNCTION("GOOGLETRANSLATE(B269, ""en"", ""ta"")"),"பணம் செலுத்தும் முறை")</f>
        <v>பணம் செலுத்தும் முறை</v>
      </c>
      <c r="D269" s="6" t="str">
        <f>IFERROR(__xludf.DUMMYFUNCTION("GOOGLETRANSLATE(B269, ""en"", ""hi"")"),"भुगतान विधि")</f>
        <v>भुगतान विधि</v>
      </c>
      <c r="E269" s="6" t="str">
        <f>IFERROR(__xludf.DUMMYFUNCTION("GOOGLETRANSLATE(B269, ""en"", ""kn"")"),"ಪಾವತಿ ವಿಧಾನ")</f>
        <v>ಪಾವತಿ ವಿಧಾನ</v>
      </c>
      <c r="F269" s="7" t="str">
        <f>IFERROR(__xludf.DUMMYFUNCTION("GOOGLETRANSLATE(B269, ""en"", ""ml"")"),"പണമടയ്ക്കൽ രീതി")</f>
        <v>പണമടയ്ക്കൽ രീതി</v>
      </c>
      <c r="G269" s="7" t="str">
        <f>IFERROR(__xludf.DUMMYFUNCTION("GOOGLETRANSLATE(B269, ""en"", ""te"")"),"చెల్లింపు విధానం")</f>
        <v>చెల్లింపు విధానం</v>
      </c>
    </row>
    <row r="270">
      <c r="A270" s="4" t="s">
        <v>522</v>
      </c>
      <c r="B270" s="5" t="s">
        <v>523</v>
      </c>
      <c r="C270" s="6" t="str">
        <f>IFERROR(__xludf.DUMMYFUNCTION("GOOGLETRANSLATE(B270, ""en"", ""ta"")"),"விலைப்பட்டியல்")</f>
        <v>விலைப்பட்டியல்</v>
      </c>
      <c r="D270" s="6" t="str">
        <f>IFERROR(__xludf.DUMMYFUNCTION("GOOGLETRANSLATE(B270, ""en"", ""hi"")"),"चालान")</f>
        <v>चालान</v>
      </c>
      <c r="E270" s="6" t="str">
        <f>IFERROR(__xludf.DUMMYFUNCTION("GOOGLETRANSLATE(B270, ""en"", ""kn"")"),"ಸರಕುಪಟ್ಟಿ")</f>
        <v>ಸರಕುಪಟ್ಟಿ</v>
      </c>
      <c r="F270" s="7" t="str">
        <f>IFERROR(__xludf.DUMMYFUNCTION("GOOGLETRANSLATE(B270, ""en"", ""ml"")"),"ഇൻവോയ്സ്")</f>
        <v>ഇൻവോയ്സ്</v>
      </c>
      <c r="G270" s="7" t="str">
        <f>IFERROR(__xludf.DUMMYFUNCTION("GOOGLETRANSLATE(B270, ""en"", ""te"")"),"ఇన్‌వాయిస్")</f>
        <v>ఇన్‌వాయిస్</v>
      </c>
    </row>
    <row r="271">
      <c r="A271" s="4" t="s">
        <v>524</v>
      </c>
      <c r="B271" s="5" t="s">
        <v>525</v>
      </c>
      <c r="C271" s="6" t="str">
        <f>IFERROR(__xludf.DUMMYFUNCTION("GOOGLETRANSLATE(B271, ""en"", ""ta"")"),"சப்ளையர் தகவல்")</f>
        <v>சப்ளையர் தகவல்</v>
      </c>
      <c r="D271" s="6" t="str">
        <f>IFERROR(__xludf.DUMMYFUNCTION("GOOGLETRANSLATE(B271, ""en"", ""hi"")"),"आपूर्तिकर्ता जानकारी")</f>
        <v>आपूर्तिकर्ता जानकारी</v>
      </c>
      <c r="E271" s="6" t="str">
        <f>IFERROR(__xludf.DUMMYFUNCTION("GOOGLETRANSLATE(B271, ""en"", ""kn"")"),"ಪೂರೈಕೆದಾರರ ಮಾಹಿತಿ")</f>
        <v>ಪೂರೈಕೆದಾರರ ಮಾಹಿತಿ</v>
      </c>
      <c r="F271" s="7" t="str">
        <f>IFERROR(__xludf.DUMMYFUNCTION("GOOGLETRANSLATE(B271, ""en"", ""ml"")"),"വിതരണക്കാരന്റെ വിവരങ്ങൾ")</f>
        <v>വിതരണക്കാരന്റെ വിവരങ്ങൾ</v>
      </c>
      <c r="G271" s="7" t="str">
        <f>IFERROR(__xludf.DUMMYFUNCTION("GOOGLETRANSLATE(B271, ""en"", ""te"")"),"సరఫరాదారు సమాచారం")</f>
        <v>సరఫరాదారు సమాచారం</v>
      </c>
    </row>
    <row r="272">
      <c r="A272" s="4" t="s">
        <v>526</v>
      </c>
      <c r="B272" s="5" t="s">
        <v>527</v>
      </c>
      <c r="C272" s="6" t="str">
        <f>IFERROR(__xludf.DUMMYFUNCTION("GOOGLETRANSLATE(B272, ""en"", ""ta"")"),"சவாரி வகை")</f>
        <v>சவாரி வகை</v>
      </c>
      <c r="D272" s="6" t="str">
        <f>IFERROR(__xludf.DUMMYFUNCTION("GOOGLETRANSLATE(B272, ""en"", ""hi"")"),"सवारी का प्रकार")</f>
        <v>सवारी का प्रकार</v>
      </c>
      <c r="E272" s="6" t="str">
        <f>IFERROR(__xludf.DUMMYFUNCTION("GOOGLETRANSLATE(B272, ""en"", ""kn"")"),"ಸವಾರಿ ಪ್ರಕಾರ")</f>
        <v>ಸವಾರಿ ಪ್ರಕಾರ</v>
      </c>
      <c r="F272" s="7" t="str">
        <f>IFERROR(__xludf.DUMMYFUNCTION("GOOGLETRANSLATE(B272, ""en"", ""ml"")"),"റൈഡ് തരം")</f>
        <v>റൈഡ് തരം</v>
      </c>
      <c r="G272" s="7" t="str">
        <f>IFERROR(__xludf.DUMMYFUNCTION("GOOGLETRANSLATE(B272, ""en"", ""te"")"),"రైడ్ రకం")</f>
        <v>రైడ్ రకం</v>
      </c>
    </row>
    <row r="273">
      <c r="A273" s="4" t="s">
        <v>528</v>
      </c>
      <c r="B273" s="5" t="s">
        <v>529</v>
      </c>
      <c r="C273" s="6" t="str">
        <f>IFERROR(__xludf.DUMMYFUNCTION("GOOGLETRANSLATE(B273, ""en"", ""ta"")"),"விலைப்பட்டியல் விவரம்")</f>
        <v>விலைப்பட்டியல் விவரம்</v>
      </c>
      <c r="D273" s="6" t="str">
        <f>IFERROR(__xludf.DUMMYFUNCTION("GOOGLETRANSLATE(B273, ""en"", ""hi"")"),"बिल का विवरण")</f>
        <v>बिल का विवरण</v>
      </c>
      <c r="E273" s="6" t="str">
        <f>IFERROR(__xludf.DUMMYFUNCTION("GOOGLETRANSLATE(B273, ""en"", ""kn"")"),"ಇನ್‌ವಾಯ್ಸ್ ವಿಭಜನೆ")</f>
        <v>ಇನ್‌ವಾಯ್ಸ್ ವಿಭಜನೆ</v>
      </c>
      <c r="F273" s="7" t="str">
        <f>IFERROR(__xludf.DUMMYFUNCTION("GOOGLETRANSLATE(B273, ""en"", ""ml"")"),"ഇൻവോയ്‌സ് ബ്രേക്ക്ഡൗൺ")</f>
        <v>ഇൻവോയ്‌സ് ബ്രേക്ക്ഡൗൺ</v>
      </c>
      <c r="G273" s="7" t="str">
        <f>IFERROR(__xludf.DUMMYFUNCTION("GOOGLETRANSLATE(B273, ""en"", ""te"")"),"ఇన్‌వాయిస్ విభజన")</f>
        <v>ఇన్‌వాయిస్ విభజన</v>
      </c>
    </row>
    <row r="274">
      <c r="A274" s="4" t="s">
        <v>530</v>
      </c>
      <c r="B274" s="5" t="s">
        <v>531</v>
      </c>
      <c r="C274" s="6" t="str">
        <f>IFERROR(__xludf.DUMMYFUNCTION("GOOGLETRANSLATE(B274, ""en"", ""ta"")"),"பயணச் செலவு")</f>
        <v>பயணச் செலவு</v>
      </c>
      <c r="D274" s="6" t="str">
        <f>IFERROR(__xludf.DUMMYFUNCTION("GOOGLETRANSLATE(B274, ""en"", ""hi"")"),"सवारी की लागत")</f>
        <v>सवारी की लागत</v>
      </c>
      <c r="E274" s="6" t="str">
        <f>IFERROR(__xludf.DUMMYFUNCTION("GOOGLETRANSLATE(B274, ""en"", ""kn"")"),"ಸವಾರಿ ವೆಚ್ಚ")</f>
        <v>ಸವಾರಿ ವೆಚ್ಚ</v>
      </c>
      <c r="F274" s="7" t="str">
        <f>IFERROR(__xludf.DUMMYFUNCTION("GOOGLETRANSLATE(B274, ""en"", ""ml"")"),"യാത്രാ ചെലവ്")</f>
        <v>യാത്രാ ചെലവ്</v>
      </c>
      <c r="G274" s="7" t="str">
        <f>IFERROR(__xludf.DUMMYFUNCTION("GOOGLETRANSLATE(B274, ""en"", ""te"")"),"రైడ్ ఖర్చు")</f>
        <v>రైడ్ ఖర్చు</v>
      </c>
    </row>
    <row r="275">
      <c r="A275" s="4" t="s">
        <v>532</v>
      </c>
      <c r="B275" s="5" t="s">
        <v>533</v>
      </c>
      <c r="C275" s="6" t="str">
        <f>IFERROR(__xludf.DUMMYFUNCTION("GOOGLETRANSLATE(B275, ""en"", ""ta"")"),"காத்திருப்பு செலவு")</f>
        <v>காத்திருப்பு செலவு</v>
      </c>
      <c r="D275" s="6" t="str">
        <f>IFERROR(__xludf.DUMMYFUNCTION("GOOGLETRANSLATE(B275, ""en"", ""hi"")"),"प्रतीक्षा लागत")</f>
        <v>प्रतीक्षा लागत</v>
      </c>
      <c r="E275" s="6" t="str">
        <f>IFERROR(__xludf.DUMMYFUNCTION("GOOGLETRANSLATE(B275, ""en"", ""kn"")"),"ಕಾಯುವ ವೆಚ್ಚ")</f>
        <v>ಕಾಯುವ ವೆಚ್ಚ</v>
      </c>
      <c r="F275" s="7" t="str">
        <f>IFERROR(__xludf.DUMMYFUNCTION("GOOGLETRANSLATE(B275, ""en"", ""ml"")"),"കാത്തിരിപ്പ് ചെലവ്")</f>
        <v>കാത്തിരിപ്പ് ചെലവ്</v>
      </c>
      <c r="G275" s="7" t="str">
        <f>IFERROR(__xludf.DUMMYFUNCTION("GOOGLETRANSLATE(B275, ""en"", ""te"")"),"వేచి ఉండే ఖర్చు")</f>
        <v>వేచి ఉండే ఖర్చు</v>
      </c>
    </row>
    <row r="276">
      <c r="A276" s="4" t="s">
        <v>534</v>
      </c>
      <c r="B276" s="5" t="s">
        <v>535</v>
      </c>
      <c r="C276" s="6" t="str">
        <f>IFERROR(__xludf.DUMMYFUNCTION("GOOGLETRANSLATE(B276, ""en"", ""ta"")"),"கூப்பன் தள்ளுபடி")</f>
        <v>கூப்பன் தள்ளுபடி</v>
      </c>
      <c r="D276" s="6" t="str">
        <f>IFERROR(__xludf.DUMMYFUNCTION("GOOGLETRANSLATE(B276, ""en"", ""hi"")"),"कूपन छूट")</f>
        <v>कूपन छूट</v>
      </c>
      <c r="E276" s="6" t="str">
        <f>IFERROR(__xludf.DUMMYFUNCTION("GOOGLETRANSLATE(B276, ""en"", ""kn"")"),"ಕೂಪನ್ ರಿಯಾಯಿತಿ")</f>
        <v>ಕೂಪನ್ ರಿಯಾಯಿತಿ</v>
      </c>
      <c r="F276" s="7" t="str">
        <f>IFERROR(__xludf.DUMMYFUNCTION("GOOGLETRANSLATE(B276, ""en"", ""ml"")"),"കൂപ്പൺ കിഴിവ്")</f>
        <v>കൂപ്പൺ കിഴിവ്</v>
      </c>
      <c r="G276" s="7" t="str">
        <f>IFERROR(__xludf.DUMMYFUNCTION("GOOGLETRANSLATE(B276, ""en"", ""te"")"),"కూపన్ డిస్కౌంట్")</f>
        <v>కూపన్ డిస్కౌంట్</v>
      </c>
    </row>
    <row r="277">
      <c r="A277" s="4" t="s">
        <v>536</v>
      </c>
      <c r="B277" s="5" t="s">
        <v>537</v>
      </c>
      <c r="C277" s="6" t="str">
        <f>IFERROR(__xludf.DUMMYFUNCTION("GOOGLETRANSLATE(B277, ""en"", ""ta"")"),"பயணத்தை ரத்துசெய்")</f>
        <v>பயணத்தை ரத்துசெய்</v>
      </c>
      <c r="D277" s="6" t="str">
        <f>IFERROR(__xludf.DUMMYFUNCTION("GOOGLETRANSLATE(B277, ""en"", ""hi"")"),"यात्रा रद्द करें")</f>
        <v>यात्रा रद्द करें</v>
      </c>
      <c r="E277" s="6" t="str">
        <f>IFERROR(__xludf.DUMMYFUNCTION("GOOGLETRANSLATE(B277, ""en"", ""kn"")"),"ಪ್ರವಾಸ ರದ್ದುಗೊಳಿಸಿ")</f>
        <v>ಪ್ರವಾಸ ರದ್ದುಗೊಳಿಸಿ</v>
      </c>
      <c r="F277" s="7" t="str">
        <f>IFERROR(__xludf.DUMMYFUNCTION("GOOGLETRANSLATE(B277, ""en"", ""ml"")"),"യാത്ര റദ്ദാക്കുക")</f>
        <v>യാത്ര റദ്ദാക്കുക</v>
      </c>
      <c r="G277" s="7" t="str">
        <f>IFERROR(__xludf.DUMMYFUNCTION("GOOGLETRANSLATE(B277, ""en"", ""te"")"),"ట్రిప్ రద్దు చేయి")</f>
        <v>ట్రిప్ రద్దు చేయి</v>
      </c>
    </row>
    <row r="278">
      <c r="A278" s="4" t="s">
        <v>538</v>
      </c>
      <c r="B278" s="5" t="s">
        <v>539</v>
      </c>
      <c r="C278" s="6" t="str">
        <f>IFERROR(__xludf.DUMMYFUNCTION("GOOGLETRANSLATE(B278, ""en"", ""ta"")"),"அடிப்படை விவரங்கள்")</f>
        <v>அடிப்படை விவரங்கள்</v>
      </c>
      <c r="D278" s="6" t="str">
        <f>IFERROR(__xludf.DUMMYFUNCTION("GOOGLETRANSLATE(B278, ""en"", ""hi"")"),"बुनियादी विवरण")</f>
        <v>बुनियादी विवरण</v>
      </c>
      <c r="E278" s="6" t="str">
        <f>IFERROR(__xludf.DUMMYFUNCTION("GOOGLETRANSLATE(B278, ""en"", ""kn"")"),"ಮೂಲ ವಿವರಗಳು")</f>
        <v>ಮೂಲ ವಿವರಗಳು</v>
      </c>
      <c r="F278" s="7" t="str">
        <f>IFERROR(__xludf.DUMMYFUNCTION("GOOGLETRANSLATE(B278, ""en"", ""ml"")"),"അടിസ്ഥാന വിശദാംശങ്ങൾ")</f>
        <v>അടിസ്ഥാന വിശദാംശങ്ങൾ</v>
      </c>
      <c r="G278" s="7" t="str">
        <f>IFERROR(__xludf.DUMMYFUNCTION("GOOGLETRANSLATE(B278, ""en"", ""te"")"),"ప్రాథమిక వివరాలు")</f>
        <v>ప్రాథమిక వివరాలు</v>
      </c>
    </row>
    <row r="279">
      <c r="A279" s="4" t="s">
        <v>540</v>
      </c>
      <c r="B279" s="5" t="s">
        <v>541</v>
      </c>
      <c r="C279" s="6" t="str">
        <f>IFERROR(__xludf.DUMMYFUNCTION("GOOGLETRANSLATE(B279, ""en"", ""ta"")"),"விமர்சனங்கள்:")</f>
        <v>விமர்சனங்கள்:</v>
      </c>
      <c r="D279" s="6" t="str">
        <f>IFERROR(__xludf.DUMMYFUNCTION("GOOGLETRANSLATE(B279, ""en"", ""hi"")"),"समीक्षाएँ:")</f>
        <v>समीक्षाएँ:</v>
      </c>
      <c r="E279" s="6" t="str">
        <f>IFERROR(__xludf.DUMMYFUNCTION("GOOGLETRANSLATE(B279, ""en"", ""kn"")"),"ವಿಮರ್ಶೆಗಳು:")</f>
        <v>ವಿಮರ್ಶೆಗಳು:</v>
      </c>
      <c r="F279" s="7" t="str">
        <f>IFERROR(__xludf.DUMMYFUNCTION("GOOGLETRANSLATE(B279, ""en"", ""ml"")"),"അവലോകനങ്ങൾ:")</f>
        <v>അവലോകനങ്ങൾ:</v>
      </c>
      <c r="G279" s="7" t="str">
        <f>IFERROR(__xludf.DUMMYFUNCTION("GOOGLETRANSLATE(B279, ""en"", ""te"")"),"సమీక్షలు:")</f>
        <v>సమీక్షలు:</v>
      </c>
    </row>
    <row r="280">
      <c r="A280" s="4" t="s">
        <v>542</v>
      </c>
      <c r="B280" s="5" t="s">
        <v>543</v>
      </c>
      <c r="C280" s="6" t="str">
        <f>IFERROR(__xludf.DUMMYFUNCTION("GOOGLETRANSLATE(B280, ""en"", ""ta"")"),"செயலில்")</f>
        <v>செயலில்</v>
      </c>
      <c r="D280" s="6" t="str">
        <f>IFERROR(__xludf.DUMMYFUNCTION("GOOGLETRANSLATE(B280, ""en"", ""hi"")"),"सक्रिय")</f>
        <v>सक्रिय</v>
      </c>
      <c r="E280" s="6" t="str">
        <f>IFERROR(__xludf.DUMMYFUNCTION("GOOGLETRANSLATE(B280, ""en"", ""kn"")"),"ಸಕ್ರಿಯ")</f>
        <v>ಸಕ್ರಿಯ</v>
      </c>
      <c r="F280" s="7" t="str">
        <f>IFERROR(__xludf.DUMMYFUNCTION("GOOGLETRANSLATE(B280, ""en"", ""ml"")"),"സജീവം")</f>
        <v>സജീവം</v>
      </c>
      <c r="G280" s="7" t="str">
        <f>IFERROR(__xludf.DUMMYFUNCTION("GOOGLETRANSLATE(B280, ""en"", ""te"")"),"యాక్టివ్")</f>
        <v>యాక్టివ్</v>
      </c>
    </row>
    <row r="281">
      <c r="A281" s="4" t="s">
        <v>544</v>
      </c>
      <c r="B281" s="5" t="s">
        <v>545</v>
      </c>
      <c r="C281" s="6" t="str">
        <f>IFERROR(__xludf.DUMMYFUNCTION("GOOGLETRANSLATE(B281, ""en"", ""ta"")"),"ஆவணங்களைத் திருத்த விரும்புகிறீர்களா?")</f>
        <v>ஆவணங்களைத் திருத்த விரும்புகிறீர்களா?</v>
      </c>
      <c r="D281" s="6" t="str">
        <f>IFERROR(__xludf.DUMMYFUNCTION("GOOGLETRANSLATE(B281, ""en"", ""hi"")"),"क्या आप वाकई दस्तावेज़ों को संपादित करना चाहते हैं?")</f>
        <v>क्या आप वाकई दस्तावेज़ों को संपादित करना चाहते हैं?</v>
      </c>
      <c r="E281" s="6" t="str">
        <f>IFERROR(__xludf.DUMMYFUNCTION("GOOGLETRANSLATE(B281, ""en"", ""kn"")"),"ನೀವು ಡಾಕ್ಯುಮೆಂಟ್‌ಗಳನ್ನು ಸಂಪಾದಿಸಲು ಖಚಿತವಾಗಿ ಬಯಸುವಿರಾ?")</f>
        <v>ನೀವು ಡಾಕ್ಯುಮೆಂಟ್‌ಗಳನ್ನು ಸಂಪಾದಿಸಲು ಖಚಿತವಾಗಿ ಬಯಸುವಿರಾ?</v>
      </c>
      <c r="F281" s="7" t="str">
        <f>IFERROR(__xludf.DUMMYFUNCTION("GOOGLETRANSLATE(B281, ""en"", ""ml"")"),"പ്രമാണങ്ങൾ എഡിറ്റ് ചെയ്യണമെന്ന് നിങ്ങൾക്ക് ഉറപ്പാണോ?")</f>
        <v>പ്രമാണങ്ങൾ എഡിറ്റ് ചെയ്യണമെന്ന് നിങ്ങൾക്ക് ഉറപ്പാണോ?</v>
      </c>
      <c r="G281" s="7" t="str">
        <f>IFERROR(__xludf.DUMMYFUNCTION("GOOGLETRANSLATE(B281, ""en"", ""te"")"),"మీరు ఖచ్చితంగా పత్రాలను సవరించాలనుకుంటున్నారా?")</f>
        <v>మీరు ఖచ్చితంగా పత్రాలను సవరించాలనుకుంటున్నారా?</v>
      </c>
    </row>
    <row r="282">
      <c r="A282" s="4" t="s">
        <v>546</v>
      </c>
      <c r="B282" s="5" t="s">
        <v>547</v>
      </c>
      <c r="C282" s="6" t="str">
        <f>IFERROR(__xludf.DUMMYFUNCTION("GOOGLETRANSLATE(B282, ""en"", ""ta"")"),"திருத்தம் தொடங்கியதும், ஆவணங்கள் சரிபார்க்கப்பட்டு அங்கீகரிக்கப்படும் வரை உங்கள் கணக்கு நிறுத்தி வைக்கப்படும்.")</f>
        <v>திருத்தம் தொடங்கியதும், ஆவணங்கள் சரிபார்க்கப்பட்டு அங்கீகரிக்கப்படும் வரை உங்கள் கணக்கு நிறுத்தி வைக்கப்படும்.</v>
      </c>
      <c r="D282" s="6" t="str">
        <f>IFERROR(__xludf.DUMMYFUNCTION("GOOGLETRANSLATE(B282, ""en"", ""hi"")"),"एक बार संपादन शुरू हो जाने के बाद, दस्तावेज़ों के सत्यापन और अनुमोदन होने तक आपका खाता रोक दिया जाएगा।")</f>
        <v>एक बार संपादन शुरू हो जाने के बाद, दस्तावेज़ों के सत्यापन और अनुमोदन होने तक आपका खाता रोक दिया जाएगा।</v>
      </c>
      <c r="E282" s="6" t="str">
        <f>IFERROR(__xludf.DUMMYFUNCTION("GOOGLETRANSLATE(B282, ""en"", ""kn"")"),"ಒಮ್ಮೆ ಸಂಪಾದನೆ ಪ್ರಾರಂಭವಾದ ನಂತರ ನಿಮ್ಮ ಖಾತೆಯು ದಾಖಲೆಗಳನ್ನು ಪರಿಶೀಲಿಸಿ ಅನುಮೋದಿಸುವವರೆಗೆ ತಡೆಹಿಡಿಯಲ್ಪಡುತ್ತದೆ.")</f>
        <v>ಒಮ್ಮೆ ಸಂಪಾದನೆ ಪ್ರಾರಂಭವಾದ ನಂತರ ನಿಮ್ಮ ಖಾತೆಯು ದಾಖಲೆಗಳನ್ನು ಪರಿಶೀಲಿಸಿ ಅನುಮೋದಿಸುವವರೆಗೆ ತಡೆಹಿಡಿಯಲ್ಪಡುತ್ತದೆ.</v>
      </c>
      <c r="F282" s="7" t="str">
        <f>IFERROR(__xludf.DUMMYFUNCTION("GOOGLETRANSLATE(B282, ""en"", ""ml"")"),"എഡിറ്റ് ആരംഭിച്ചുകഴിഞ്ഞാൽ, രേഖകൾ പരിശോധിച്ച് അംഗീകരിക്കുന്നതുവരെ നിങ്ങളുടെ അക്കൗണ്ട് ഹോൾഡ് ചെയ്യപ്പെടും.")</f>
        <v>എഡിറ്റ് ആരംഭിച്ചുകഴിഞ്ഞാൽ, രേഖകൾ പരിശോധിച്ച് അംഗീകരിക്കുന്നതുവരെ നിങ്ങളുടെ അക്കൗണ്ട് ഹോൾഡ് ചെയ്യപ്പെടും.</v>
      </c>
      <c r="G282" s="7" t="str">
        <f>IFERROR(__xludf.DUMMYFUNCTION("GOOGLETRANSLATE(B282, ""en"", ""te"")"),"సవరణ ప్రారంభమైన తర్వాత, పత్రాలు ధృవీకరించబడి ఆమోదించబడే వరకు మీ ఖాతా హోల్డ్‌లో ఉంటుంది.")</f>
        <v>సవరణ ప్రారంభమైన తర్వాత, పత్రాలు ధృవీకరించబడి ఆమోదించబడే వరకు మీ ఖాతా హోల్డ్‌లో ఉంటుంది.</v>
      </c>
    </row>
    <row r="283">
      <c r="A283" s="4" t="s">
        <v>548</v>
      </c>
      <c r="B283" s="5" t="s">
        <v>549</v>
      </c>
      <c r="C283" s="6" t="str">
        <f>IFERROR(__xludf.DUMMYFUNCTION("GOOGLETRANSLATE(B283, ""en"", ""ta"")"),"அதுவரை நீங்கள் பயணங்களை மேற்கொள்ள முடியாது.")</f>
        <v>அதுவரை நீங்கள் பயணங்களை மேற்கொள்ள முடியாது.</v>
      </c>
      <c r="D283" s="6" t="str">
        <f>IFERROR(__xludf.DUMMYFUNCTION("GOOGLETRANSLATE(B283, ""en"", ""hi"")"),"तब तक आप यात्रा नहीं कर सकते।")</f>
        <v>तब तक आप यात्रा नहीं कर सकते।</v>
      </c>
      <c r="E283" s="6" t="str">
        <f>IFERROR(__xludf.DUMMYFUNCTION("GOOGLETRANSLATE(B283, ""en"", ""kn"")"),"ಅಲ್ಲಿಯವರೆಗೆ ನೀವು ಪ್ರವಾಸಗಳನ್ನು ತೆಗೆದುಕೊಳ್ಳಲು ಸಾಧ್ಯವಿಲ್ಲ.")</f>
        <v>ಅಲ್ಲಿಯವರೆಗೆ ನೀವು ಪ್ರವಾಸಗಳನ್ನು ತೆಗೆದುಕೊಳ್ಳಲು ಸಾಧ್ಯವಿಲ್ಲ.</v>
      </c>
      <c r="F283" s="7" t="str">
        <f>IFERROR(__xludf.DUMMYFUNCTION("GOOGLETRANSLATE(B283, ""en"", ""ml"")"),"അതുവരെ നിങ്ങൾക്ക് യാത്രകൾ നടത്താൻ കഴിയില്ല.")</f>
        <v>അതുവരെ നിങ്ങൾക്ക് യാത്രകൾ നടത്താൻ കഴിയില്ല.</v>
      </c>
      <c r="G283" s="7" t="str">
        <f>IFERROR(__xludf.DUMMYFUNCTION("GOOGLETRANSLATE(B283, ""en"", ""te"")"),"అప్పటి వరకు మీరు ప్రయాణాలు చేయలేరు.")</f>
        <v>అప్పటి వరకు మీరు ప్రయాణాలు చేయలేరు.</v>
      </c>
    </row>
    <row r="284">
      <c r="A284" s="4" t="s">
        <v>550</v>
      </c>
      <c r="B284" s="5" t="s">
        <v>551</v>
      </c>
      <c r="C284" s="6" t="str">
        <f>IFERROR(__xludf.DUMMYFUNCTION("GOOGLETRANSLATE(B284, ""en"", ""ta"")"),"உங்களிடம் நிலுவைத் தொகை இருந்தால், தயவுசெய்து அனைத்து நிலுவைத் தொகையையும் முன்கூட்டியே செலுத்துங்கள்.")</f>
        <v>உங்களிடம் நிலுவைத் தொகை இருந்தால், தயவுசெய்து அனைத்து நிலுவைத் தொகையையும் முன்கூட்டியே செலுத்துங்கள்.</v>
      </c>
      <c r="D284" s="6" t="str">
        <f>IFERROR(__xludf.DUMMYFUNCTION("GOOGLETRANSLATE(B284, ""en"", ""hi"")"),"यदि आपकी कोई बकाया राशि है, तो कृपया उससे पहले सभी बकाया राशि का भुगतान कर दें।")</f>
        <v>यदि आपकी कोई बकाया राशि है, तो कृपया उससे पहले सभी बकाया राशि का भुगतान कर दें।</v>
      </c>
      <c r="E284" s="6" t="str">
        <f>IFERROR(__xludf.DUMMYFUNCTION("GOOGLETRANSLATE(B284, ""en"", ""kn"")"),"ನಿಮ್ಮಲ್ಲಿ ಬಾಕಿ ಮೊತ್ತವಿದ್ದರೆ, ದಯವಿಟ್ಟು ಮುಂಚಿತವಾಗಿ ಎಲ್ಲಾ ಬಾಕಿ ಮೊತ್ತವನ್ನು ಪಾವತಿಸಿ.")</f>
        <v>ನಿಮ್ಮಲ್ಲಿ ಬಾಕಿ ಮೊತ್ತವಿದ್ದರೆ, ದಯವಿಟ್ಟು ಮುಂಚಿತವಾಗಿ ಎಲ್ಲಾ ಬಾಕಿ ಮೊತ್ತವನ್ನು ಪಾವತಿಸಿ.</v>
      </c>
      <c r="F284" s="7" t="str">
        <f>IFERROR(__xludf.DUMMYFUNCTION("GOOGLETRANSLATE(B284, ""en"", ""ml"")"),"കുടിശ്ശിക തുക ബാക്കിയുണ്ടെങ്കിൽ ദയവായി എല്ലാ കുടിശ്ശികയും മുൻകൂട്ടി തീർക്കുക.")</f>
        <v>കുടിശ്ശിക തുക ബാക്കിയുണ്ടെങ്കിൽ ദയവായി എല്ലാ കുടിശ്ശികയും മുൻകൂട്ടി തീർക്കുക.</v>
      </c>
      <c r="G284" s="7" t="str">
        <f>IFERROR(__xludf.DUMMYFUNCTION("GOOGLETRANSLATE(B284, ""en"", ""te"")"),"మీకు ఇంకా బకాయిలు ఉంటే, దయచేసి ముందుగా అన్ని బకాయిలను చెల్లించండి.")</f>
        <v>మీకు ఇంకా బకాయిలు ఉంటే, దయచేసి ముందుగా అన్ని బకాయిలను చెల్లించండి.</v>
      </c>
    </row>
    <row r="285">
      <c r="A285" s="4" t="s">
        <v>552</v>
      </c>
      <c r="B285" s="5" t="s">
        <v>553</v>
      </c>
      <c r="C285" s="6" t="str">
        <f>IFERROR(__xludf.DUMMYFUNCTION("GOOGLETRANSLATE(B285, ""en"", ""ta"")"),"தனிப்பட்ட தகவல்")</f>
        <v>தனிப்பட்ட தகவல்</v>
      </c>
      <c r="D285" s="6" t="str">
        <f>IFERROR(__xludf.DUMMYFUNCTION("GOOGLETRANSLATE(B285, ""en"", ""hi"")"),"व्यक्तिगत जानकारी")</f>
        <v>व्यक्तिगत जानकारी</v>
      </c>
      <c r="E285" s="6" t="str">
        <f>IFERROR(__xludf.DUMMYFUNCTION("GOOGLETRANSLATE(B285, ""en"", ""kn"")"),"ವೈಯಕ್ತಿಕ ಮಾಹಿತಿ")</f>
        <v>ವೈಯಕ್ತಿಕ ಮಾಹಿತಿ</v>
      </c>
      <c r="F285" s="7" t="str">
        <f>IFERROR(__xludf.DUMMYFUNCTION("GOOGLETRANSLATE(B285, ""en"", ""ml"")"),"സ്വകാര്യ വിവരം")</f>
        <v>സ്വകാര്യ വിവരം</v>
      </c>
      <c r="G285" s="7" t="str">
        <f>IFERROR(__xludf.DUMMYFUNCTION("GOOGLETRANSLATE(B285, ""en"", ""te"")"),"వ్యక్తిగత సమాచారం")</f>
        <v>వ్యక్తిగత సమాచారం</v>
      </c>
    </row>
    <row r="286">
      <c r="A286" s="4" t="s">
        <v>554</v>
      </c>
      <c r="B286" s="5" t="s">
        <v>555</v>
      </c>
      <c r="C286" s="6" t="str">
        <f>IFERROR(__xludf.DUMMYFUNCTION("GOOGLETRANSLATE(B286, ""en"", ""ta"")"),"சான்று ஆவணங்கள்")</f>
        <v>சான்று ஆவணங்கள்</v>
      </c>
      <c r="D286" s="6" t="str">
        <f>IFERROR(__xludf.DUMMYFUNCTION("GOOGLETRANSLATE(B286, ""en"", ""hi"")"),"प्रमाण दस्तावेज़")</f>
        <v>प्रमाण दस्तावेज़</v>
      </c>
      <c r="E286" s="6" t="str">
        <f>IFERROR(__xludf.DUMMYFUNCTION("GOOGLETRANSLATE(B286, ""en"", ""kn"")"),"ಪುರಾವೆ ದಾಖಲೆಗಳು")</f>
        <v>ಪುರಾವೆ ದಾಖಲೆಗಳು</v>
      </c>
      <c r="F286" s="7" t="str">
        <f>IFERROR(__xludf.DUMMYFUNCTION("GOOGLETRANSLATE(B286, ""en"", ""ml"")"),"തെളിവ് രേഖകൾ")</f>
        <v>തെളിവ് രേഖകൾ</v>
      </c>
      <c r="G286" s="7" t="str">
        <f>IFERROR(__xludf.DUMMYFUNCTION("GOOGLETRANSLATE(B286, ""en"", ""te"")"),"రుజువు పత్రాలు")</f>
        <v>రుజువు పత్రాలు</v>
      </c>
    </row>
    <row r="287">
      <c r="A287" s="4" t="s">
        <v>556</v>
      </c>
      <c r="B287" s="5" t="s">
        <v>557</v>
      </c>
      <c r="C287" s="6" t="str">
        <f>IFERROR(__xludf.DUMMYFUNCTION("GOOGLETRANSLATE(B287, ""en"", ""ta"")"),"வங்கி கணக்கு")</f>
        <v>வங்கி கணக்கு</v>
      </c>
      <c r="D287" s="6" t="str">
        <f>IFERROR(__xludf.DUMMYFUNCTION("GOOGLETRANSLATE(B287, ""en"", ""hi"")"),"बैंक खाता")</f>
        <v>बैंक खाता</v>
      </c>
      <c r="E287" s="6" t="str">
        <f>IFERROR(__xludf.DUMMYFUNCTION("GOOGLETRANSLATE(B287, ""en"", ""kn"")"),"ಬ್ಯಾಂಕ್ ಖಾತೆ")</f>
        <v>ಬ್ಯಾಂಕ್ ಖಾತೆ</v>
      </c>
      <c r="F287" s="7" t="str">
        <f>IFERROR(__xludf.DUMMYFUNCTION("GOOGLETRANSLATE(B287, ""en"", ""ml"")"),"ബാങ്ക് അക്കൗണ്ട്")</f>
        <v>ബാങ്ക് അക്കൗണ്ട്</v>
      </c>
      <c r="G287" s="7" t="str">
        <f>IFERROR(__xludf.DUMMYFUNCTION("GOOGLETRANSLATE(B287, ""en"", ""te"")"),"బ్యాంకు ఖాతా")</f>
        <v>బ్యాంకు ఖాతా</v>
      </c>
    </row>
    <row r="288">
      <c r="A288" s="4" t="s">
        <v>554</v>
      </c>
      <c r="B288" s="5" t="s">
        <v>555</v>
      </c>
      <c r="C288" s="6" t="str">
        <f>IFERROR(__xludf.DUMMYFUNCTION("GOOGLETRANSLATE(B288, ""en"", ""ta"")"),"சான்று ஆவணங்கள்")</f>
        <v>சான்று ஆவணங்கள்</v>
      </c>
      <c r="D288" s="6" t="str">
        <f>IFERROR(__xludf.DUMMYFUNCTION("GOOGLETRANSLATE(B288, ""en"", ""hi"")"),"प्रमाण दस्तावेज़")</f>
        <v>प्रमाण दस्तावेज़</v>
      </c>
      <c r="E288" s="6" t="str">
        <f>IFERROR(__xludf.DUMMYFUNCTION("GOOGLETRANSLATE(B288, ""en"", ""kn"")"),"ಪುರಾವೆ ದಾಖಲೆಗಳು")</f>
        <v>ಪುರಾವೆ ದಾಖಲೆಗಳು</v>
      </c>
      <c r="F288" s="7" t="str">
        <f>IFERROR(__xludf.DUMMYFUNCTION("GOOGLETRANSLATE(B288, ""en"", ""ml"")"),"തെളിവ് രേഖകൾ")</f>
        <v>തെളിവ് രേഖകൾ</v>
      </c>
      <c r="G288" s="7" t="str">
        <f>IFERROR(__xludf.DUMMYFUNCTION("GOOGLETRANSLATE(B288, ""en"", ""te"")"),"రుజువు పత్రాలు")</f>
        <v>రుజువు పత్రాలు</v>
      </c>
    </row>
    <row r="289">
      <c r="A289" s="4" t="s">
        <v>558</v>
      </c>
      <c r="B289" s="5" t="s">
        <v>559</v>
      </c>
      <c r="C289" s="6" t="str">
        <f>IFERROR(__xludf.DUMMYFUNCTION("GOOGLETRANSLATE(B289, ""en"", ""ta"")"),"சரிவு சவாரி")</f>
        <v>சரிவு சவாரி</v>
      </c>
      <c r="D289" s="6" t="str">
        <f>IFERROR(__xludf.DUMMYFUNCTION("GOOGLETRANSLATE(B289, ""en"", ""hi"")"),"ढलान वाली सवारी")</f>
        <v>ढलान वाली सवारी</v>
      </c>
      <c r="E289" s="6" t="str">
        <f>IFERROR(__xludf.DUMMYFUNCTION("GOOGLETRANSLATE(B289, ""en"", ""kn"")"),"ಇಳಿಜಾರಿನ ಸವಾರಿ")</f>
        <v>ಇಳಿಜಾರಿನ ಸವಾರಿ</v>
      </c>
      <c r="F289" s="7" t="str">
        <f>IFERROR(__xludf.DUMMYFUNCTION("GOOGLETRANSLATE(B289, ""en"", ""ml"")"),"ഡെക്ലിൻ റൈഡ്")</f>
        <v>ഡെക്ലിൻ റൈഡ്</v>
      </c>
      <c r="G289" s="7" t="str">
        <f>IFERROR(__xludf.DUMMYFUNCTION("GOOGLETRANSLATE(B289, ""en"", ""te"")"),"తిరోగమన రైడ్")</f>
        <v>తిరోగమన రైడ్</v>
      </c>
    </row>
    <row r="290">
      <c r="A290" s="4" t="s">
        <v>560</v>
      </c>
      <c r="B290" s="5" t="s">
        <v>561</v>
      </c>
      <c r="C290" s="6" t="str">
        <f>IFERROR(__xludf.DUMMYFUNCTION("GOOGLETRANSLATE(B290, ""en"", ""ta"")"),"சவாரியை ஏற்றுக்கொள்")</f>
        <v>சவாரியை ஏற்றுக்கொள்</v>
      </c>
      <c r="D290" s="6" t="str">
        <f>IFERROR(__xludf.DUMMYFUNCTION("GOOGLETRANSLATE(B290, ""en"", ""hi"")"),"सवारी स्वीकार करें")</f>
        <v>सवारी स्वीकार करें</v>
      </c>
      <c r="E290" s="6" t="str">
        <f>IFERROR(__xludf.DUMMYFUNCTION("GOOGLETRANSLATE(B290, ""en"", ""kn"")"),"ಸವಾರಿಯನ್ನು ಸ್ವೀಕರಿಸಿ")</f>
        <v>ಸವಾರಿಯನ್ನು ಸ್ವೀಕರಿಸಿ</v>
      </c>
      <c r="F290" s="7" t="str">
        <f>IFERROR(__xludf.DUMMYFUNCTION("GOOGLETRANSLATE(B290, ""en"", ""ml"")"),"സവാരി സ്വീകരിക്കുക")</f>
        <v>സവാരി സ്വീകരിക്കുക</v>
      </c>
      <c r="G290" s="7" t="str">
        <f>IFERROR(__xludf.DUMMYFUNCTION("GOOGLETRANSLATE(B290, ""en"", ""te"")"),"రైడ్‌ను అంగీకరించండి")</f>
        <v>రైడ్‌ను అంగీకరించండి</v>
      </c>
    </row>
    <row r="291">
      <c r="A291" s="4" t="s">
        <v>562</v>
      </c>
      <c r="B291" s="5" t="s">
        <v>563</v>
      </c>
      <c r="C291" s="6" t="str">
        <f>IFERROR(__xludf.DUMMYFUNCTION("GOOGLETRANSLATE(B291, ""en"", ""ta"")"),"முன்பதிவு செய்யப்பட்டது")</f>
        <v>முன்பதிவு செய்யப்பட்டது</v>
      </c>
      <c r="D291" s="6" t="str">
        <f>IFERROR(__xludf.DUMMYFUNCTION("GOOGLETRANSLATE(B291, ""en"", ""hi"")"),"बुक किया गया")</f>
        <v>बुक किया गया</v>
      </c>
      <c r="E291" s="6" t="str">
        <f>IFERROR(__xludf.DUMMYFUNCTION("GOOGLETRANSLATE(B291, ""en"", ""kn"")"),"ಬುಕ್ ಮಾಡಲಾಗಿದೆ")</f>
        <v>ಬುಕ್ ಮಾಡಲಾಗಿದೆ</v>
      </c>
      <c r="F291" s="7" t="str">
        <f>IFERROR(__xludf.DUMMYFUNCTION("GOOGLETRANSLATE(B291, ""en"", ""ml"")"),"ബുക്ക് ചെയ്തത്")</f>
        <v>ബുക്ക് ചെയ്തത്</v>
      </c>
      <c r="G291" s="7" t="str">
        <f>IFERROR(__xludf.DUMMYFUNCTION("GOOGLETRANSLATE(B291, ""en"", ""te"")"),"బుక్ చేయబడింది")</f>
        <v>బుక్ చేయబడింది</v>
      </c>
    </row>
    <row r="292">
      <c r="A292" s="4" t="s">
        <v>564</v>
      </c>
      <c r="B292" s="5" t="s">
        <v>565</v>
      </c>
      <c r="C292" s="6" t="str">
        <f>IFERROR(__xludf.DUMMYFUNCTION("GOOGLETRANSLATE(B292, ""en"", ""ta"")"),"வழிசெலுத்தலைத் தொடங்கு")</f>
        <v>வழிசெலுத்தலைத் தொடங்கு</v>
      </c>
      <c r="D292" s="6" t="str">
        <f>IFERROR(__xludf.DUMMYFUNCTION("GOOGLETRANSLATE(B292, ""en"", ""hi"")"),"नेविगेशन शुरू करें")</f>
        <v>नेविगेशन शुरू करें</v>
      </c>
      <c r="E292" s="6" t="str">
        <f>IFERROR(__xludf.DUMMYFUNCTION("GOOGLETRANSLATE(B292, ""en"", ""kn"")"),"ನ್ಯಾವಿಗೇಷನ್ ಪ್ರಾರಂಭಿಸಿ")</f>
        <v>ನ್ಯಾವಿಗೇಷನ್ ಪ್ರಾರಂಭಿಸಿ</v>
      </c>
      <c r="F292" s="7" t="str">
        <f>IFERROR(__xludf.DUMMYFUNCTION("GOOGLETRANSLATE(B292, ""en"", ""ml"")"),"നാവിഗേഷൻ ആരംഭിക്കുക")</f>
        <v>നാവിഗേഷൻ ആരംഭിക്കുക</v>
      </c>
      <c r="G292" s="7" t="str">
        <f>IFERROR(__xludf.DUMMYFUNCTION("GOOGLETRANSLATE(B292, ""en"", ""te"")"),"నావిగేషన్ ప్రారంభించండి")</f>
        <v>నావిగేషన్ ప్రారంభించండి</v>
      </c>
    </row>
    <row r="293">
      <c r="A293" s="4" t="s">
        <v>566</v>
      </c>
      <c r="B293" s="5" t="s">
        <v>567</v>
      </c>
      <c r="C293" s="6" t="str">
        <f>IFERROR(__xludf.DUMMYFUNCTION("GOOGLETRANSLATE(B293, ""en"", ""ta"")"),"காத்திருக்கும் நேரம்:")</f>
        <v>காத்திருக்கும் நேரம்:</v>
      </c>
      <c r="D293" s="6" t="str">
        <f>IFERROR(__xludf.DUMMYFUNCTION("GOOGLETRANSLATE(B293, ""en"", ""hi"")"),"इंतज़ार का समय:")</f>
        <v>इंतज़ार का समय:</v>
      </c>
      <c r="E293" s="6" t="str">
        <f>IFERROR(__xludf.DUMMYFUNCTION("GOOGLETRANSLATE(B293, ""en"", ""kn"")"),"ಕಾಯುವ ಸಮಯ:")</f>
        <v>ಕಾಯುವ ಸಮಯ:</v>
      </c>
      <c r="F293" s="7" t="str">
        <f>IFERROR(__xludf.DUMMYFUNCTION("GOOGLETRANSLATE(B293, ""en"", ""ml"")"),"കാത്തിരിപ്പ് സമയം:")</f>
        <v>കാത്തിരിപ്പ് സമയം:</v>
      </c>
      <c r="G293" s="7" t="str">
        <f>IFERROR(__xludf.DUMMYFUNCTION("GOOGLETRANSLATE(B293, ""en"", ""te"")"),"వేచి ఉండే సమయం:")</f>
        <v>వేచి ఉండే సమయం:</v>
      </c>
    </row>
    <row r="294">
      <c r="A294" s="4" t="s">
        <v>568</v>
      </c>
      <c r="B294" s="5" t="s">
        <v>569</v>
      </c>
      <c r="C294" s="6" t="str">
        <f>IFERROR(__xludf.DUMMYFUNCTION("GOOGLETRANSLATE(B294, ""en"", ""ta"")"),"டைமரை நிறுத்து")</f>
        <v>டைமரை நிறுத்து</v>
      </c>
      <c r="D294" s="6" t="str">
        <f>IFERROR(__xludf.DUMMYFUNCTION("GOOGLETRANSLATE(B294, ""en"", ""hi"")"),"टाइमर बंद करें")</f>
        <v>टाइमर बंद करें</v>
      </c>
      <c r="E294" s="6" t="str">
        <f>IFERROR(__xludf.DUMMYFUNCTION("GOOGLETRANSLATE(B294, ""en"", ""kn"")"),"ಟೈಮರ್ ನಿಲ್ಲಿಸಿ")</f>
        <v>ಟೈಮರ್ ನಿಲ್ಲಿಸಿ</v>
      </c>
      <c r="F294" s="7" t="str">
        <f>IFERROR(__xludf.DUMMYFUNCTION("GOOGLETRANSLATE(B294, ""en"", ""ml"")"),"ടൈമർ നിർത്തുക")</f>
        <v>ടൈമർ നിർത്തുക</v>
      </c>
      <c r="G294" s="7" t="str">
        <f>IFERROR(__xludf.DUMMYFUNCTION("GOOGLETRANSLATE(B294, ""en"", ""te"")"),"టైమర్ ఆపు")</f>
        <v>టైమర్ ఆపు</v>
      </c>
    </row>
    <row r="295">
      <c r="A295" s="4" t="s">
        <v>570</v>
      </c>
      <c r="B295" s="5" t="s">
        <v>571</v>
      </c>
      <c r="C295" s="6" t="str">
        <f>IFERROR(__xludf.DUMMYFUNCTION("GOOGLETRANSLATE(B295, ""en"", ""ta"")"),"அடைந்தது")</f>
        <v>அடைந்தது</v>
      </c>
      <c r="D295" s="6" t="str">
        <f>IFERROR(__xludf.DUMMYFUNCTION("GOOGLETRANSLATE(B295, ""en"", ""hi"")"),"पहुँच गया")</f>
        <v>पहुँच गया</v>
      </c>
      <c r="E295" s="6" t="str">
        <f>IFERROR(__xludf.DUMMYFUNCTION("GOOGLETRANSLATE(B295, ""en"", ""kn"")"),"ತಲುಪಲಾಗಿದೆ")</f>
        <v>ತಲುಪಲಾಗಿದೆ</v>
      </c>
      <c r="F295" s="7" t="str">
        <f>IFERROR(__xludf.DUMMYFUNCTION("GOOGLETRANSLATE(B295, ""en"", ""ml"")"),"എത്തിച്ചേർന്നു")</f>
        <v>എത്തിച്ചേർന്നു</v>
      </c>
      <c r="G295" s="7" t="str">
        <f>IFERROR(__xludf.DUMMYFUNCTION("GOOGLETRANSLATE(B295, ""en"", ""te"")"),"చేరుకున్నారు")</f>
        <v>చేరుకున్నారు</v>
      </c>
    </row>
    <row r="296">
      <c r="A296" s="4" t="s">
        <v>572</v>
      </c>
      <c r="B296" s="5" t="s">
        <v>573</v>
      </c>
      <c r="C296" s="6" t="str">
        <f>IFERROR(__xludf.DUMMYFUNCTION("GOOGLETRANSLATE(B296, ""en"", ""ta"")"),"நிலையைப் புதுப்பிக்க அழுத்தவும்.")</f>
        <v>நிலையைப் புதுப்பிக்க அழுத்தவும்.</v>
      </c>
      <c r="D296" s="6" t="str">
        <f>IFERROR(__xludf.DUMMYFUNCTION("GOOGLETRANSLATE(B296, ""en"", ""hi"")"),"स्थिति अपडेट करने के लिए दबाएँ")</f>
        <v>स्थिति अपडेट करने के लिए दबाएँ</v>
      </c>
      <c r="E296" s="6" t="str">
        <f>IFERROR(__xludf.DUMMYFUNCTION("GOOGLETRANSLATE(B296, ""en"", ""kn"")"),"ಸ್ಥಿತಿಯನ್ನು ನವೀಕರಿಸಲು ಒತ್ತಿರಿ")</f>
        <v>ಸ್ಥಿತಿಯನ್ನು ನವೀಕರಿಸಲು ಒತ್ತಿರಿ</v>
      </c>
      <c r="F296" s="7" t="str">
        <f>IFERROR(__xludf.DUMMYFUNCTION("GOOGLETRANSLATE(B296, ""en"", ""ml"")"),"സ്റ്റാറ്റസ് അപ്ഡേറ്റ് ചെയ്യാൻ അമർത്തുക")</f>
        <v>സ്റ്റാറ്റസ് അപ്ഡേറ്റ് ചെയ്യാൻ അമർത്തുക</v>
      </c>
      <c r="G296" s="7" t="str">
        <f>IFERROR(__xludf.DUMMYFUNCTION("GOOGLETRANSLATE(B296, ""en"", ""te"")"),"స్థితిని నవీకరించడానికి నొక్కండి")</f>
        <v>స్థితిని నవీకరించడానికి నొక్కండి</v>
      </c>
    </row>
    <row r="297">
      <c r="A297" s="4" t="s">
        <v>574</v>
      </c>
      <c r="B297" s="5" t="s">
        <v>575</v>
      </c>
      <c r="C297" s="6" t="str">
        <f>IFERROR(__xludf.DUMMYFUNCTION("GOOGLETRANSLATE(B297, ""en"", ""ta"")"),"பிக்அப் இடத்திற்கு வந்து சேர்ந்தீர்களா?")</f>
        <v>பிக்அப் இடத்திற்கு வந்து சேர்ந்தீர்களா?</v>
      </c>
      <c r="D297" s="6" t="str">
        <f>IFERROR(__xludf.DUMMYFUNCTION("GOOGLETRANSLATE(B297, ""en"", ""hi"")"),"पिकअप स्थान पर पहुंच गए?")</f>
        <v>पिकअप स्थान पर पहुंच गए?</v>
      </c>
      <c r="E297" s="6" t="str">
        <f>IFERROR(__xludf.DUMMYFUNCTION("GOOGLETRANSLATE(B297, ""en"", ""kn"")"),"ಪಿಕಪ್ ಸ್ಥಳಕ್ಕೆ ಬಂದಿದ್ದೀರಾ?")</f>
        <v>ಪಿಕಪ್ ಸ್ಥಳಕ್ಕೆ ಬಂದಿದ್ದೀರಾ?</v>
      </c>
      <c r="F297" s="7" t="str">
        <f>IFERROR(__xludf.DUMMYFUNCTION("GOOGLETRANSLATE(B297, ""en"", ""ml"")"),"പിക്കപ്പ് ലൊക്കേഷനിൽ എത്തിയോ?")</f>
        <v>പിക്കപ്പ് ലൊക്കേഷനിൽ എത്തിയോ?</v>
      </c>
      <c r="G297" s="7" t="str">
        <f>IFERROR(__xludf.DUMMYFUNCTION("GOOGLETRANSLATE(B297, ""en"", ""te"")"),"పికప్ లొకేషన్‌కి వచ్చారా?")</f>
        <v>పికప్ లొకేషన్‌కి వచ్చారా?</v>
      </c>
    </row>
    <row r="298">
      <c r="A298" s="4" t="s">
        <v>576</v>
      </c>
      <c r="B298" s="5" t="s">
        <v>577</v>
      </c>
      <c r="C298" s="6" t="str">
        <f>IFERROR(__xludf.DUMMYFUNCTION("GOOGLETRANSLATE(B298, ""en"", ""ta"")"),"எச்சரிக்கை")</f>
        <v>எச்சரிக்கை</v>
      </c>
      <c r="D298" s="6" t="str">
        <f>IFERROR(__xludf.DUMMYFUNCTION("GOOGLETRANSLATE(B298, ""en"", ""hi"")"),"चेतावनी")</f>
        <v>चेतावनी</v>
      </c>
      <c r="E298" s="6" t="str">
        <f>IFERROR(__xludf.DUMMYFUNCTION("GOOGLETRANSLATE(B298, ""en"", ""kn"")"),"ಎಚ್ಚರಿಕೆ")</f>
        <v>ಎಚ್ಚರಿಕೆ</v>
      </c>
      <c r="F298" s="7" t="str">
        <f>IFERROR(__xludf.DUMMYFUNCTION("GOOGLETRANSLATE(B298, ""en"", ""ml"")"),"അലേർട്ട്")</f>
        <v>അലേർട്ട്</v>
      </c>
      <c r="G298" s="7" t="str">
        <f>IFERROR(__xludf.DUMMYFUNCTION("GOOGLETRANSLATE(B298, ""en"", ""te"")"),"హెచ్చరిక")</f>
        <v>హెచ్చరిక</v>
      </c>
    </row>
    <row r="299">
      <c r="A299" s="4" t="s">
        <v>578</v>
      </c>
      <c r="B299" s="5" t="s">
        <v>579</v>
      </c>
      <c r="C299" s="6" t="str">
        <f>IFERROR(__xludf.DUMMYFUNCTION("GOOGLETRANSLATE(B299, ""en"", ""ta"")"),"OTP ஐ உள்ளிடவும்")</f>
        <v>OTP ஐ உள்ளிடவும்</v>
      </c>
      <c r="D299" s="6" t="str">
        <f>IFERROR(__xludf.DUMMYFUNCTION("GOOGLETRANSLATE(B299, ""en"", ""hi"")"),"ओटीपी दर्ज करें")</f>
        <v>ओटीपी दर्ज करें</v>
      </c>
      <c r="E299" s="6" t="str">
        <f>IFERROR(__xludf.DUMMYFUNCTION("GOOGLETRANSLATE(B299, ""en"", ""kn"")"),"ಒಟಿಪಿ ನಮೂದಿಸಿ")</f>
        <v>ಒಟಿಪಿ ನಮೂದಿಸಿ</v>
      </c>
      <c r="F299" s="7" t="str">
        <f>IFERROR(__xludf.DUMMYFUNCTION("GOOGLETRANSLATE(B299, ""en"", ""ml"")"),"OTP നൽകുക")</f>
        <v>OTP നൽകുക</v>
      </c>
      <c r="G299" s="7" t="str">
        <f>IFERROR(__xludf.DUMMYFUNCTION("GOOGLETRANSLATE(B299, ""en"", ""te"")"),"OTP ని నమోదు చేయండి")</f>
        <v>OTP ని నమోదు చేయండి</v>
      </c>
    </row>
    <row r="300">
      <c r="A300" s="4" t="s">
        <v>580</v>
      </c>
      <c r="B300" s="5" t="s">
        <v>581</v>
      </c>
      <c r="C300" s="6" t="str">
        <f>IFERROR(__xludf.DUMMYFUNCTION("GOOGLETRANSLATE(B300, ""en"", ""ta"")"),"நீங்கள் வெற்றிகரமாக உங்கள் இலக்கை அடைந்துவிட்டீர்கள்.")</f>
        <v>நீங்கள் வெற்றிகரமாக உங்கள் இலக்கை அடைந்துவிட்டீர்கள்.</v>
      </c>
      <c r="D300" s="6" t="str">
        <f>IFERROR(__xludf.DUMMYFUNCTION("GOOGLETRANSLATE(B300, ""en"", ""hi"")"),"आप सफलतापूर्वक अपने गंतव्य तक पहुंच गए हैं।")</f>
        <v>आप सफलतापूर्वक अपने गंतव्य तक पहुंच गए हैं।</v>
      </c>
      <c r="E300" s="6" t="str">
        <f>IFERROR(__xludf.DUMMYFUNCTION("GOOGLETRANSLATE(B300, ""en"", ""kn"")"),"ನೀವು ನಿಮ್ಮ ಗಮ್ಯಸ್ಥಾನವನ್ನು ಯಶಸ್ವಿಯಾಗಿ ತಲುಪಿದ್ದೀರಿ.")</f>
        <v>ನೀವು ನಿಮ್ಮ ಗಮ್ಯಸ್ಥಾನವನ್ನು ಯಶಸ್ವಿಯಾಗಿ ತಲುಪಿದ್ದೀರಿ.</v>
      </c>
      <c r="F300" s="7" t="str">
        <f>IFERROR(__xludf.DUMMYFUNCTION("GOOGLETRANSLATE(B300, ""en"", ""ml"")"),"നിങ്ങൾ വിജയകരമായി നിങ്ങളുടെ ലക്ഷ്യസ്ഥാനത്ത് എത്തിയിരിക്കുന്നു.")</f>
        <v>നിങ്ങൾ വിജയകരമായി നിങ്ങളുടെ ലക്ഷ്യസ്ഥാനത്ത് എത്തിയിരിക്കുന്നു.</v>
      </c>
      <c r="G300" s="7" t="str">
        <f>IFERROR(__xludf.DUMMYFUNCTION("GOOGLETRANSLATE(B300, ""en"", ""te"")"),"మీరు మీ గమ్యస్థానాన్ని విజయవంతంగా చేరుకున్నారు.")</f>
        <v>మీరు మీ గమ్యస్థానాన్ని విజయవంతంగా చేరుకున్నారు.</v>
      </c>
    </row>
    <row r="301">
      <c r="A301" s="4" t="s">
        <v>582</v>
      </c>
      <c r="B301" s="5" t="s">
        <v>583</v>
      </c>
      <c r="C301" s="6" t="str">
        <f>IFERROR(__xludf.DUMMYFUNCTION("GOOGLETRANSLATE(B301, ""en"", ""ta"")"),"பயணத்தை முடிக்கவும்")</f>
        <v>பயணத்தை முடிக்கவும்</v>
      </c>
      <c r="D301" s="6" t="str">
        <f>IFERROR(__xludf.DUMMYFUNCTION("GOOGLETRANSLATE(B301, ""en"", ""hi"")"),"यात्रा समाप्त")</f>
        <v>यात्रा समाप्त</v>
      </c>
      <c r="E301" s="6" t="str">
        <f>IFERROR(__xludf.DUMMYFUNCTION("GOOGLETRANSLATE(B301, ""en"", ""kn"")"),"ಪ್ರವಾಸ ಅಂತ್ಯಗೊಳಿಸಿ")</f>
        <v>ಪ್ರವಾಸ ಅಂತ್ಯಗೊಳಿಸಿ</v>
      </c>
      <c r="F301" s="7" t="str">
        <f>IFERROR(__xludf.DUMMYFUNCTION("GOOGLETRANSLATE(B301, ""en"", ""ml"")"),"യാത്ര അവസാനിപ്പിക്കുക")</f>
        <v>യാത്ര അവസാനിപ്പിക്കുക</v>
      </c>
      <c r="G301" s="7" t="str">
        <f>IFERROR(__xludf.DUMMYFUNCTION("GOOGLETRANSLATE(B301, ""en"", ""te"")"),"యాత్రను ముగించు")</f>
        <v>యాత్రను ముగించు</v>
      </c>
    </row>
    <row r="302">
      <c r="A302" s="4" t="s">
        <v>584</v>
      </c>
      <c r="B302" s="5" t="s">
        <v>585</v>
      </c>
      <c r="C302" s="6" t="str">
        <f>IFERROR(__xludf.DUMMYFUNCTION("GOOGLETRANSLATE(B302, ""en"", ""ta"")"),"தேவையான அனுமதிகளை இயக்கவும்.")</f>
        <v>தேவையான அனுமதிகளை இயக்கவும்.</v>
      </c>
      <c r="D302" s="6" t="str">
        <f>IFERROR(__xludf.DUMMYFUNCTION("GOOGLETRANSLATE(B302, ""en"", ""hi"")"),"कृपया आवश्यक अनुमतियाँ सक्षम करें")</f>
        <v>कृपया आवश्यक अनुमतियाँ सक्षम करें</v>
      </c>
      <c r="E302" s="6" t="str">
        <f>IFERROR(__xludf.DUMMYFUNCTION("GOOGLETRANSLATE(B302, ""en"", ""kn"")"),"ದಯವಿಟ್ಟು ಅಗತ್ಯವಿರುವ ಅನುಮತಿಗಳನ್ನು ಸಕ್ರಿಯಗೊಳಿಸಿ.")</f>
        <v>ದಯವಿಟ್ಟು ಅಗತ್ಯವಿರುವ ಅನುಮತಿಗಳನ್ನು ಸಕ್ರಿಯಗೊಳಿಸಿ.</v>
      </c>
      <c r="F302" s="7" t="str">
        <f>IFERROR(__xludf.DUMMYFUNCTION("GOOGLETRANSLATE(B302, ""en"", ""ml"")"),"ആവശ്യമായ അനുമതികൾ പ്രവർത്തനക്ഷമമാക്കുക.")</f>
        <v>ആവശ്യമായ അനുമതികൾ പ്രവർത്തനക്ഷമമാക്കുക.</v>
      </c>
      <c r="G302" s="7" t="str">
        <f>IFERROR(__xludf.DUMMYFUNCTION("GOOGLETRANSLATE(B302, ""en"", ""te"")"),"దయచేసి అవసరమైన అనుమతులను ప్రారంభించండి.")</f>
        <v>దయచేసి అవసరమైన అనుమతులను ప్రారంభించండి.</v>
      </c>
    </row>
    <row r="303">
      <c r="A303" s="4" t="s">
        <v>329</v>
      </c>
      <c r="B303" s="5" t="s">
        <v>330</v>
      </c>
      <c r="C303" s="6" t="str">
        <f>IFERROR(__xludf.DUMMYFUNCTION("GOOGLETRANSLATE(B303, ""en"", ""ta"")"),"இப்போதே இயக்கு")</f>
        <v>இப்போதே இயக்கு</v>
      </c>
      <c r="D303" s="6" t="str">
        <f>IFERROR(__xludf.DUMMYFUNCTION("GOOGLETRANSLATE(B303, ""en"", ""hi"")"),"अभी सक्षम करें")</f>
        <v>अभी सक्षम करें</v>
      </c>
      <c r="E303" s="6" t="str">
        <f>IFERROR(__xludf.DUMMYFUNCTION("GOOGLETRANSLATE(B303, ""en"", ""kn"")"),"ಈಗ ಸಕ್ರಿಯಗೊಳಿಸಿ")</f>
        <v>ಈಗ ಸಕ್ರಿಯಗೊಳಿಸಿ</v>
      </c>
      <c r="F303" s="7" t="str">
        <f>IFERROR(__xludf.DUMMYFUNCTION("GOOGLETRANSLATE(B303, ""en"", ""ml"")"),"ഇപ്പോൾ പ്രവർത്തനക്ഷമമാക്കുക")</f>
        <v>ഇപ്പോൾ പ്രവർത്തനക്ഷമമാക്കുക</v>
      </c>
      <c r="G303" s="7" t="str">
        <f>IFERROR(__xludf.DUMMYFUNCTION("GOOGLETRANSLATE(B303, ""en"", ""te"")"),"ఇప్పుడే ప్రారంభించు")</f>
        <v>ఇప్పుడే ప్రారంభించు</v>
      </c>
    </row>
    <row r="304">
      <c r="A304" s="4" t="s">
        <v>586</v>
      </c>
      <c r="B304" s="5" t="s">
        <v>587</v>
      </c>
      <c r="C304" s="6" t="str">
        <f>IFERROR(__xludf.DUMMYFUNCTION("GOOGLETRANSLATE(B304, ""en"", ""ta"")"),"இடம் கிடைக்கவில்லை.")</f>
        <v>இடம் கிடைக்கவில்லை.</v>
      </c>
      <c r="D304" s="6" t="str">
        <f>IFERROR(__xludf.DUMMYFUNCTION("GOOGLETRANSLATE(B304, ""en"", ""hi"")"),"स्थान नहीं मिला")</f>
        <v>स्थान नहीं मिला</v>
      </c>
      <c r="E304" s="6" t="str">
        <f>IFERROR(__xludf.DUMMYFUNCTION("GOOGLETRANSLATE(B304, ""en"", ""kn"")"),"ಸ್ಥಳ ಕಂಡುಬಂದಿಲ್ಲ.")</f>
        <v>ಸ್ಥಳ ಕಂಡುಬಂದಿಲ್ಲ.</v>
      </c>
      <c r="F304" s="7" t="str">
        <f>IFERROR(__xludf.DUMMYFUNCTION("GOOGLETRANSLATE(B304, ""en"", ""ml"")"),"സ്ഥലം കണ്ടെത്തിയില്ല.")</f>
        <v>സ്ഥലം കണ്ടെത്തിയില്ല.</v>
      </c>
      <c r="G304" s="7" t="str">
        <f>IFERROR(__xludf.DUMMYFUNCTION("GOOGLETRANSLATE(B304, ""en"", ""te"")"),"స్థానం కనుగొనబడలేదు")</f>
        <v>స్థానం కనుగొనబడలేదు</v>
      </c>
    </row>
    <row r="305">
      <c r="A305" s="4" t="s">
        <v>588</v>
      </c>
      <c r="B305" s="5" t="s">
        <v>589</v>
      </c>
      <c r="C305" s="6" t="str">
        <f>IFERROR(__xludf.DUMMYFUNCTION("GOOGLETRANSLATE(B305, ""en"", ""ta"")"),"மீண்டும் முயற்சிக்கவும்")</f>
        <v>மீண்டும் முயற்சிக்கவும்</v>
      </c>
      <c r="D305" s="6" t="str">
        <f>IFERROR(__xludf.DUMMYFUNCTION("GOOGLETRANSLATE(B305, ""en"", ""hi"")"),"पुनः प्रयास करें")</f>
        <v>पुनः प्रयास करें</v>
      </c>
      <c r="E305" s="6" t="str">
        <f>IFERROR(__xludf.DUMMYFUNCTION("GOOGLETRANSLATE(B305, ""en"", ""kn"")"),"ಮತ್ತೆ ಪ್ರಯತ್ನಿಸಿ")</f>
        <v>ಮತ್ತೆ ಪ್ರಯತ್ನಿಸಿ</v>
      </c>
      <c r="F305" s="7" t="str">
        <f>IFERROR(__xludf.DUMMYFUNCTION("GOOGLETRANSLATE(B305, ""en"", ""ml"")"),"വീണ്ടും ശ്രമിക്കുക")</f>
        <v>വീണ്ടും ശ്രമിക്കുക</v>
      </c>
      <c r="G305" s="7" t="str">
        <f>IFERROR(__xludf.DUMMYFUNCTION("GOOGLETRANSLATE(B305, ""en"", ""te"")"),"మళ్ళీ ప్రయత్నించండి")</f>
        <v>మళ్ళీ ప్రయత్నించండి</v>
      </c>
    </row>
    <row r="306">
      <c r="A306" s="4" t="s">
        <v>590</v>
      </c>
      <c r="B306" s="5" t="s">
        <v>591</v>
      </c>
      <c r="C306" s="6" t="str">
        <f>IFERROR(__xludf.DUMMYFUNCTION("GOOGLETRANSLATE(B306, ""en"", ""ta"")"),"தயவுசெய்து OTP ஐ உள்ளிடவும்.")</f>
        <v>தயவுசெய்து OTP ஐ உள்ளிடவும்.</v>
      </c>
      <c r="D306" s="6" t="str">
        <f>IFERROR(__xludf.DUMMYFUNCTION("GOOGLETRANSLATE(B306, ""en"", ""hi"")"),"कृपया ओटीपी दर्ज करें")</f>
        <v>कृपया ओटीपी दर्ज करें</v>
      </c>
      <c r="E306" s="6" t="str">
        <f>IFERROR(__xludf.DUMMYFUNCTION("GOOGLETRANSLATE(B306, ""en"", ""kn"")"),"ದಯವಿಟ್ಟು OTP ನಮೂದಿಸಿ")</f>
        <v>ದಯವಿಟ್ಟು OTP ನಮೂದಿಸಿ</v>
      </c>
      <c r="F306" s="7" t="str">
        <f>IFERROR(__xludf.DUMMYFUNCTION("GOOGLETRANSLATE(B306, ""en"", ""ml"")"),"ദയവായി OTP നൽകുക")</f>
        <v>ദയവായി OTP നൽകുക</v>
      </c>
      <c r="G306" s="7" t="str">
        <f>IFERROR(__xludf.DUMMYFUNCTION("GOOGLETRANSLATE(B306, ""en"", ""te"")"),"దయచేసి OTP ని నమోదు చేయండి")</f>
        <v>దయచేసి OTP ని నమోదు చేయండి</v>
      </c>
    </row>
    <row r="307">
      <c r="A307" s="4" t="s">
        <v>592</v>
      </c>
      <c r="B307" s="5" t="s">
        <v>593</v>
      </c>
      <c r="C307" s="6" t="str">
        <f>IFERROR(__xludf.DUMMYFUNCTION("GOOGLETRANSLATE(B307, ""en"", ""ta"")"),"நீங்கள் உங்கள் பிக்அப் இடத்தை அடைந்துவிட்டீர்கள்.")</f>
        <v>நீங்கள் உங்கள் பிக்அப் இடத்தை அடைந்துவிட்டீர்கள்.</v>
      </c>
      <c r="D307" s="6" t="str">
        <f>IFERROR(__xludf.DUMMYFUNCTION("GOOGLETRANSLATE(B307, ""en"", ""hi"")"),"आप अपने पिकअप स्थान पर पहुंच गए हैं।")</f>
        <v>आप अपने पिकअप स्थान पर पहुंच गए हैं।</v>
      </c>
      <c r="E307" s="6" t="str">
        <f>IFERROR(__xludf.DUMMYFUNCTION("GOOGLETRANSLATE(B307, ""en"", ""kn"")"),"ನೀವು ನಿಮ್ಮ ಪಿಕಪ್ ಸ್ಥಳವನ್ನು ತಲುಪಿದ್ದೀರಿ.")</f>
        <v>ನೀವು ನಿಮ್ಮ ಪಿಕಪ್ ಸ್ಥಳವನ್ನು ತಲುಪಿದ್ದೀರಿ.</v>
      </c>
      <c r="F307" s="7" t="str">
        <f>IFERROR(__xludf.DUMMYFUNCTION("GOOGLETRANSLATE(B307, ""en"", ""ml"")"),"നിങ്ങൾ പിക്കപ്പ് ലൊക്കേഷനിൽ എത്തിയിരിക്കുന്നു.")</f>
        <v>നിങ്ങൾ പിക്കപ്പ് ലൊക്കേഷനിൽ എത്തിയിരിക്കുന്നു.</v>
      </c>
      <c r="G307" s="7" t="str">
        <f>IFERROR(__xludf.DUMMYFUNCTION("GOOGLETRANSLATE(B307, ""en"", ""te"")"),"మీరు మీ పికప్ స్థానానికి చేరుకున్నారు.")</f>
        <v>మీరు మీ పికప్ స్థానానికి చేరుకున్నారు.</v>
      </c>
    </row>
    <row r="308">
      <c r="A308" s="4" t="s">
        <v>594</v>
      </c>
      <c r="B308" s="5" t="s">
        <v>595</v>
      </c>
      <c r="C308" s="6" t="str">
        <f>IFERROR(__xludf.DUMMYFUNCTION("GOOGLETRANSLATE(B308, ""en"", ""ta"")"),"தயவுசெய்து OTP ஐ உள்ளிடவும்.")</f>
        <v>தயவுசெய்து OTP ஐ உள்ளிடவும்.</v>
      </c>
      <c r="D308" s="6" t="str">
        <f>IFERROR(__xludf.DUMMYFUNCTION("GOOGLETRANSLATE(B308, ""en"", ""hi"")"),"कृपया ओटीपी दर्ज करें")</f>
        <v>कृपया ओटीपी दर्ज करें</v>
      </c>
      <c r="E308" s="6" t="str">
        <f>IFERROR(__xludf.DUMMYFUNCTION("GOOGLETRANSLATE(B308, ""en"", ""kn"")"),"ದಯವಿಟ್ಟು OTP ನಮೂದಿಸಿ")</f>
        <v>ದಯವಿಟ್ಟು OTP ನಮೂದಿಸಿ</v>
      </c>
      <c r="F308" s="7" t="str">
        <f>IFERROR(__xludf.DUMMYFUNCTION("GOOGLETRANSLATE(B308, ""en"", ""ml"")"),"ദയവായി OTP നൽകുക")</f>
        <v>ദയവായി OTP നൽകുക</v>
      </c>
      <c r="G308" s="7" t="str">
        <f>IFERROR(__xludf.DUMMYFUNCTION("GOOGLETRANSLATE(B308, ""en"", ""te"")"),"దయచేసి OTP ని నమోదు చేయండి")</f>
        <v>దయచేసి OTP ని నమోదు చేయండి</v>
      </c>
    </row>
    <row r="309">
      <c r="A309" s="4" t="s">
        <v>596</v>
      </c>
      <c r="B309" s="5" t="s">
        <v>597</v>
      </c>
      <c r="C309" s="6" t="str">
        <f>IFERROR(__xludf.DUMMYFUNCTION("GOOGLETRANSLATE(B309, ""en"", ""ta"")"),"நீங்கள் உங்கள் அடுத்த நிறுத்த இடத்தை அடைந்துவிட்டீர்கள்.")</f>
        <v>நீங்கள் உங்கள் அடுத்த நிறுத்த இடத்தை அடைந்துவிட்டீர்கள்.</v>
      </c>
      <c r="D309" s="6" t="str">
        <f>IFERROR(__xludf.DUMMYFUNCTION("GOOGLETRANSLATE(B309, ""en"", ""hi"")"),"आप अपने अगले पड़ाव पर पहुँच चुके हैं।")</f>
        <v>आप अपने अगले पड़ाव पर पहुँच चुके हैं।</v>
      </c>
      <c r="E309" s="6" t="str">
        <f>IFERROR(__xludf.DUMMYFUNCTION("GOOGLETRANSLATE(B309, ""en"", ""kn"")"),"ನೀವು ನಿಮ್ಮ ಮುಂದಿನ ನಿಲ್ದಾಣದ ಸ್ಥಳವನ್ನು ತಲುಪಿದ್ದೀರಿ.")</f>
        <v>ನೀವು ನಿಮ್ಮ ಮುಂದಿನ ನಿಲ್ದಾಣದ ಸ್ಥಳವನ್ನು ತಲುಪಿದ್ದೀರಿ.</v>
      </c>
      <c r="F309" s="7" t="str">
        <f>IFERROR(__xludf.DUMMYFUNCTION("GOOGLETRANSLATE(B309, ""en"", ""ml"")"),"നിങ്ങൾ അടുത്ത സ്റ്റോപ്പ് സ്ഥലത്ത് എത്തിയിരിക്കുന്നു.")</f>
        <v>നിങ്ങൾ അടുത്ത സ്റ്റോപ്പ് സ്ഥലത്ത് എത്തിയിരിക്കുന്നു.</v>
      </c>
      <c r="G309" s="7" t="str">
        <f>IFERROR(__xludf.DUMMYFUNCTION("GOOGLETRANSLATE(B309, ""en"", ""te"")"),"మీరు మీ తదుపరి స్టాప్ స్థానానికి చేరుకున్నారు.")</f>
        <v>మీరు మీ తదుపరి స్టాప్ స్థానానికి చేరుకున్నారు.</v>
      </c>
    </row>
    <row r="310">
      <c r="A310" s="4" t="s">
        <v>598</v>
      </c>
      <c r="B310" s="5" t="s">
        <v>599</v>
      </c>
      <c r="C310" s="6" t="str">
        <f>IFERROR(__xludf.DUMMYFUNCTION("GOOGLETRANSLATE(B310, ""en"", ""ta"")"),"இன்னும் ஏறவில்லை")</f>
        <v>இன்னும் ஏறவில்லை</v>
      </c>
      <c r="D310" s="6" t="str">
        <f>IFERROR(__xludf.DUMMYFUNCTION("GOOGLETRANSLATE(B310, ""en"", ""hi"")"),"अभी बोर्डिंग बाकी है")</f>
        <v>अभी बोर्डिंग बाकी है</v>
      </c>
      <c r="E310" s="6" t="str">
        <f>IFERROR(__xludf.DUMMYFUNCTION("GOOGLETRANSLATE(B310, ""en"", ""kn"")"),"ಇನ್ನೂ ಹತ್ತಬೇಕಿದೆ")</f>
        <v>ಇನ್ನೂ ಹತ್ತಬೇಕಿದೆ</v>
      </c>
      <c r="F310" s="7" t="str">
        <f>IFERROR(__xludf.DUMMYFUNCTION("GOOGLETRANSLATE(B310, ""en"", ""ml"")"),"ഇനിയും കയറേണ്ടതുണ്ട്")</f>
        <v>ഇനിയും കയറേണ്ടതുണ്ട്</v>
      </c>
      <c r="G310" s="7" t="str">
        <f>IFERROR(__xludf.DUMMYFUNCTION("GOOGLETRANSLATE(B310, ""en"", ""te"")"),"ఇంకా ఎక్కలేదు")</f>
        <v>ఇంకా ఎక్కలేదు</v>
      </c>
    </row>
    <row r="311">
      <c r="A311" s="4" t="s">
        <v>600</v>
      </c>
      <c r="B311" s="5" t="s">
        <v>601</v>
      </c>
      <c r="C311" s="6" t="str">
        <f>IFERROR(__xludf.DUMMYFUNCTION("GOOGLETRANSLATE(B311, ""en"", ""ta"")"),"வழிசெலுத்தல் பயன்முறையைத் தேர்வுசெய்க")</f>
        <v>வழிசெலுத்தல் பயன்முறையைத் தேர்வுசெய்க</v>
      </c>
      <c r="D311" s="6" t="str">
        <f>IFERROR(__xludf.DUMMYFUNCTION("GOOGLETRANSLATE(B311, ""en"", ""hi"")"),"नेविगेशन मोड चुनें")</f>
        <v>नेविगेशन मोड चुनें</v>
      </c>
      <c r="E311" s="6" t="str">
        <f>IFERROR(__xludf.DUMMYFUNCTION("GOOGLETRANSLATE(B311, ""en"", ""kn"")"),"ನ್ಯಾವಿಗೇಷನ್ ಮೋಡ್ ಆಯ್ಕೆಮಾಡಿ")</f>
        <v>ನ್ಯಾವಿಗೇಷನ್ ಮೋಡ್ ಆಯ್ಕೆಮಾಡಿ</v>
      </c>
      <c r="F311" s="7" t="str">
        <f>IFERROR(__xludf.DUMMYFUNCTION("GOOGLETRANSLATE(B311, ""en"", ""ml"")"),"നാവിഗേഷൻ മോഡ് തിരഞ്ഞെടുക്കുക")</f>
        <v>നാവിഗേഷൻ മോഡ് തിരഞ്ഞെടുക്കുക</v>
      </c>
      <c r="G311" s="7" t="str">
        <f>IFERROR(__xludf.DUMMYFUNCTION("GOOGLETRANSLATE(B311, ""en"", ""te"")"),"నావిగేషన్ మోడ్‌ను ఎంచుకోండి")</f>
        <v>నావిగేషన్ మోడ్‌ను ఎంచుకోండి</v>
      </c>
    </row>
    <row r="312">
      <c r="A312" s="4" t="s">
        <v>602</v>
      </c>
      <c r="B312" s="5" t="s">
        <v>603</v>
      </c>
      <c r="C312" s="6" t="str">
        <f>IFERROR(__xludf.DUMMYFUNCTION("GOOGLETRANSLATE(B312, ""en"", ""ta"")"),"கூகிள் வரைபடம்")</f>
        <v>கூகிள் வரைபடம்</v>
      </c>
      <c r="D312" s="6" t="str">
        <f>IFERROR(__xludf.DUMMYFUNCTION("GOOGLETRANSLATE(B312, ""en"", ""hi"")"),"गूगल नक़्शे")</f>
        <v>गूगल नक़्शे</v>
      </c>
      <c r="E312" s="6" t="str">
        <f>IFERROR(__xludf.DUMMYFUNCTION("GOOGLETRANSLATE(B312, ""en"", ""kn"")"),"ಗೂಗಲ್ ನಕ್ಷೆ")</f>
        <v>ಗೂಗಲ್ ನಕ್ಷೆ</v>
      </c>
      <c r="F312" s="7" t="str">
        <f>IFERROR(__xludf.DUMMYFUNCTION("GOOGLETRANSLATE(B312, ""en"", ""ml"")"),"ഗൂഗിൾ മാപ്പ്")</f>
        <v>ഗൂഗിൾ മാപ്പ്</v>
      </c>
      <c r="G312" s="7" t="str">
        <f>IFERROR(__xludf.DUMMYFUNCTION("GOOGLETRANSLATE(B312, ""en"", ""te"")"),"గూగుల్ మ్యాప్")</f>
        <v>గూగుల్ మ్యాప్</v>
      </c>
    </row>
    <row r="313">
      <c r="A313" s="4" t="s">
        <v>604</v>
      </c>
      <c r="B313" s="5" t="s">
        <v>605</v>
      </c>
      <c r="C313" s="6" t="str">
        <f>IFERROR(__xludf.DUMMYFUNCTION("GOOGLETRANSLATE(B313, ""en"", ""ta"")"),"VM வரைபடம்")</f>
        <v>VM வரைபடம்</v>
      </c>
      <c r="D313" s="6" t="str">
        <f>IFERROR(__xludf.DUMMYFUNCTION("GOOGLETRANSLATE(B313, ""en"", ""hi"")"),"वीएम मानचित्र")</f>
        <v>वीएम मानचित्र</v>
      </c>
      <c r="E313" s="6" t="str">
        <f>IFERROR(__xludf.DUMMYFUNCTION("GOOGLETRANSLATE(B313, ""en"", ""kn"")"),"VM ನಕ್ಷೆ")</f>
        <v>VM ನಕ್ಷೆ</v>
      </c>
      <c r="F313" s="7" t="str">
        <f>IFERROR(__xludf.DUMMYFUNCTION("GOOGLETRANSLATE(B313, ""en"", ""ml"")"),"VM മാപ്പ്")</f>
        <v>VM മാപ്പ്</v>
      </c>
      <c r="G313" s="7" t="str">
        <f>IFERROR(__xludf.DUMMYFUNCTION("GOOGLETRANSLATE(B313, ""en"", ""te"")"),"VM మ్యాప్")</f>
        <v>VM మ్యాప్</v>
      </c>
    </row>
    <row r="314">
      <c r="A314" s="4" t="s">
        <v>606</v>
      </c>
      <c r="B314" s="5" t="s">
        <v>607</v>
      </c>
      <c r="C314" s="6" t="str">
        <f>IFERROR(__xludf.DUMMYFUNCTION("GOOGLETRANSLATE(B314, ""en"", ""ta"")"),"செயலில் உள்ள பாதை இல்லை")</f>
        <v>செயலில் உள்ள பாதை இல்லை</v>
      </c>
      <c r="D314" s="6" t="str">
        <f>IFERROR(__xludf.DUMMYFUNCTION("GOOGLETRANSLATE(B314, ""en"", ""hi"")"),"कोई सक्रिय मार्ग नहीं")</f>
        <v>कोई सक्रिय मार्ग नहीं</v>
      </c>
      <c r="E314" s="6" t="str">
        <f>IFERROR(__xludf.DUMMYFUNCTION("GOOGLETRANSLATE(B314, ""en"", ""kn"")"),"ಯಾವುದೇ ಸಕ್ರಿಯ ಮಾರ್ಗವಿಲ್ಲ")</f>
        <v>ಯಾವುದೇ ಸಕ್ರಿಯ ಮಾರ್ಗವಿಲ್ಲ</v>
      </c>
      <c r="F314" s="7" t="str">
        <f>IFERROR(__xludf.DUMMYFUNCTION("GOOGLETRANSLATE(B314, ""en"", ""ml"")"),"സജീവമായ വഴിയില്ല")</f>
        <v>സജീവമായ വഴിയില്ല</v>
      </c>
      <c r="G314" s="7" t="str">
        <f>IFERROR(__xludf.DUMMYFUNCTION("GOOGLETRANSLATE(B314, ""en"", ""te"")"),"యాక్టివ్ రూట్ లేదు")</f>
        <v>యాక్టివ్ రూట్ లేదు</v>
      </c>
    </row>
    <row r="315">
      <c r="A315" s="4" t="s">
        <v>608</v>
      </c>
      <c r="B315" s="5" t="s">
        <v>609</v>
      </c>
      <c r="C315" s="6" t="str">
        <f>IFERROR(__xludf.DUMMYFUNCTION("GOOGLETRANSLATE(B315, ""en"", ""ta"")"),"பயணத்தை ரத்துசெய்")</f>
        <v>பயணத்தை ரத்துசெய்</v>
      </c>
      <c r="D315" s="6" t="str">
        <f>IFERROR(__xludf.DUMMYFUNCTION("GOOGLETRANSLATE(B315, ""en"", ""hi"")"),"राइड रद्द करें")</f>
        <v>राइड रद्द करें</v>
      </c>
      <c r="E315" s="6" t="str">
        <f>IFERROR(__xludf.DUMMYFUNCTION("GOOGLETRANSLATE(B315, ""en"", ""kn"")"),"ಸವಾರಿ ರದ್ದುಗೊಳಿಸಿ")</f>
        <v>ಸವಾರಿ ರದ್ದುಗೊಳಿಸಿ</v>
      </c>
      <c r="F315" s="7" t="str">
        <f>IFERROR(__xludf.DUMMYFUNCTION("GOOGLETRANSLATE(B315, ""en"", ""ml"")"),"റൈഡ് റദ്ദാക്കുക")</f>
        <v>റൈഡ് റദ്ദാക്കുക</v>
      </c>
      <c r="G315" s="7" t="str">
        <f>IFERROR(__xludf.DUMMYFUNCTION("GOOGLETRANSLATE(B315, ""en"", ""te"")"),"రైడ్‌ను రద్దు చేయి")</f>
        <v>రైడ్‌ను రద్దు చేయి</v>
      </c>
    </row>
    <row r="316">
      <c r="A316" s="10" t="s">
        <v>610</v>
      </c>
      <c r="B316" s="9" t="s">
        <v>611</v>
      </c>
      <c r="C316" s="6" t="str">
        <f>IFERROR(__xludf.DUMMYFUNCTION("GOOGLETRANSLATE(B316, ""en"", ""ta"")"),"பயணியை அடைய முடியவில்லை அல்லது பிக்அப் இடத்தில் இல்லை.")</f>
        <v>பயணியை அடைய முடியவில்லை அல்லது பிக்அப் இடத்தில் இல்லை.</v>
      </c>
      <c r="D316" s="6" t="str">
        <f>IFERROR(__xludf.DUMMYFUNCTION("GOOGLETRANSLATE(B316, ""en"", ""hi"")"),"राइडर से संपर्क नहीं हो पा रहा है या वह पिकअप स्थान पर मौजूद नहीं है")</f>
        <v>राइडर से संपर्क नहीं हो पा रहा है या वह पिकअप स्थान पर मौजूद नहीं है</v>
      </c>
      <c r="E316" s="6" t="str">
        <f>IFERROR(__xludf.DUMMYFUNCTION("GOOGLETRANSLATE(B316, ""en"", ""kn"")"),"ಸವಾರನನ್ನು ತಲುಪಲು ಸಾಧ್ಯವಾಗುತ್ತಿಲ್ಲ ಅಥವಾ ಪಿಕಪ್ ಸ್ಥಳದಲ್ಲಿ ಲಭ್ಯವಿಲ್ಲ.")</f>
        <v>ಸವಾರನನ್ನು ತಲುಪಲು ಸಾಧ್ಯವಾಗುತ್ತಿಲ್ಲ ಅಥವಾ ಪಿಕಪ್ ಸ್ಥಳದಲ್ಲಿ ಲಭ್ಯವಿಲ್ಲ.</v>
      </c>
      <c r="F316" s="7" t="str">
        <f>IFERROR(__xludf.DUMMYFUNCTION("GOOGLETRANSLATE(B316, ""en"", ""ml"")"),"റൈഡറെ ബന്ധപ്പെടാൻ കഴിയുന്നില്ല അല്ലെങ്കിൽ പിക്കപ്പ് ലൊക്കേഷനിൽ ഇല്ല.")</f>
        <v>റൈഡറെ ബന്ധപ്പെടാൻ കഴിയുന്നില്ല അല്ലെങ്കിൽ പിക്കപ്പ് ലൊക്കേഷനിൽ ഇല്ല.</v>
      </c>
      <c r="G316" s="7" t="str">
        <f>IFERROR(__xludf.DUMMYFUNCTION("GOOGLETRANSLATE(B316, ""en"", ""te"")"),"రైడర్ అందుబాటులో లేరు లేదా పికప్ లొకేషన్‌లో లేరు")</f>
        <v>రైడర్ అందుబాటులో లేరు లేదా పికప్ లొకేషన్‌లో లేరు</v>
      </c>
    </row>
    <row r="317">
      <c r="A317" s="10" t="s">
        <v>612</v>
      </c>
      <c r="B317" s="9" t="s">
        <v>613</v>
      </c>
      <c r="C317" s="6" t="str">
        <f>IFERROR(__xludf.DUMMYFUNCTION("GOOGLETRANSLATE(B317, ""en"", ""ta"")"),"தவறான அல்லது தொலைவில் உள்ள பிக்அப் இடம்")</f>
        <v>தவறான அல்லது தொலைவில் உள்ள பிக்அப் இடம்</v>
      </c>
      <c r="D317" s="6" t="str">
        <f>IFERROR(__xludf.DUMMYFUNCTION("GOOGLETRANSLATE(B317, ""en"", ""hi"")"),"गलत या बहुत दूर स्थित पिकअप स्थान")</f>
        <v>गलत या बहुत दूर स्थित पिकअप स्थान</v>
      </c>
      <c r="E317" s="6" t="str">
        <f>IFERROR(__xludf.DUMMYFUNCTION("GOOGLETRANSLATE(B317, ""en"", ""kn"")"),"ತಪ್ಪಾದ ಅಥವಾ ದೂರದ ಪಿಕಪ್ ಸ್ಥಳ")</f>
        <v>ತಪ್ಪಾದ ಅಥವಾ ದೂರದ ಪಿಕಪ್ ಸ್ಥಳ</v>
      </c>
      <c r="F317" s="7" t="str">
        <f>IFERROR(__xludf.DUMMYFUNCTION("GOOGLETRANSLATE(B317, ""en"", ""ml"")"),"തെറ്റായ അല്ലെങ്കിൽ അകലെയുള്ള പിക്കപ്പ് ലൊക്കേഷൻ")</f>
        <v>തെറ്റായ അല്ലെങ്കിൽ അകലെയുള്ള പിക്കപ്പ് ലൊക്കേഷൻ</v>
      </c>
      <c r="G317" s="7" t="str">
        <f>IFERROR(__xludf.DUMMYFUNCTION("GOOGLETRANSLATE(B317, ""en"", ""te"")"),"తప్పు లేదా దూరంగా పికప్ స్థానం")</f>
        <v>తప్పు లేదా దూరంగా పికప్ స్థానం</v>
      </c>
    </row>
    <row r="318">
      <c r="A318" s="10" t="s">
        <v>614</v>
      </c>
      <c r="B318" s="9" t="s">
        <v>615</v>
      </c>
      <c r="C318" s="6" t="str">
        <f>IFERROR(__xludf.DUMMYFUNCTION("GOOGLETRANSLATE(B318, ""en"", ""ta"")"),"சேருமிடம் மிக தொலைவில் அல்லது சேவைப் பகுதிக்கு வெளியே உள்ளது.")</f>
        <v>சேருமிடம் மிக தொலைவில் அல்லது சேவைப் பகுதிக்கு வெளியே உள்ளது.</v>
      </c>
      <c r="D318" s="6" t="str">
        <f>IFERROR(__xludf.DUMMYFUNCTION("GOOGLETRANSLATE(B318, ""en"", ""hi"")"),"गंतव्य बहुत दूर है या सेवा क्षेत्र से बाहर है")</f>
        <v>गंतव्य बहुत दूर है या सेवा क्षेत्र से बाहर है</v>
      </c>
      <c r="E318" s="6" t="str">
        <f>IFERROR(__xludf.DUMMYFUNCTION("GOOGLETRANSLATE(B318, ""en"", ""kn"")"),"ಗಮ್ಯಸ್ಥಾನವು ತುಂಬಾ ದೂರದಲ್ಲಿದೆ ಅಥವಾ ಸೇವಾ ಪ್ರದೇಶದ ಹೊರಗೆ ಇದೆ.")</f>
        <v>ಗಮ್ಯಸ್ಥಾನವು ತುಂಬಾ ದೂರದಲ್ಲಿದೆ ಅಥವಾ ಸೇವಾ ಪ್ರದೇಶದ ಹೊರಗೆ ಇದೆ.</v>
      </c>
      <c r="F318" s="7" t="str">
        <f>IFERROR(__xludf.DUMMYFUNCTION("GOOGLETRANSLATE(B318, ""en"", ""ml"")"),"ലക്ഷ്യസ്ഥാനം വളരെ ദൂരെയാണ് അല്ലെങ്കിൽ സേവന മേഖലയ്ക്ക് പുറത്താണ്.")</f>
        <v>ലക്ഷ്യസ്ഥാനം വളരെ ദൂരെയാണ് അല്ലെങ്കിൽ സേവന മേഖലയ്ക്ക് പുറത്താണ്.</v>
      </c>
      <c r="G318" s="7" t="str">
        <f>IFERROR(__xludf.DUMMYFUNCTION("GOOGLETRANSLATE(B318, ""en"", ""te"")"),"గమ్యస్థానం చాలా దూరంలో లేదా సేవా ప్రాంతం వెలుపల ఉంది")</f>
        <v>గమ్యస్థానం చాలా దూరంలో లేదా సేవా ప్రాంతం వెలుపల ఉంది</v>
      </c>
    </row>
    <row r="319">
      <c r="A319" s="10" t="s">
        <v>616</v>
      </c>
      <c r="B319" s="9" t="s">
        <v>617</v>
      </c>
      <c r="C319" s="6" t="str">
        <f>IFERROR(__xludf.DUMMYFUNCTION("GOOGLETRANSLATE(B319, ""en"", ""ta"")"),"முன்பதிவு செய்த பிறகு பயணி டிராப் இடத்தை மாற்றினார்.")</f>
        <v>முன்பதிவு செய்த பிறகு பயணி டிராப் இடத்தை மாற்றினார்.</v>
      </c>
      <c r="D319" s="6" t="str">
        <f>IFERROR(__xludf.DUMMYFUNCTION("GOOGLETRANSLATE(B319, ""en"", ""hi"")"),"बुकिंग के बाद राइडर ने ड्रॉप लोकेशन बदल दी।")</f>
        <v>बुकिंग के बाद राइडर ने ड्रॉप लोकेशन बदल दी।</v>
      </c>
      <c r="E319" s="6" t="str">
        <f>IFERROR(__xludf.DUMMYFUNCTION("GOOGLETRANSLATE(B319, ""en"", ""kn"")"),"ಬುಕಿಂಗ್ ಮಾಡಿದ ನಂತರ ಸವಾರ ಡ್ರಾಪ್ ಸ್ಥಳವನ್ನು ಬದಲಾಯಿಸಿದರು.")</f>
        <v>ಬುಕಿಂಗ್ ಮಾಡಿದ ನಂತರ ಸವಾರ ಡ್ರಾಪ್ ಸ್ಥಳವನ್ನು ಬದಲಾಯಿಸಿದರು.</v>
      </c>
      <c r="F319" s="7" t="str">
        <f>IFERROR(__xludf.DUMMYFUNCTION("GOOGLETRANSLATE(B319, ""en"", ""ml"")"),"ബുക്കിംഗിന് ശേഷം റൈഡർ ഡ്രോപ്പ് ലൊക്കേഷൻ മാറ്റി.")</f>
        <v>ബുക്കിംഗിന് ശേഷം റൈഡർ ഡ്രോപ്പ് ലൊക്കേഷൻ മാറ്റി.</v>
      </c>
      <c r="G319" s="7" t="str">
        <f>IFERROR(__xludf.DUMMYFUNCTION("GOOGLETRANSLATE(B319, ""en"", ""te"")"),"బుకింగ్ తర్వాత రైడర్ డ్రాప్ లొకేషన్ మార్చాడు.")</f>
        <v>బుకింగ్ తర్వాత రైడర్ డ్రాప్ లొకేషన్ మార్చాడు.</v>
      </c>
    </row>
    <row r="320">
      <c r="A320" s="10" t="s">
        <v>618</v>
      </c>
      <c r="B320" s="9" t="s">
        <v>619</v>
      </c>
      <c r="C320" s="6" t="str">
        <f>IFERROR(__xludf.DUMMYFUNCTION("GOOGLETRANSLATE(B320, ""en"", ""ta"")"),"கட்டண முறை ஏற்கத்தக்கதல்ல.")</f>
        <v>கட்டண முறை ஏற்கத்தக்கதல்ல.</v>
      </c>
      <c r="D320" s="6" t="str">
        <f>IFERROR(__xludf.DUMMYFUNCTION("GOOGLETRANSLATE(B320, ""en"", ""hi"")"),"भुगतान का यह तरीका स्वीकार्य नहीं है")</f>
        <v>भुगतान का यह तरीका स्वीकार्य नहीं है</v>
      </c>
      <c r="E320" s="6" t="str">
        <f>IFERROR(__xludf.DUMMYFUNCTION("GOOGLETRANSLATE(B320, ""en"", ""kn"")"),"ಪಾವತಿ ವಿಧಾನ ಸ್ವೀಕಾರಾರ್ಹವಲ್ಲ.")</f>
        <v>ಪಾವತಿ ವಿಧಾನ ಸ್ವೀಕಾರಾರ್ಹವಲ್ಲ.</v>
      </c>
      <c r="F320" s="7" t="str">
        <f>IFERROR(__xludf.DUMMYFUNCTION("GOOGLETRANSLATE(B320, ""en"", ""ml"")"),"പേയ്‌മെന്റ് രീതി സ്വീകാര്യമല്ല.")</f>
        <v>പേയ്‌മെന്റ് രീതി സ്വീകാര്യമല്ല.</v>
      </c>
      <c r="G320" s="7" t="str">
        <f>IFERROR(__xludf.DUMMYFUNCTION("GOOGLETRANSLATE(B320, ""en"", ""te"")"),"చెల్లింపు విధానం ఆమోదయోగ్యం కాదు.")</f>
        <v>చెల్లింపు విధానం ఆమోదయోగ్యం కాదు.</v>
      </c>
    </row>
    <row r="321">
      <c r="A321" s="10" t="s">
        <v>620</v>
      </c>
      <c r="B321" s="9" t="s">
        <v>621</v>
      </c>
      <c r="C321" s="6" t="str">
        <f>IFERROR(__xludf.DUMMYFUNCTION("GOOGLETRANSLATE(B321, ""en"", ""ta"")"),"வாகனப் பிரச்சினை அல்லது குறைந்த எரிபொருள்")</f>
        <v>வாகனப் பிரச்சினை அல்லது குறைந்த எரிபொருள்</v>
      </c>
      <c r="D321" s="6" t="str">
        <f>IFERROR(__xludf.DUMMYFUNCTION("GOOGLETRANSLATE(B321, ""en"", ""hi"")"),"वाहन में कोई समस्या या ईंधन की कमी")</f>
        <v>वाहन में कोई समस्या या ईंधन की कमी</v>
      </c>
      <c r="E321" s="6" t="str">
        <f>IFERROR(__xludf.DUMMYFUNCTION("GOOGLETRANSLATE(B321, ""en"", ""kn"")"),"ವಾಹನ ಸಮಸ್ಯೆ ಅಥವಾ ಕಡಿಮೆ ಇಂಧನ")</f>
        <v>ವಾಹನ ಸಮಸ್ಯೆ ಅಥವಾ ಕಡಿಮೆ ಇಂಧನ</v>
      </c>
      <c r="F321" s="7" t="str">
        <f>IFERROR(__xludf.DUMMYFUNCTION("GOOGLETRANSLATE(B321, ""en"", ""ml"")"),"വാഹന പ്രശ്‌നം അല്ലെങ്കിൽ കുറഞ്ഞ ഇന്ധനം")</f>
        <v>വാഹന പ്രശ്‌നം അല്ലെങ്കിൽ കുറഞ്ഞ ഇന്ധനം</v>
      </c>
      <c r="G321" s="7" t="str">
        <f>IFERROR(__xludf.DUMMYFUNCTION("GOOGLETRANSLATE(B321, ""en"", ""te"")"),"వాహన సమస్య లేదా తక్కువ ఇంధనం")</f>
        <v>వాహన సమస్య లేదా తక్కువ ఇంధనం</v>
      </c>
    </row>
    <row r="322">
      <c r="A322" s="10" t="s">
        <v>622</v>
      </c>
      <c r="B322" s="9" t="s">
        <v>623</v>
      </c>
      <c r="C322" s="6" t="str">
        <f>IFERROR(__xludf.DUMMYFUNCTION("GOOGLETRANSLATE(B322, ""en"", ""ta"")"),"தனிப்பட்ட அவசரநிலை அல்லது உடல்நலக் காரணம்")</f>
        <v>தனிப்பட்ட அவசரநிலை அல்லது உடல்நலக் காரணம்</v>
      </c>
      <c r="D322" s="6" t="str">
        <f>IFERROR(__xludf.DUMMYFUNCTION("GOOGLETRANSLATE(B322, ""en"", ""hi"")"),"व्यक्तिगत आपातकाल या स्वास्थ्य संबंधी कारण")</f>
        <v>व्यक्तिगत आपातकाल या स्वास्थ्य संबंधी कारण</v>
      </c>
      <c r="E322" s="6" t="str">
        <f>IFERROR(__xludf.DUMMYFUNCTION("GOOGLETRANSLATE(B322, ""en"", ""kn"")"),"ವೈಯಕ್ತಿಕ ತುರ್ತು ಪರಿಸ್ಥಿತಿ ಅಥವಾ ಆರೋಗ್ಯ ಕಾರಣ")</f>
        <v>ವೈಯಕ್ತಿಕ ತುರ್ತು ಪರಿಸ್ಥಿತಿ ಅಥವಾ ಆರೋಗ್ಯ ಕಾರಣ</v>
      </c>
      <c r="F322" s="7" t="str">
        <f>IFERROR(__xludf.DUMMYFUNCTION("GOOGLETRANSLATE(B322, ""en"", ""ml"")"),"വ്യക്തിപരമായ അടിയന്തരാവസ്ഥ അല്ലെങ്കിൽ ആരോഗ്യപരമായ കാരണം")</f>
        <v>വ്യക്തിപരമായ അടിയന്തരാവസ്ഥ അല്ലെങ്കിൽ ആരോഗ്യപരമായ കാരണം</v>
      </c>
      <c r="G322" s="7" t="str">
        <f>IFERROR(__xludf.DUMMYFUNCTION("GOOGLETRANSLATE(B322, ""en"", ""te"")"),"వ్యక్తిగత అత్యవసర పరిస్థితి లేదా ఆరోగ్య కారణం")</f>
        <v>వ్యక్తిగత అత్యవసర పరిస్థితి లేదా ఆరోగ్య కారణం</v>
      </c>
    </row>
    <row r="323">
      <c r="A323" s="10" t="s">
        <v>624</v>
      </c>
      <c r="B323" s="9" t="s">
        <v>625</v>
      </c>
      <c r="C323" s="6" t="str">
        <f>IFERROR(__xludf.DUMMYFUNCTION("GOOGLETRANSLATE(B323, ""en"", ""ta"")"),"மோசமான போக்குவரத்து அல்லது வானிலை")</f>
        <v>மோசமான போக்குவரத்து அல்லது வானிலை</v>
      </c>
      <c r="D323" s="6" t="str">
        <f>IFERROR(__xludf.DUMMYFUNCTION("GOOGLETRANSLATE(B323, ""en"", ""hi"")"),"यातायात की खराब स्थिति या मौसम की स्थिति")</f>
        <v>यातायात की खराब स्थिति या मौसम की स्थिति</v>
      </c>
      <c r="E323" s="6" t="str">
        <f>IFERROR(__xludf.DUMMYFUNCTION("GOOGLETRANSLATE(B323, ""en"", ""kn"")"),"ಕಳಪೆ ಸಂಚಾರ ಅಥವಾ ಹವಾಮಾನ ಪರಿಸ್ಥಿತಿಗಳು")</f>
        <v>ಕಳಪೆ ಸಂಚಾರ ಅಥವಾ ಹವಾಮಾನ ಪರಿಸ್ಥಿತಿಗಳು</v>
      </c>
      <c r="F323" s="7" t="str">
        <f>IFERROR(__xludf.DUMMYFUNCTION("GOOGLETRANSLATE(B323, ""en"", ""ml"")"),"മോശം ഗതാഗതം അല്ലെങ്കിൽ കാലാവസ്ഥ")</f>
        <v>മോശം ഗതാഗതം അല്ലെങ്കിൽ കാലാവസ്ഥ</v>
      </c>
      <c r="G323" s="7" t="str">
        <f>IFERROR(__xludf.DUMMYFUNCTION("GOOGLETRANSLATE(B323, ""en"", ""te"")"),"ట్రాఫిక్ లేదా వాతావరణ పరిస్థితులు సరిగా లేకపోవడం")</f>
        <v>ట్రాఫిక్ లేదా వాతావరణ పరిస్థితులు సరిగా లేకపోవడం</v>
      </c>
    </row>
    <row r="324">
      <c r="A324" s="4" t="s">
        <v>626</v>
      </c>
      <c r="B324" s="5" t="s">
        <v>627</v>
      </c>
      <c r="C324" s="6" t="str">
        <f>IFERROR(__xludf.DUMMYFUNCTION("GOOGLETRANSLATE(B324, ""en"", ""ta"")"),"பயணத்தை ரத்து செய்வதற்கான காரணத்தைத் தேர்ந்தெடுக்கவும்:")</f>
        <v>பயணத்தை ரத்து செய்வதற்கான காரணத்தைத் தேர்ந்தெடுக்கவும்:</v>
      </c>
      <c r="D324" s="6" t="str">
        <f>IFERROR(__xludf.DUMMYFUNCTION("GOOGLETRANSLATE(B324, ""en"", ""hi"")"),"कृपया यात्रा रद्द करने का कारण चुनें:")</f>
        <v>कृपया यात्रा रद्द करने का कारण चुनें:</v>
      </c>
      <c r="E324" s="6" t="str">
        <f>IFERROR(__xludf.DUMMYFUNCTION("GOOGLETRANSLATE(B324, ""en"", ""kn"")"),"ದಯವಿಟ್ಟು ಪ್ರವಾಸವನ್ನು ರದ್ದುಗೊಳಿಸಲು ಒಂದು ಕಾರಣವನ್ನು ಆಯ್ಕೆಮಾಡಿ:")</f>
        <v>ದಯವಿಟ್ಟು ಪ್ರವಾಸವನ್ನು ರದ್ದುಗೊಳಿಸಲು ಒಂದು ಕಾರಣವನ್ನು ಆಯ್ಕೆಮಾಡಿ:</v>
      </c>
      <c r="F324" s="7" t="str">
        <f>IFERROR(__xludf.DUMMYFUNCTION("GOOGLETRANSLATE(B324, ""en"", ""ml"")"),"യാത്ര റദ്ദാക്കാനുള്ള കാരണം ദയവായി തിരഞ്ഞെടുക്കുക:")</f>
        <v>യാത്ര റദ്ദാക്കാനുള്ള കാരണം ദയവായി തിരഞ്ഞെടുക്കുക:</v>
      </c>
      <c r="G324" s="7" t="str">
        <f>IFERROR(__xludf.DUMMYFUNCTION("GOOGLETRANSLATE(B324, ""en"", ""te"")"),"దయచేసి ట్రిప్ రద్దు చేసుకోవడానికి ఒక కారణాన్ని ఎంచుకోండి:")</f>
        <v>దయచేసి ట్రిప్ రద్దు చేసుకోవడానికి ఒక కారణాన్ని ఎంచుకోండి:</v>
      </c>
    </row>
    <row r="325">
      <c r="A325" s="4" t="s">
        <v>628</v>
      </c>
      <c r="B325" s="5" t="s">
        <v>629</v>
      </c>
      <c r="C325" s="6" t="str">
        <f>IFERROR(__xludf.DUMMYFUNCTION("GOOGLETRANSLATE(B325, ""en"", ""ta"")"),"ஆதரவு டிக்கெட்")</f>
        <v>ஆதரவு டிக்கெட்</v>
      </c>
      <c r="D325" s="6" t="str">
        <f>IFERROR(__xludf.DUMMYFUNCTION("GOOGLETRANSLATE(B325, ""en"", ""hi"")"),"सहायता टिकट")</f>
        <v>सहायता टिकट</v>
      </c>
      <c r="E325" s="6" t="str">
        <f>IFERROR(__xludf.DUMMYFUNCTION("GOOGLETRANSLATE(B325, ""en"", ""kn"")"),"ಬೆಂಬಲ ಟಿಕೆಟ್")</f>
        <v>ಬೆಂಬಲ ಟಿಕೆಟ್</v>
      </c>
      <c r="F325" s="7" t="str">
        <f>IFERROR(__xludf.DUMMYFUNCTION("GOOGLETRANSLATE(B325, ""en"", ""ml"")"),"സപ്പോർട്ട് ടിക്കറ്റ്")</f>
        <v>സപ്പോർട്ട് ടിക്കറ്റ്</v>
      </c>
      <c r="G325" s="7" t="str">
        <f>IFERROR(__xludf.DUMMYFUNCTION("GOOGLETRANSLATE(B325, ""en"", ""te"")"),"మద్దతు టికెట్")</f>
        <v>మద్దతు టికెట్</v>
      </c>
    </row>
    <row r="326">
      <c r="A326" s="4" t="s">
        <v>630</v>
      </c>
      <c r="B326" s="5" t="s">
        <v>631</v>
      </c>
      <c r="C326" s="6" t="str">
        <f>IFERROR(__xludf.DUMMYFUNCTION("GOOGLETRANSLATE(B326, ""en"", ""ta"")"),"டிக்கெட்டுகளைத் தேடு...")</f>
        <v>டிக்கெட்டுகளைத் தேடு...</v>
      </c>
      <c r="D326" s="6" t="str">
        <f>IFERROR(__xludf.DUMMYFUNCTION("GOOGLETRANSLATE(B326, ""en"", ""hi"")"),"टिकट खोजें...")</f>
        <v>टिकट खोजें...</v>
      </c>
      <c r="E326" s="6" t="str">
        <f>IFERROR(__xludf.DUMMYFUNCTION("GOOGLETRANSLATE(B326, ""en"", ""kn"")"),"ಟಿಕೆಟ್‌ಗಳನ್ನು ಹುಡುಕಿ...")</f>
        <v>ಟಿಕೆಟ್‌ಗಳನ್ನು ಹುಡುಕಿ...</v>
      </c>
      <c r="F326" s="7" t="str">
        <f>IFERROR(__xludf.DUMMYFUNCTION("GOOGLETRANSLATE(B326, ""en"", ""ml"")"),"ടിക്കറ്റുകൾ തിരയുക...")</f>
        <v>ടിക്കറ്റുകൾ തിരയുക...</v>
      </c>
      <c r="G326" s="7" t="str">
        <f>IFERROR(__xludf.DUMMYFUNCTION("GOOGLETRANSLATE(B326, ""en"", ""te"")"),"టిక్కెట్లు శోధించు...")</f>
        <v>టిక్కెట్లు శోధించు...</v>
      </c>
    </row>
    <row r="327">
      <c r="A327" s="4" t="s">
        <v>632</v>
      </c>
      <c r="B327" s="5" t="s">
        <v>633</v>
      </c>
      <c r="C327" s="6" t="str">
        <f>IFERROR(__xludf.DUMMYFUNCTION("GOOGLETRANSLATE(B327, ""en"", ""ta"")"),"அனைத்தும்")</f>
        <v>அனைத்தும்</v>
      </c>
      <c r="D327" s="6" t="str">
        <f>IFERROR(__xludf.DUMMYFUNCTION("GOOGLETRANSLATE(B327, ""en"", ""hi"")"),"सभी")</f>
        <v>सभी</v>
      </c>
      <c r="E327" s="6" t="str">
        <f>IFERROR(__xludf.DUMMYFUNCTION("GOOGLETRANSLATE(B327, ""en"", ""kn"")"),"ಎಲ್ಲವೂ")</f>
        <v>ಎಲ್ಲವೂ</v>
      </c>
      <c r="F327" s="7" t="str">
        <f>IFERROR(__xludf.DUMMYFUNCTION("GOOGLETRANSLATE(B327, ""en"", ""ml"")"),"എല്ലാം")</f>
        <v>എല്ലാം</v>
      </c>
      <c r="G327" s="7" t="str">
        <f>IFERROR(__xludf.DUMMYFUNCTION("GOOGLETRANSLATE(B327, ""en"", ""te"")"),"అన్నీ")</f>
        <v>అన్నీ</v>
      </c>
    </row>
    <row r="328">
      <c r="A328" s="4" t="s">
        <v>634</v>
      </c>
      <c r="B328" s="5" t="s">
        <v>635</v>
      </c>
      <c r="C328" s="6" t="str">
        <f>IFERROR(__xludf.DUMMYFUNCTION("GOOGLETRANSLATE(B328, ""en"", ""ta"")"),"திறந்த")</f>
        <v>திறந்த</v>
      </c>
      <c r="D328" s="6" t="str">
        <f>IFERROR(__xludf.DUMMYFUNCTION("GOOGLETRANSLATE(B328, ""en"", ""hi"")"),"खुला")</f>
        <v>खुला</v>
      </c>
      <c r="E328" s="6" t="str">
        <f>IFERROR(__xludf.DUMMYFUNCTION("GOOGLETRANSLATE(B328, ""en"", ""kn"")"),"ತೆರೆದ")</f>
        <v>ತೆರೆದ</v>
      </c>
      <c r="F328" s="7" t="str">
        <f>IFERROR(__xludf.DUMMYFUNCTION("GOOGLETRANSLATE(B328, ""en"", ""ml"")"),"തുറക്കുക")</f>
        <v>തുറക്കുക</v>
      </c>
      <c r="G328" s="7" t="str">
        <f>IFERROR(__xludf.DUMMYFUNCTION("GOOGLETRANSLATE(B328, ""en"", ""te"")"),"ఓపెన్")</f>
        <v>ఓపెన్</v>
      </c>
    </row>
    <row r="329">
      <c r="A329" s="4" t="s">
        <v>636</v>
      </c>
      <c r="B329" s="5" t="s">
        <v>637</v>
      </c>
      <c r="C329" s="6" t="str">
        <f>IFERROR(__xludf.DUMMYFUNCTION("GOOGLETRANSLATE(B329, ""en"", ""ta"")"),"செயல்பாட்டில் உள்ளது")</f>
        <v>செயல்பாட்டில் உள்ளது</v>
      </c>
      <c r="D329" s="6" t="str">
        <f>IFERROR(__xludf.DUMMYFUNCTION("GOOGLETRANSLATE(B329, ""en"", ""hi"")"),"प्रगति पर है")</f>
        <v>प्रगति पर है</v>
      </c>
      <c r="E329" s="6" t="str">
        <f>IFERROR(__xludf.DUMMYFUNCTION("GOOGLETRANSLATE(B329, ""en"", ""kn"")"),"ಪ್ರಗತಿಯಲ್ಲಿದೆ")</f>
        <v>ಪ್ರಗತಿಯಲ್ಲಿದೆ</v>
      </c>
      <c r="F329" s="7" t="str">
        <f>IFERROR(__xludf.DUMMYFUNCTION("GOOGLETRANSLATE(B329, ""en"", ""ml"")"),"പുരോഗതിയിൽ")</f>
        <v>പുരോഗതിയിൽ</v>
      </c>
      <c r="G329" s="7" t="str">
        <f>IFERROR(__xludf.DUMMYFUNCTION("GOOGLETRANSLATE(B329, ""en"", ""te"")"),"పురోగతిలో ఉంది")</f>
        <v>పురోగతిలో ఉంది</v>
      </c>
    </row>
    <row r="330">
      <c r="A330" s="4" t="s">
        <v>638</v>
      </c>
      <c r="B330" s="5" t="s">
        <v>639</v>
      </c>
      <c r="C330" s="6" t="str">
        <f>IFERROR(__xludf.DUMMYFUNCTION("GOOGLETRANSLATE(B330, ""en"", ""ta"")"),"தீர்க்கப்பட்டது")</f>
        <v>தீர்க்கப்பட்டது</v>
      </c>
      <c r="D330" s="6" t="str">
        <f>IFERROR(__xludf.DUMMYFUNCTION("GOOGLETRANSLATE(B330, ""en"", ""hi"")"),"हल किया")</f>
        <v>हल किया</v>
      </c>
      <c r="E330" s="6" t="str">
        <f>IFERROR(__xludf.DUMMYFUNCTION("GOOGLETRANSLATE(B330, ""en"", ""kn"")"),"ಪರಿಹರಿಸಲಾಗಿದೆ")</f>
        <v>ಪರಿಹರಿಸಲಾಗಿದೆ</v>
      </c>
      <c r="F330" s="7" t="str">
        <f>IFERROR(__xludf.DUMMYFUNCTION("GOOGLETRANSLATE(B330, ""en"", ""ml"")"),"പരിഹരിച്ചു")</f>
        <v>പരിഹരിച്ചു</v>
      </c>
      <c r="G330" s="7" t="str">
        <f>IFERROR(__xludf.DUMMYFUNCTION("GOOGLETRANSLATE(B330, ""en"", ""te"")"),"పరిష్కరించబడింది")</f>
        <v>పరిష్కరించబడింది</v>
      </c>
    </row>
    <row r="331">
      <c r="A331" s="4" t="s">
        <v>640</v>
      </c>
      <c r="B331" s="5" t="s">
        <v>641</v>
      </c>
      <c r="C331" s="6" t="str">
        <f>IFERROR(__xludf.DUMMYFUNCTION("GOOGLETRANSLATE(B331, ""en"", ""ta"")"),"மூடப்பட்டது")</f>
        <v>மூடப்பட்டது</v>
      </c>
      <c r="D331" s="6" t="str">
        <f>IFERROR(__xludf.DUMMYFUNCTION("GOOGLETRANSLATE(B331, ""en"", ""hi"")"),"बंद किया हुआ")</f>
        <v>बंद किया हुआ</v>
      </c>
      <c r="E331" s="6" t="str">
        <f>IFERROR(__xludf.DUMMYFUNCTION("GOOGLETRANSLATE(B331, ""en"", ""kn"")"),"ಮುಚ್ಚಲಾಗಿದೆ")</f>
        <v>ಮುಚ್ಚಲಾಗಿದೆ</v>
      </c>
      <c r="F331" s="7" t="str">
        <f>IFERROR(__xludf.DUMMYFUNCTION("GOOGLETRANSLATE(B331, ""en"", ""ml"")"),"അടച്ചു")</f>
        <v>അടച്ചു</v>
      </c>
      <c r="G331" s="7" t="str">
        <f>IFERROR(__xludf.DUMMYFUNCTION("GOOGLETRANSLATE(B331, ""en"", ""te"")"),"మూసివేయబడింది")</f>
        <v>మూసివేయబడింది</v>
      </c>
    </row>
    <row r="332">
      <c r="A332" s="4" t="s">
        <v>642</v>
      </c>
      <c r="B332" s="5" t="s">
        <v>643</v>
      </c>
      <c r="C332" s="6" t="str">
        <f>IFERROR(__xludf.DUMMYFUNCTION("GOOGLETRANSLATE(B332, ""en"", ""ta"")"),"அதிகரித்தது")</f>
        <v>அதிகரித்தது</v>
      </c>
      <c r="D332" s="6" t="str">
        <f>IFERROR(__xludf.DUMMYFUNCTION("GOOGLETRANSLATE(B332, ""en"", ""hi"")"),"तना हुआ")</f>
        <v>तना हुआ</v>
      </c>
      <c r="E332" s="6" t="str">
        <f>IFERROR(__xludf.DUMMYFUNCTION("GOOGLETRANSLATE(B332, ""en"", ""kn"")"),"ಹೆಚ್ಚಿಸಲಾಗಿದೆ")</f>
        <v>ಹೆಚ್ಚಿಸಲಾಗಿದೆ</v>
      </c>
      <c r="F332" s="7" t="str">
        <f>IFERROR(__xludf.DUMMYFUNCTION("GOOGLETRANSLATE(B332, ""en"", ""ml"")"),"വർദ്ധിച്ചു")</f>
        <v>വർദ്ധിച്ചു</v>
      </c>
      <c r="G332" s="7" t="str">
        <f>IFERROR(__xludf.DUMMYFUNCTION("GOOGLETRANSLATE(B332, ""en"", ""te"")"),"తీవ్రతరం చేయబడింది")</f>
        <v>తీవ్రతరం చేయబడింది</v>
      </c>
    </row>
    <row r="333">
      <c r="A333" s="4" t="s">
        <v>644</v>
      </c>
      <c r="B333" s="5" t="s">
        <v>645</v>
      </c>
      <c r="C333" s="6" t="str">
        <f>IFERROR(__xludf.DUMMYFUNCTION("GOOGLETRANSLATE(B333, ""en"", ""ta"")"),"ஏற்றுவதற்கு இனி டிக்கெட்டுகள் இல்லை.")</f>
        <v>ஏற்றுவதற்கு இனி டிக்கெட்டுகள் இல்லை.</v>
      </c>
      <c r="D333" s="6" t="str">
        <f>IFERROR(__xludf.DUMMYFUNCTION("GOOGLETRANSLATE(B333, ""en"", ""hi"")"),"लोड करने के लिए और टिकट नहीं हैं")</f>
        <v>लोड करने के लिए और टिकट नहीं हैं</v>
      </c>
      <c r="E333" s="6" t="str">
        <f>IFERROR(__xludf.DUMMYFUNCTION("GOOGLETRANSLATE(B333, ""en"", ""kn"")"),"ಲೋಡ್ ಮಾಡಲು ಇನ್ನು ಟಿಕೆಟ್‌ಗಳಿಲ್ಲ.")</f>
        <v>ಲೋಡ್ ಮಾಡಲು ಇನ್ನು ಟಿಕೆಟ್‌ಗಳಿಲ್ಲ.</v>
      </c>
      <c r="F333" s="7" t="str">
        <f>IFERROR(__xludf.DUMMYFUNCTION("GOOGLETRANSLATE(B333, ""en"", ""ml"")"),"ലോഡ് ചെയ്യാൻ ഇനി ടിക്കറ്റുകളൊന്നുമില്ല.")</f>
        <v>ലോഡ് ചെയ്യാൻ ഇനി ടിക്കറ്റുകളൊന്നുമില്ല.</v>
      </c>
      <c r="G333" s="7" t="str">
        <f>IFERROR(__xludf.DUMMYFUNCTION("GOOGLETRANSLATE(B333, ""en"", ""te"")"),"లోడ్ చేయడానికి టిక్కెట్లు లేవు.")</f>
        <v>లోడ్ చేయడానికి టిక్కెట్లు లేవు.</v>
      </c>
    </row>
    <row r="334">
      <c r="A334" s="4" t="s">
        <v>646</v>
      </c>
      <c r="B334" s="5" t="s">
        <v>647</v>
      </c>
      <c r="C334" s="6" t="str">
        <f>IFERROR(__xludf.DUMMYFUNCTION("GOOGLETRANSLATE(B334, ""en"", ""ta"")"),"மேலும் டிக்கெட்டுகளை ஏற்றுகிறது...")</f>
        <v>மேலும் டிக்கெட்டுகளை ஏற்றுகிறது...</v>
      </c>
      <c r="D334" s="6" t="str">
        <f>IFERROR(__xludf.DUMMYFUNCTION("GOOGLETRANSLATE(B334, ""en"", ""hi"")"),"और टिकट लोड हो रहे हैं...")</f>
        <v>और टिकट लोड हो रहे हैं...</v>
      </c>
      <c r="E334" s="6" t="str">
        <f>IFERROR(__xludf.DUMMYFUNCTION("GOOGLETRANSLATE(B334, ""en"", ""kn"")"),"ಇನ್ನಷ್ಟು ಟಿಕೆಟ್‌ಗಳನ್ನು ಲೋಡ್ ಮಾಡಲಾಗುತ್ತಿದೆ...")</f>
        <v>ಇನ್ನಷ್ಟು ಟಿಕೆಟ್‌ಗಳನ್ನು ಲೋಡ್ ಮಾಡಲಾಗುತ್ತಿದೆ...</v>
      </c>
      <c r="F334" s="7" t="str">
        <f>IFERROR(__xludf.DUMMYFUNCTION("GOOGLETRANSLATE(B334, ""en"", ""ml"")"),"കൂടുതൽ ടിക്കറ്റുകൾ ലോഡ് ചെയ്യുന്നു...")</f>
        <v>കൂടുതൽ ടിക്കറ്റുകൾ ലോഡ് ചെയ്യുന്നു...</v>
      </c>
      <c r="G334" s="7" t="str">
        <f>IFERROR(__xludf.DUMMYFUNCTION("GOOGLETRANSLATE(B334, ""en"", ""te"")"),"మరిన్ని టిక్కెట్లు లోడ్ అవుతున్నాయి...")</f>
        <v>మరిన్ని టిక్కెట్లు లోడ్ అవుతున్నాయి...</v>
      </c>
    </row>
    <row r="335">
      <c r="A335" s="4" t="s">
        <v>648</v>
      </c>
      <c r="B335" s="5" t="s">
        <v>649</v>
      </c>
      <c r="C335" s="6" t="str">
        <f>IFERROR(__xludf.DUMMYFUNCTION("GOOGLETRANSLATE(B335, ""en"", ""ta"")"),"டிக்கெட்டை உருவாக்கு")</f>
        <v>டிக்கெட்டை உருவாக்கு</v>
      </c>
      <c r="D335" s="6" t="str">
        <f>IFERROR(__xludf.DUMMYFUNCTION("GOOGLETRANSLATE(B335, ""en"", ""hi"")"),"टिकट बनाएं")</f>
        <v>टिकट बनाएं</v>
      </c>
      <c r="E335" s="6" t="str">
        <f>IFERROR(__xludf.DUMMYFUNCTION("GOOGLETRANSLATE(B335, ""en"", ""kn"")"),"ಟಿಕೆಟ್ ರಚಿಸಿ")</f>
        <v>ಟಿಕೆಟ್ ರಚಿಸಿ</v>
      </c>
      <c r="F335" s="7" t="str">
        <f>IFERROR(__xludf.DUMMYFUNCTION("GOOGLETRANSLATE(B335, ""en"", ""ml"")"),"ടിക്കറ്റ് സൃഷ്ടിക്കുക")</f>
        <v>ടിക്കറ്റ് സൃഷ്ടിക്കുക</v>
      </c>
      <c r="G335" s="7" t="str">
        <f>IFERROR(__xludf.DUMMYFUNCTION("GOOGLETRANSLATE(B335, ""en"", ""te"")"),"టికెట్ సృష్టించండి")</f>
        <v>టికెట్ సృష్టించండి</v>
      </c>
    </row>
    <row r="336">
      <c r="A336" s="4" t="s">
        <v>650</v>
      </c>
      <c r="B336" s="5" t="s">
        <v>651</v>
      </c>
      <c r="C336" s="6" t="str">
        <f>IFERROR(__xludf.DUMMYFUNCTION("GOOGLETRANSLATE(B336, ""en"", ""ta"")"),"டிக்கெட்டுகள் எதுவும் கிடைக்கவில்லை.")</f>
        <v>டிக்கெட்டுகள் எதுவும் கிடைக்கவில்லை.</v>
      </c>
      <c r="D336" s="6" t="str">
        <f>IFERROR(__xludf.DUMMYFUNCTION("GOOGLETRANSLATE(B336, ""en"", ""hi"")"),"कोई टिकट नहीं मिला")</f>
        <v>कोई टिकट नहीं मिला</v>
      </c>
      <c r="E336" s="6" t="str">
        <f>IFERROR(__xludf.DUMMYFUNCTION("GOOGLETRANSLATE(B336, ""en"", ""kn"")"),"ಯಾವುದೇ ಟಿಕೆಟ್‌ಗಳು ಕಂಡುಬಂದಿಲ್ಲ.")</f>
        <v>ಯಾವುದೇ ಟಿಕೆಟ್‌ಗಳು ಕಂಡುಬಂದಿಲ್ಲ.</v>
      </c>
      <c r="F336" s="7" t="str">
        <f>IFERROR(__xludf.DUMMYFUNCTION("GOOGLETRANSLATE(B336, ""en"", ""ml"")"),"ടിക്കറ്റുകളൊന്നും കണ്ടെത്തിയില്ല")</f>
        <v>ടിക്കറ്റുകളൊന്നും കണ്ടെത്തിയില്ല</v>
      </c>
      <c r="G336" s="7" t="str">
        <f>IFERROR(__xludf.DUMMYFUNCTION("GOOGLETRANSLATE(B336, ""en"", ""te"")"),"టిక్కెట్లు దొరకలేదు.")</f>
        <v>టిక్కెట్లు దొరకలేదు.</v>
      </c>
    </row>
    <row r="337">
      <c r="A337" s="4" t="s">
        <v>652</v>
      </c>
      <c r="B337" s="5" t="s">
        <v>653</v>
      </c>
      <c r="C337" s="6" t="str">
        <f>IFERROR(__xludf.DUMMYFUNCTION("GOOGLETRANSLATE(B337, ""en"", ""ta"")"),"உங்கள் தேடல் சொற்களை சரிசெய்ய முயற்சிக்கவும்.")</f>
        <v>உங்கள் தேடல் சொற்களை சரிசெய்ய முயற்சிக்கவும்.</v>
      </c>
      <c r="D337" s="6" t="str">
        <f>IFERROR(__xludf.DUMMYFUNCTION("GOOGLETRANSLATE(B337, ""en"", ""hi"")"),"अपने खोज शब्दों को समायोजित करने का प्रयास करें")</f>
        <v>अपने खोज शब्दों को समायोजित करने का प्रयास करें</v>
      </c>
      <c r="E337" s="6" t="str">
        <f>IFERROR(__xludf.DUMMYFUNCTION("GOOGLETRANSLATE(B337, ""en"", ""kn"")"),"ನಿಮ್ಮ ಹುಡುಕಾಟ ಪದಗಳನ್ನು ಸರಿಹೊಂದಿಸಲು ಪ್ರಯತ್ನಿಸಿ.")</f>
        <v>ನಿಮ್ಮ ಹುಡುಕಾಟ ಪದಗಳನ್ನು ಸರಿಹೊಂದಿಸಲು ಪ್ರಯತ್ನಿಸಿ.</v>
      </c>
      <c r="F337" s="7" t="str">
        <f>IFERROR(__xludf.DUMMYFUNCTION("GOOGLETRANSLATE(B337, ""en"", ""ml"")"),"നിങ്ങളുടെ തിരയൽ പദങ്ങൾ ക്രമീകരിക്കാൻ ശ്രമിക്കുക.")</f>
        <v>നിങ്ങളുടെ തിരയൽ പദങ്ങൾ ക്രമീകരിക്കാൻ ശ്രമിക്കുക.</v>
      </c>
      <c r="G337" s="7" t="str">
        <f>IFERROR(__xludf.DUMMYFUNCTION("GOOGLETRANSLATE(B337, ""en"", ""te"")"),"మీ శోధన పదాలను సర్దుబాటు చేయడానికి ప్రయత్నించండి.")</f>
        <v>మీ శోధన పదాలను సర్దుబాటు చేయడానికి ప్రయత్నించండి.</v>
      </c>
    </row>
    <row r="338">
      <c r="A338" s="4" t="s">
        <v>654</v>
      </c>
      <c r="B338" s="5" t="s">
        <v>655</v>
      </c>
      <c r="C338" s="6" t="str">
        <f>IFERROR(__xludf.DUMMYFUNCTION("GOOGLETRANSLATE(B338, ""en"", ""ta"")"),"உங்கள் முதல் ஆதரவு டிக்கெட்டை உருவாக்குங்கள்.")</f>
        <v>உங்கள் முதல் ஆதரவு டிக்கெட்டை உருவாக்குங்கள்.</v>
      </c>
      <c r="D338" s="6" t="str">
        <f>IFERROR(__xludf.DUMMYFUNCTION("GOOGLETRANSLATE(B338, ""en"", ""hi"")"),"अपना पहला सपोर्ट टिकट बनाएं")</f>
        <v>अपना पहला सपोर्ट टिकट बनाएं</v>
      </c>
      <c r="E338" s="6" t="str">
        <f>IFERROR(__xludf.DUMMYFUNCTION("GOOGLETRANSLATE(B338, ""en"", ""kn"")"),"ನಿಮ್ಮ ಮೊದಲ ಬೆಂಬಲ ಟಿಕೆಟ್ ರಚಿಸಿ")</f>
        <v>ನಿಮ್ಮ ಮೊದಲ ಬೆಂಬಲ ಟಿಕೆಟ್ ರಚಿಸಿ</v>
      </c>
      <c r="F338" s="7" t="str">
        <f>IFERROR(__xludf.DUMMYFUNCTION("GOOGLETRANSLATE(B338, ""en"", ""ml"")"),"നിങ്ങളുടെ ആദ്യ പിന്തുണ ടിക്കറ്റ് സൃഷ്ടിക്കുക")</f>
        <v>നിങ്ങളുടെ ആദ്യ പിന്തുണ ടിക്കറ്റ് സൃഷ്ടിക്കുക</v>
      </c>
      <c r="G338" s="7" t="str">
        <f>IFERROR(__xludf.DUMMYFUNCTION("GOOGLETRANSLATE(B338, ""en"", ""te"")"),"మీ మొదటి సపోర్ట్ టికెట్‌ను సృష్టించండి")</f>
        <v>మీ మొదటి సపోర్ట్ టికెట్‌ను సృష్టించండి</v>
      </c>
    </row>
    <row r="339">
      <c r="A339" s="4" t="s">
        <v>656</v>
      </c>
      <c r="B339" s="5" t="s">
        <v>657</v>
      </c>
      <c r="C339" s="6" t="str">
        <f>IFERROR(__xludf.DUMMYFUNCTION("GOOGLETRANSLATE(B339, ""en"", ""ta"")"),"புதிய டிக்கெட்டை உருவாக்கு")</f>
        <v>புதிய டிக்கெட்டை உருவாக்கு</v>
      </c>
      <c r="D339" s="6" t="str">
        <f>IFERROR(__xludf.DUMMYFUNCTION("GOOGLETRANSLATE(B339, ""en"", ""hi"")"),"नया टिकट बनाएं")</f>
        <v>नया टिकट बनाएं</v>
      </c>
      <c r="E339" s="6" t="str">
        <f>IFERROR(__xludf.DUMMYFUNCTION("GOOGLETRANSLATE(B339, ""en"", ""kn"")"),"ಹೊಸ ಟಿಕೆಟ್ ರಚಿಸಿ")</f>
        <v>ಹೊಸ ಟಿಕೆಟ್ ರಚಿಸಿ</v>
      </c>
      <c r="F339" s="7" t="str">
        <f>IFERROR(__xludf.DUMMYFUNCTION("GOOGLETRANSLATE(B339, ""en"", ""ml"")"),"പുതിയ ടിക്കറ്റ് സൃഷ്ടിക്കുക")</f>
        <v>പുതിയ ടിക്കറ്റ് സൃഷ്ടിക്കുക</v>
      </c>
      <c r="G339" s="7" t="str">
        <f>IFERROR(__xludf.DUMMYFUNCTION("GOOGLETRANSLATE(B339, ""en"", ""te"")"),"కొత్త టికెట్ సృష్టించండి")</f>
        <v>కొత్త టికెట్ సృష్టించండి</v>
      </c>
    </row>
    <row r="340">
      <c r="A340" s="4" t="s">
        <v>658</v>
      </c>
      <c r="B340" s="5" t="s">
        <v>659</v>
      </c>
      <c r="C340" s="6" t="str">
        <f>IFERROR(__xludf.DUMMYFUNCTION("GOOGLETRANSLATE(B340, ""en"", ""ta"")"),"உங்கள் சிக்கலை விவரிக்கவும், அதைத் தீர்க்க நாங்கள் உங்களுக்கு உதவுவோம்.")</f>
        <v>உங்கள் சிக்கலை விவரிக்கவும், அதைத் தீர்க்க நாங்கள் உங்களுக்கு உதவுவோம்.</v>
      </c>
      <c r="D340" s="6" t="str">
        <f>IFERROR(__xludf.DUMMYFUNCTION("GOOGLETRANSLATE(B340, ""en"", ""hi"")"),"अपनी समस्या का वर्णन करें, हम उसे हल करने में आपकी सहायता करेंगे।")</f>
        <v>अपनी समस्या का वर्णन करें, हम उसे हल करने में आपकी सहायता करेंगे।</v>
      </c>
      <c r="E340" s="6" t="str">
        <f>IFERROR(__xludf.DUMMYFUNCTION("GOOGLETRANSLATE(B340, ""en"", ""kn"")"),"ನಿಮ್ಮ ಸಮಸ್ಯೆಯನ್ನು ವಿವರಿಸಿ, ಅದನ್ನು ಪರಿಹರಿಸಲು ನಾವು ನಿಮಗೆ ಸಹಾಯ ಮಾಡುತ್ತೇವೆ.")</f>
        <v>ನಿಮ್ಮ ಸಮಸ್ಯೆಯನ್ನು ವಿವರಿಸಿ, ಅದನ್ನು ಪರಿಹರಿಸಲು ನಾವು ನಿಮಗೆ ಸಹಾಯ ಮಾಡುತ್ತೇವೆ.</v>
      </c>
      <c r="F340" s="7" t="str">
        <f>IFERROR(__xludf.DUMMYFUNCTION("GOOGLETRANSLATE(B340, ""en"", ""ml"")"),"നിങ്ങളുടെ പ്രശ്നം വിവരിക്കുക, അത് പരിഹരിക്കാൻ ഞങ്ങൾ നിങ്ങളെ സഹായിക്കും.")</f>
        <v>നിങ്ങളുടെ പ്രശ്നം വിവരിക്കുക, അത് പരിഹരിക്കാൻ ഞങ്ങൾ നിങ്ങളെ സഹായിക്കും.</v>
      </c>
      <c r="G340" s="7" t="str">
        <f>IFERROR(__xludf.DUMMYFUNCTION("GOOGLETRANSLATE(B340, ""en"", ""te"")"),"మీ సమస్యను వివరించండి, దాన్ని పరిష్కరించడంలో మేము మీకు సహాయం చేస్తాము.")</f>
        <v>మీ సమస్యను వివరించండి, దాన్ని పరిష్కరించడంలో మేము మీకు సహాయం చేస్తాము.</v>
      </c>
    </row>
    <row r="341">
      <c r="A341" s="4" t="s">
        <v>660</v>
      </c>
      <c r="B341" s="5" t="s">
        <v>661</v>
      </c>
      <c r="C341" s="6" t="str">
        <f>IFERROR(__xludf.DUMMYFUNCTION("GOOGLETRANSLATE(B341, ""en"", ""ta"")"),"டிக்கெட் வகை")</f>
        <v>டிக்கெட் வகை</v>
      </c>
      <c r="D341" s="6" t="str">
        <f>IFERROR(__xludf.DUMMYFUNCTION("GOOGLETRANSLATE(B341, ""en"", ""hi"")"),"टिकिट का प्रकार ")</f>
        <v>टिकिट का प्रकार </v>
      </c>
      <c r="E341" s="6" t="str">
        <f>IFERROR(__xludf.DUMMYFUNCTION("GOOGLETRANSLATE(B341, ""en"", ""kn"")"),"ಟಿಕೆಟ್ ಪ್ರಕಾರ")</f>
        <v>ಟಿಕೆಟ್ ಪ್ರಕಾರ</v>
      </c>
      <c r="F341" s="7" t="str">
        <f>IFERROR(__xludf.DUMMYFUNCTION("GOOGLETRANSLATE(B341, ""en"", ""ml"")"),"ടിക്കറ്റ് തരം")</f>
        <v>ടിക്കറ്റ് തരം</v>
      </c>
      <c r="G341" s="7" t="str">
        <f>IFERROR(__xludf.DUMMYFUNCTION("GOOGLETRANSLATE(B341, ""en"", ""te"")"),"టికెట్ రకం")</f>
        <v>టికెట్ రకం</v>
      </c>
    </row>
    <row r="342">
      <c r="A342" s="4" t="s">
        <v>662</v>
      </c>
      <c r="B342" s="5" t="s">
        <v>663</v>
      </c>
      <c r="C342" s="6" t="str">
        <f>IFERROR(__xludf.DUMMYFUNCTION("GOOGLETRANSLATE(B342, ""en"", ""ta"")"),"பயன்பாடு தொடர்பானது")</f>
        <v>பயன்பாடு தொடர்பானது</v>
      </c>
      <c r="D342" s="6" t="str">
        <f>IFERROR(__xludf.DUMMYFUNCTION("GOOGLETRANSLATE(B342, ""en"", ""hi"")"),"ऐप संबंधित")</f>
        <v>ऐप संबंधित</v>
      </c>
      <c r="E342" s="6" t="str">
        <f>IFERROR(__xludf.DUMMYFUNCTION("GOOGLETRANSLATE(B342, ""en"", ""kn"")"),"ಅಪ್ಲಿಕೇಶನ್ ಸಂಬಂಧಿತ")</f>
        <v>ಅಪ್ಲಿಕೇಶನ್ ಸಂಬಂಧಿತ</v>
      </c>
      <c r="F342" s="7" t="str">
        <f>IFERROR(__xludf.DUMMYFUNCTION("GOOGLETRANSLATE(B342, ""en"", ""ml"")"),"അനുബന്ധ ആപ്പ്")</f>
        <v>അനുബന്ധ ആപ്പ്</v>
      </c>
      <c r="G342" s="7" t="str">
        <f>IFERROR(__xludf.DUMMYFUNCTION("GOOGLETRANSLATE(B342, ""en"", ""te"")"),"సంబంధిత యాప్")</f>
        <v>సంబంధిత యాప్</v>
      </c>
    </row>
    <row r="343">
      <c r="A343" s="4" t="s">
        <v>664</v>
      </c>
      <c r="B343" s="5" t="s">
        <v>665</v>
      </c>
      <c r="C343" s="6" t="str">
        <f>IFERROR(__xludf.DUMMYFUNCTION("GOOGLETRANSLATE(B343, ""en"", ""ta"")"),"பயணம் தொடர்பானது")</f>
        <v>பயணம் தொடர்பானது</v>
      </c>
      <c r="D343" s="6" t="str">
        <f>IFERROR(__xludf.DUMMYFUNCTION("GOOGLETRANSLATE(B343, ""en"", ""hi"")"),"यात्रा संबंधी")</f>
        <v>यात्रा संबंधी</v>
      </c>
      <c r="E343" s="6" t="str">
        <f>IFERROR(__xludf.DUMMYFUNCTION("GOOGLETRANSLATE(B343, ""en"", ""kn"")"),"ಪ್ರವಾಸ ಸಂಬಂಧಿತ")</f>
        <v>ಪ್ರವಾಸ ಸಂಬಂಧಿತ</v>
      </c>
      <c r="F343" s="7" t="str">
        <f>IFERROR(__xludf.DUMMYFUNCTION("GOOGLETRANSLATE(B343, ""en"", ""ml"")"),"യാത്രയുമായി ബന്ധപ്പെട്ടത്")</f>
        <v>യാത്രയുമായി ബന്ധപ്പെട്ടത്</v>
      </c>
      <c r="G343" s="7" t="str">
        <f>IFERROR(__xludf.DUMMYFUNCTION("GOOGLETRANSLATE(B343, ""en"", ""te"")"),"ట్రిప్ సంబంధిత")</f>
        <v>ట్రిప్ సంబంధిత</v>
      </c>
    </row>
    <row r="344">
      <c r="A344" s="4" t="s">
        <v>666</v>
      </c>
      <c r="B344" s="5" t="s">
        <v>667</v>
      </c>
      <c r="C344" s="6" t="str">
        <f>IFERROR(__xludf.DUMMYFUNCTION("GOOGLETRANSLATE(B344, ""en"", ""ta"")"),"பயணத்தைத் தேர்ந்தெடுக்கவும்")</f>
        <v>பயணத்தைத் தேர்ந்தெடுக்கவும்</v>
      </c>
      <c r="D344" s="6" t="str">
        <f>IFERROR(__xludf.DUMMYFUNCTION("GOOGLETRANSLATE(B344, ""en"", ""hi"")"),"यात्रा चुनें")</f>
        <v>यात्रा चुनें</v>
      </c>
      <c r="E344" s="6" t="str">
        <f>IFERROR(__xludf.DUMMYFUNCTION("GOOGLETRANSLATE(B344, ""en"", ""kn"")"),"ಪ್ರವಾಸ ಆಯ್ಕೆಮಾಡಿ")</f>
        <v>ಪ್ರವಾಸ ಆಯ್ಕೆಮಾಡಿ</v>
      </c>
      <c r="F344" s="7" t="str">
        <f>IFERROR(__xludf.DUMMYFUNCTION("GOOGLETRANSLATE(B344, ""en"", ""ml"")"),"യാത്ര തിരഞ്ഞെടുക്കുക")</f>
        <v>യാത്ര തിരഞ്ഞെടുക്കുക</v>
      </c>
      <c r="G344" s="7" t="str">
        <f>IFERROR(__xludf.DUMMYFUNCTION("GOOGLETRANSLATE(B344, ""en"", ""te"")"),"ట్రిప్ ఎంచుకోండి")</f>
        <v>ట్రిప్ ఎంచుకోండి</v>
      </c>
    </row>
    <row r="345">
      <c r="A345" s="4" t="s">
        <v>668</v>
      </c>
      <c r="B345" s="5" t="s">
        <v>669</v>
      </c>
      <c r="C345" s="6" t="str">
        <f>IFERROR(__xludf.DUMMYFUNCTION("GOOGLETRANSLATE(B345, ""en"", ""ta"")"),"உங்கள் சவாரி வரலாற்றிலிருந்து ஒரு பயணத்தைத் தேர்ந்தெடுக்கவும்")</f>
        <v>உங்கள் சவாரி வரலாற்றிலிருந்து ஒரு பயணத்தைத் தேர்ந்தெடுக்கவும்</v>
      </c>
      <c r="D345" s="6" t="str">
        <f>IFERROR(__xludf.DUMMYFUNCTION("GOOGLETRANSLATE(B345, ""en"", ""hi"")"),"अपनी राइड हिस्ट्री से एक ट्रिप चुनें")</f>
        <v>अपनी राइड हिस्ट्री से एक ट्रिप चुनें</v>
      </c>
      <c r="E345" s="6" t="str">
        <f>IFERROR(__xludf.DUMMYFUNCTION("GOOGLETRANSLATE(B345, ""en"", ""kn"")"),"ನಿಮ್ಮ ಸವಾರಿ ಇತಿಹಾಸದಿಂದ ಪ್ರವಾಸವನ್ನು ಆಯ್ಕೆಮಾಡಿ")</f>
        <v>ನಿಮ್ಮ ಸವಾರಿ ಇತಿಹಾಸದಿಂದ ಪ್ರವಾಸವನ್ನು ಆಯ್ಕೆಮಾಡಿ</v>
      </c>
      <c r="F345" s="7" t="str">
        <f>IFERROR(__xludf.DUMMYFUNCTION("GOOGLETRANSLATE(B345, ""en"", ""ml"")"),"നിങ്ങളുടെ റൈഡ് ചരിത്രത്തിൽ നിന്ന് ഒരു യാത്ര തിരഞ്ഞെടുക്കുക")</f>
        <v>നിങ്ങളുടെ റൈഡ് ചരിത്രത്തിൽ നിന്ന് ഒരു യാത്ര തിരഞ്ഞെടുക്കുക</v>
      </c>
      <c r="G345" s="7" t="str">
        <f>IFERROR(__xludf.DUMMYFUNCTION("GOOGLETRANSLATE(B345, ""en"", ""te"")"),"మీ రైడ్ చరిత్ర నుండి ఒక ట్రిప్‌ను ఎంచుకోండి")</f>
        <v>మీ రైడ్ చరిత్ర నుండి ఒక ట్రిప్‌ను ఎంచుకోండి</v>
      </c>
    </row>
    <row r="346">
      <c r="A346" s="4" t="s">
        <v>670</v>
      </c>
      <c r="B346" s="5" t="s">
        <v>671</v>
      </c>
      <c r="C346" s="6" t="str">
        <f>IFERROR(__xludf.DUMMYFUNCTION("GOOGLETRANSLATE(B346, ""en"", ""ta"")"),"பயண விவரங்கள்")</f>
        <v>பயண விவரங்கள்</v>
      </c>
      <c r="D346" s="6" t="str">
        <f>IFERROR(__xludf.DUMMYFUNCTION("GOOGLETRANSLATE(B346, ""en"", ""hi"")"),"यात्रा विवरण")</f>
        <v>यात्रा विवरण</v>
      </c>
      <c r="E346" s="6" t="str">
        <f>IFERROR(__xludf.DUMMYFUNCTION("GOOGLETRANSLATE(B346, ""en"", ""kn"")"),"ಪ್ರವಾಸದ ವಿವರಗಳು")</f>
        <v>ಪ್ರವಾಸದ ವಿವರಗಳು</v>
      </c>
      <c r="F346" s="7" t="str">
        <f>IFERROR(__xludf.DUMMYFUNCTION("GOOGLETRANSLATE(B346, ""en"", ""ml"")"),"യാത്രാ വിശദാംശങ്ങൾ")</f>
        <v>യാത്രാ വിശദാംശങ്ങൾ</v>
      </c>
      <c r="G346" s="7" t="str">
        <f>IFERROR(__xludf.DUMMYFUNCTION("GOOGLETRANSLATE(B346, ""en"", ""te"")"),"పర్యటన వివరాలు")</f>
        <v>పర్యటన వివరాలు</v>
      </c>
    </row>
    <row r="347">
      <c r="A347" s="4" t="s">
        <v>672</v>
      </c>
      <c r="B347" s="5" t="s">
        <v>673</v>
      </c>
      <c r="C347" s="6" t="str">
        <f>IFERROR(__xludf.DUMMYFUNCTION("GOOGLETRANSLATE(B347, ""en"", ""ta"")"),"இருந்து")</f>
        <v>இருந்து</v>
      </c>
      <c r="D347" s="6" t="str">
        <f>IFERROR(__xludf.DUMMYFUNCTION("GOOGLETRANSLATE(B347, ""en"", ""hi"")"),"से")</f>
        <v>से</v>
      </c>
      <c r="E347" s="6" t="str">
        <f>IFERROR(__xludf.DUMMYFUNCTION("GOOGLETRANSLATE(B347, ""en"", ""kn"")"),"ಇಂದ")</f>
        <v>ಇಂದ</v>
      </c>
      <c r="F347" s="7" t="str">
        <f>IFERROR(__xludf.DUMMYFUNCTION("GOOGLETRANSLATE(B347, ""en"", ""ml"")"),"ഉത്ഭവം")</f>
        <v>ഉത്ഭവം</v>
      </c>
      <c r="G347" s="7" t="str">
        <f>IFERROR(__xludf.DUMMYFUNCTION("GOOGLETRANSLATE(B347, ""en"", ""te"")"),"నుండి")</f>
        <v>నుండి</v>
      </c>
    </row>
    <row r="348">
      <c r="A348" s="4" t="s">
        <v>674</v>
      </c>
      <c r="B348" s="5" t="s">
        <v>675</v>
      </c>
      <c r="C348" s="6" t="str">
        <f>IFERROR(__xludf.DUMMYFUNCTION("GOOGLETRANSLATE(B348, ""en"", ""ta"")"),"செய்ய")</f>
        <v>செய்ய</v>
      </c>
      <c r="D348" s="6" t="str">
        <f>IFERROR(__xludf.DUMMYFUNCTION("GOOGLETRANSLATE(B348, ""en"", ""hi"")"),"को")</f>
        <v>को</v>
      </c>
      <c r="E348" s="6" t="str">
        <f>IFERROR(__xludf.DUMMYFUNCTION("GOOGLETRANSLATE(B348, ""en"", ""kn"")"),"ಗೆ")</f>
        <v>ಗೆ</v>
      </c>
      <c r="F348" s="7" t="str">
        <f>IFERROR(__xludf.DUMMYFUNCTION("GOOGLETRANSLATE(B348, ""en"", ""ml"")"),"ലേക്ക്")</f>
        <v>ലേക്ക്</v>
      </c>
      <c r="G348" s="7" t="str">
        <f>IFERROR(__xludf.DUMMYFUNCTION("GOOGLETRANSLATE(B348, ""en"", ""te"")"),"కు")</f>
        <v>కు</v>
      </c>
    </row>
    <row r="349">
      <c r="A349" s="4" t="s">
        <v>676</v>
      </c>
      <c r="B349" s="5" t="s">
        <v>677</v>
      </c>
      <c r="C349" s="6" t="str">
        <f>IFERROR(__xludf.DUMMYFUNCTION("GOOGLETRANSLATE(B349, ""en"", ""ta"")"),"தேதி")</f>
        <v>தேதி</v>
      </c>
      <c r="D349" s="6" t="str">
        <f>IFERROR(__xludf.DUMMYFUNCTION("GOOGLETRANSLATE(B349, ""en"", ""hi"")"),"तारीख")</f>
        <v>तारीख</v>
      </c>
      <c r="E349" s="6" t="str">
        <f>IFERROR(__xludf.DUMMYFUNCTION("GOOGLETRANSLATE(B349, ""en"", ""kn"")"),"ದಿನಾಂಕ")</f>
        <v>ದಿನಾಂಕ</v>
      </c>
      <c r="F349" s="7" t="str">
        <f>IFERROR(__xludf.DUMMYFUNCTION("GOOGLETRANSLATE(B349, ""en"", ""ml"")"),"തീയതി")</f>
        <v>തീയതി</v>
      </c>
      <c r="G349" s="7" t="str">
        <f>IFERROR(__xludf.DUMMYFUNCTION("GOOGLETRANSLATE(B349, ""en"", ""te"")"),"తేదీ")</f>
        <v>తేదీ</v>
      </c>
    </row>
    <row r="350">
      <c r="A350" s="4" t="s">
        <v>678</v>
      </c>
      <c r="B350" s="5" t="s">
        <v>679</v>
      </c>
      <c r="C350" s="6" t="str">
        <f>IFERROR(__xludf.DUMMYFUNCTION("GOOGLETRANSLATE(B350, ""en"", ""ta"")"),"கட்டணம்")</f>
        <v>கட்டணம்</v>
      </c>
      <c r="D350" s="6" t="str">
        <f>IFERROR(__xludf.DUMMYFUNCTION("GOOGLETRANSLATE(B350, ""en"", ""hi"")"),"किराया")</f>
        <v>किराया</v>
      </c>
      <c r="E350" s="6" t="str">
        <f>IFERROR(__xludf.DUMMYFUNCTION("GOOGLETRANSLATE(B350, ""en"", ""kn"")"),"ಶುಲ್ಕ")</f>
        <v>ಶುಲ್ಕ</v>
      </c>
      <c r="F350" s="7" t="str">
        <f>IFERROR(__xludf.DUMMYFUNCTION("GOOGLETRANSLATE(B350, ""en"", ""ml"")"),"യാത്രാക്കൂലി")</f>
        <v>യാത്രാക്കൂലി</v>
      </c>
      <c r="G350" s="7" t="str">
        <f>IFERROR(__xludf.DUMMYFUNCTION("GOOGLETRANSLATE(B350, ""en"", ""te"")"),"ఛార్జీ")</f>
        <v>ఛార్జీ</v>
      </c>
    </row>
    <row r="351">
      <c r="A351" s="4" t="s">
        <v>680</v>
      </c>
      <c r="B351" s="5" t="s">
        <v>681</v>
      </c>
      <c r="C351" s="6" t="str">
        <f>IFERROR(__xludf.DUMMYFUNCTION("GOOGLETRANSLATE(B351, ""en"", ""ta"")"),"டிரைவர்")</f>
        <v>டிரைவர்</v>
      </c>
      <c r="D351" s="6" t="str">
        <f>IFERROR(__xludf.DUMMYFUNCTION("GOOGLETRANSLATE(B351, ""en"", ""hi"")"),"ड्राइवर")</f>
        <v>ड्राइवर</v>
      </c>
      <c r="E351" s="6" t="str">
        <f>IFERROR(__xludf.DUMMYFUNCTION("GOOGLETRANSLATE(B351, ""en"", ""kn"")"),"ಚಾಲಕ")</f>
        <v>ಚಾಲಕ</v>
      </c>
      <c r="F351" s="7" t="str">
        <f>IFERROR(__xludf.DUMMYFUNCTION("GOOGLETRANSLATE(B351, ""en"", ""ml"")"),"ഡ്രൈവർ")</f>
        <v>ഡ്രൈവർ</v>
      </c>
      <c r="G351" s="7" t="str">
        <f>IFERROR(__xludf.DUMMYFUNCTION("GOOGLETRANSLATE(B351, ""en"", ""te"")"),"డ్రైవర్")</f>
        <v>డ్రైవర్</v>
      </c>
    </row>
    <row r="352">
      <c r="A352" s="4" t="s">
        <v>682</v>
      </c>
      <c r="B352" s="5" t="s">
        <v>683</v>
      </c>
      <c r="C352" s="6" t="str">
        <f>IFERROR(__xludf.DUMMYFUNCTION("GOOGLETRANSLATE(B352, ""en"", ""ta"")"),"நிலைமை")</f>
        <v>நிலைமை</v>
      </c>
      <c r="D352" s="6" t="str">
        <f>IFERROR(__xludf.DUMMYFUNCTION("GOOGLETRANSLATE(B352, ""en"", ""hi"")"),"स्थिति")</f>
        <v>स्थिति</v>
      </c>
      <c r="E352" s="6" t="str">
        <f>IFERROR(__xludf.DUMMYFUNCTION("GOOGLETRANSLATE(B352, ""en"", ""kn"")"),"ಸ್ಥಿತಿ")</f>
        <v>ಸ್ಥಿತಿ</v>
      </c>
      <c r="F352" s="7" t="str">
        <f>IFERROR(__xludf.DUMMYFUNCTION("GOOGLETRANSLATE(B352, ""en"", ""ml"")"),"പദവി")</f>
        <v>പദവി</v>
      </c>
      <c r="G352" s="7" t="str">
        <f>IFERROR(__xludf.DUMMYFUNCTION("GOOGLETRANSLATE(B352, ""en"", ""te"")"),"స్థితి")</f>
        <v>స్థితి</v>
      </c>
    </row>
    <row r="353">
      <c r="A353" s="4" t="s">
        <v>684</v>
      </c>
      <c r="B353" s="5" t="s">
        <v>685</v>
      </c>
      <c r="C353" s="6" t="str">
        <f>IFERROR(__xludf.DUMMYFUNCTION("GOOGLETRANSLATE(B353, ""en"", ""ta"")"),"வகை")</f>
        <v>வகை</v>
      </c>
      <c r="D353" s="6" t="str">
        <f>IFERROR(__xludf.DUMMYFUNCTION("GOOGLETRANSLATE(B353, ""en"", ""hi"")"),"वर्ग ")</f>
        <v>वर्ग </v>
      </c>
      <c r="E353" s="6" t="str">
        <f>IFERROR(__xludf.DUMMYFUNCTION("GOOGLETRANSLATE(B353, ""en"", ""kn"")"),"ವರ್ಗ")</f>
        <v>ವರ್ಗ</v>
      </c>
      <c r="F353" s="7" t="str">
        <f>IFERROR(__xludf.DUMMYFUNCTION("GOOGLETRANSLATE(B353, ""en"", ""ml"")"),"വിഭാഗം")</f>
        <v>വിഭാഗം</v>
      </c>
      <c r="G353" s="7" t="str">
        <f>IFERROR(__xludf.DUMMYFUNCTION("GOOGLETRANSLATE(B353, ""en"", ""te"")"),"వర్గం")</f>
        <v>వర్గం</v>
      </c>
    </row>
    <row r="354">
      <c r="A354" s="4" t="s">
        <v>686</v>
      </c>
      <c r="B354" s="5" t="s">
        <v>687</v>
      </c>
      <c r="C354" s="6" t="str">
        <f>IFERROR(__xludf.DUMMYFUNCTION("GOOGLETRANSLATE(B354, ""en"", ""ta"")"),"வகைகளை ஏற்றுகிறது...")</f>
        <v>வகைகளை ஏற்றுகிறது...</v>
      </c>
      <c r="D354" s="6" t="str">
        <f>IFERROR(__xludf.DUMMYFUNCTION("GOOGLETRANSLATE(B354, ""en"", ""hi"")"),"श्रेणियां लोड हो रही हैं...")</f>
        <v>श्रेणियां लोड हो रही हैं...</v>
      </c>
      <c r="E354" s="6" t="str">
        <f>IFERROR(__xludf.DUMMYFUNCTION("GOOGLETRANSLATE(B354, ""en"", ""kn"")"),"ವರ್ಗಗಳನ್ನು ಲೋಡ್ ಮಾಡಲಾಗುತ್ತಿದೆ...")</f>
        <v>ವರ್ಗಗಳನ್ನು ಲೋಡ್ ಮಾಡಲಾಗುತ್ತಿದೆ...</v>
      </c>
      <c r="F354" s="7" t="str">
        <f>IFERROR(__xludf.DUMMYFUNCTION("GOOGLETRANSLATE(B354, ""en"", ""ml"")"),"വിഭാഗങ്ങൾ ലോഡ് ചെയ്യുന്നു...")</f>
        <v>വിഭാഗങ്ങൾ ലോഡ് ചെയ്യുന്നു...</v>
      </c>
      <c r="G354" s="7" t="str">
        <f>IFERROR(__xludf.DUMMYFUNCTION("GOOGLETRANSLATE(B354, ""en"", ""te"")"),"వర్గాలను లోడ్ చేస్తోంది...")</f>
        <v>వర్గాలను లోడ్ చేస్తోంది...</v>
      </c>
    </row>
    <row r="355">
      <c r="A355" s="4" t="s">
        <v>688</v>
      </c>
      <c r="B355" s="5" t="s">
        <v>689</v>
      </c>
      <c r="C355" s="6" t="str">
        <f>IFERROR(__xludf.DUMMYFUNCTION("GOOGLETRANSLATE(B355, ""en"", ""ta"")"),"இந்த டிக்கெட் வகைக்கு எந்த வகைகளும் கிடைக்கவில்லை.")</f>
        <v>இந்த டிக்கெட் வகைக்கு எந்த வகைகளும் கிடைக்கவில்லை.</v>
      </c>
      <c r="D355" s="6" t="str">
        <f>IFERROR(__xludf.DUMMYFUNCTION("GOOGLETRANSLATE(B355, ""en"", ""hi"")"),"इस टिकट प्रकार के लिए कोई श्रेणियां उपलब्ध नहीं हैं")</f>
        <v>इस टिकट प्रकार के लिए कोई श्रेणियां उपलब्ध नहीं हैं</v>
      </c>
      <c r="E355" s="6" t="str">
        <f>IFERROR(__xludf.DUMMYFUNCTION("GOOGLETRANSLATE(B355, ""en"", ""kn"")"),"ಈ ಟಿಕೆಟ್ ಪ್ರಕಾರಕ್ಕೆ ಯಾವುದೇ ವರ್ಗಗಳು ಲಭ್ಯವಿಲ್ಲ.")</f>
        <v>ಈ ಟಿಕೆಟ್ ಪ್ರಕಾರಕ್ಕೆ ಯಾವುದೇ ವರ್ಗಗಳು ಲಭ್ಯವಿಲ್ಲ.</v>
      </c>
      <c r="F355" s="7" t="str">
        <f>IFERROR(__xludf.DUMMYFUNCTION("GOOGLETRANSLATE(B355, ""en"", ""ml"")"),"ഈ ടിക്കറ്റ് തരത്തിന് വിഭാഗങ്ങളൊന്നും ലഭ്യമല്ല.")</f>
        <v>ഈ ടിക്കറ്റ് തരത്തിന് വിഭാഗങ്ങളൊന്നും ലഭ്യമല്ല.</v>
      </c>
      <c r="G355" s="7" t="str">
        <f>IFERROR(__xludf.DUMMYFUNCTION("GOOGLETRANSLATE(B355, ""en"", ""te"")"),"ఈ టికెట్ రకానికి వర్గాలు అందుబాటులో లేవు.")</f>
        <v>ఈ టికెట్ రకానికి వర్గాలు అందుబాటులో లేవు.</v>
      </c>
    </row>
    <row r="356">
      <c r="A356" s="4" t="s">
        <v>690</v>
      </c>
      <c r="B356" s="5" t="s">
        <v>691</v>
      </c>
      <c r="C356" s="6" t="str">
        <f>IFERROR(__xludf.DUMMYFUNCTION("GOOGLETRANSLATE(B356, ""en"", ""ta"")"),"விளக்கம்")</f>
        <v>விளக்கம்</v>
      </c>
      <c r="D356" s="6" t="str">
        <f>IFERROR(__xludf.DUMMYFUNCTION("GOOGLETRANSLATE(B356, ""en"", ""hi"")"),"विवरण ")</f>
        <v>विवरण </v>
      </c>
      <c r="E356" s="6" t="str">
        <f>IFERROR(__xludf.DUMMYFUNCTION("GOOGLETRANSLATE(B356, ""en"", ""kn"")"),"ವಿವರಣೆ")</f>
        <v>ವಿವರಣೆ</v>
      </c>
      <c r="F356" s="7" t="str">
        <f>IFERROR(__xludf.DUMMYFUNCTION("GOOGLETRANSLATE(B356, ""en"", ""ml"")"),"വിവരണം")</f>
        <v>വിവരണം</v>
      </c>
      <c r="G356" s="7" t="str">
        <f>IFERROR(__xludf.DUMMYFUNCTION("GOOGLETRANSLATE(B356, ""en"", ""te"")"),"వివరణ")</f>
        <v>వివరణ</v>
      </c>
    </row>
    <row r="357">
      <c r="A357" s="4" t="s">
        <v>692</v>
      </c>
      <c r="B357" s="5" t="s">
        <v>693</v>
      </c>
      <c r="C357" s="6" t="str">
        <f>IFERROR(__xludf.DUMMYFUNCTION("GOOGLETRANSLATE(B357, ""en"", ""ta"")"),"உங்கள் பிரச்சினை பற்றிய விரிவான தகவல்களை வழங்கவும்...")</f>
        <v>உங்கள் பிரச்சினை பற்றிய விரிவான தகவல்களை வழங்கவும்...</v>
      </c>
      <c r="D357" s="6" t="str">
        <f>IFERROR(__xludf.DUMMYFUNCTION("GOOGLETRANSLATE(B357, ""en"", ""hi"")"),"कृपया अपनी समस्या के बारे में विस्तृत जानकारी प्रदान करें...")</f>
        <v>कृपया अपनी समस्या के बारे में विस्तृत जानकारी प्रदान करें...</v>
      </c>
      <c r="E357" s="6" t="str">
        <f>IFERROR(__xludf.DUMMYFUNCTION("GOOGLETRANSLATE(B357, ""en"", ""kn"")"),"ದಯವಿಟ್ಟು ನಿಮ್ಮ ಸಮಸ್ಯೆಯ ಬಗ್ಗೆ ವಿವರವಾದ ಮಾಹಿತಿಯನ್ನು ಒದಗಿಸಿ...")</f>
        <v>ದಯವಿಟ್ಟು ನಿಮ್ಮ ಸಮಸ್ಯೆಯ ಬಗ್ಗೆ ವಿವರವಾದ ಮಾಹಿತಿಯನ್ನು ಒದಗಿಸಿ...</v>
      </c>
      <c r="F357" s="7" t="str">
        <f>IFERROR(__xludf.DUMMYFUNCTION("GOOGLETRANSLATE(B357, ""en"", ""ml"")"),"നിങ്ങളുടെ പ്രശ്നത്തെക്കുറിച്ചുള്ള വിശദമായ വിവരങ്ങൾ നൽകുക...")</f>
        <v>നിങ്ങളുടെ പ്രശ്നത്തെക്കുറിച്ചുള്ള വിശദമായ വിവരങ്ങൾ നൽകുക...</v>
      </c>
      <c r="G357" s="7" t="str">
        <f>IFERROR(__xludf.DUMMYFUNCTION("GOOGLETRANSLATE(B357, ""en"", ""te"")"),"దయచేసి మీ సమస్య గురించి వివరణాత్మక సమాచారాన్ని అందించండి...")</f>
        <v>దయచేసి మీ సమస్య గురించి వివరణాత్మక సమాచారాన్ని అందించండి...</v>
      </c>
    </row>
    <row r="358">
      <c r="A358" s="4" t="s">
        <v>694</v>
      </c>
      <c r="B358" s="5" t="s">
        <v>695</v>
      </c>
      <c r="C358" s="6" t="str">
        <f>IFERROR(__xludf.DUMMYFUNCTION("GOOGLETRANSLATE(B358, ""en"", ""ta"")"),"ஏற்றுவதற்கு இனி பயணங்கள் இல்லை.")</f>
        <v>ஏற்றுவதற்கு இனி பயணங்கள் இல்லை.</v>
      </c>
      <c r="D358" s="6" t="str">
        <f>IFERROR(__xludf.DUMMYFUNCTION("GOOGLETRANSLATE(B358, ""en"", ""hi"")"),"अब सामान लोड करने के लिए बार-बार जाने की जरूरत नहीं")</f>
        <v>अब सामान लोड करने के लिए बार-बार जाने की जरूरत नहीं</v>
      </c>
      <c r="E358" s="6" t="str">
        <f>IFERROR(__xludf.DUMMYFUNCTION("GOOGLETRANSLATE(B358, ""en"", ""kn"")"),"ಲೋಡ್ ಮಾಡಲು ಇನ್ನು ಯಾವುದೇ ಟ್ರಿಪ್‌ಗಳಿಲ್ಲ.")</f>
        <v>ಲೋಡ್ ಮಾಡಲು ಇನ್ನು ಯಾವುದೇ ಟ್ರಿಪ್‌ಗಳಿಲ್ಲ.</v>
      </c>
      <c r="F358" s="7" t="str">
        <f>IFERROR(__xludf.DUMMYFUNCTION("GOOGLETRANSLATE(B358, ""en"", ""ml"")"),"ലോഡ് ചെയ്യാൻ ഇനി ട്രിപ്പുകൾ ഇല്ല.")</f>
        <v>ലോഡ് ചെയ്യാൻ ഇനി ട്രിപ്പുകൾ ഇല്ല.</v>
      </c>
      <c r="G358" s="7" t="str">
        <f>IFERROR(__xludf.DUMMYFUNCTION("GOOGLETRANSLATE(B358, ""en"", ""te"")"),"లోడ్ చేయడానికి ఇక ట్రిప్‌లు లేవు.")</f>
        <v>లోడ్ చేయడానికి ఇక ట్రిప్‌లు లేవు.</v>
      </c>
    </row>
    <row r="359">
      <c r="A359" s="4" t="s">
        <v>696</v>
      </c>
      <c r="B359" s="5" t="s">
        <v>697</v>
      </c>
      <c r="C359" s="6" t="str">
        <f>IFERROR(__xludf.DUMMYFUNCTION("GOOGLETRANSLATE(B359, ""en"", ""ta"")"),"உங்கள் சமீபத்திய பயணங்களை ஏற்றுகிறது...")</f>
        <v>உங்கள் சமீபத்திய பயணங்களை ஏற்றுகிறது...</v>
      </c>
      <c r="D359" s="6" t="str">
        <f>IFERROR(__xludf.DUMMYFUNCTION("GOOGLETRANSLATE(B359, ""en"", ""hi"")"),"आपकी हाल की यात्राओं को लोड किया जा रहा है...")</f>
        <v>आपकी हाल की यात्राओं को लोड किया जा रहा है...</v>
      </c>
      <c r="E359" s="6" t="str">
        <f>IFERROR(__xludf.DUMMYFUNCTION("GOOGLETRANSLATE(B359, ""en"", ""kn"")"),"ನಿಮ್ಮ ಇತ್ತೀಚಿನ ಪ್ರವಾಸಗಳನ್ನು ಲೋಡ್ ಮಾಡಲಾಗುತ್ತಿದೆ...")</f>
        <v>ನಿಮ್ಮ ಇತ್ತೀಚಿನ ಪ್ರವಾಸಗಳನ್ನು ಲೋಡ್ ಮಾಡಲಾಗುತ್ತಿದೆ...</v>
      </c>
      <c r="F359" s="7" t="str">
        <f>IFERROR(__xludf.DUMMYFUNCTION("GOOGLETRANSLATE(B359, ""en"", ""ml"")"),"നിങ്ങളുടെ സമീപകാല യാത്രകൾ ലോഡ് ചെയ്യുന്നു...")</f>
        <v>നിങ്ങളുടെ സമീപകാല യാത്രകൾ ലോഡ് ചെയ്യുന്നു...</v>
      </c>
      <c r="G359" s="7" t="str">
        <f>IFERROR(__xludf.DUMMYFUNCTION("GOOGLETRANSLATE(B359, ""en"", ""te"")"),"మీ ఇటీవలి పర్యటనలను లోడ్ చేస్తోంది...")</f>
        <v>మీ ఇటీవలి పర్యటనలను లోడ్ చేస్తోంది...</v>
      </c>
    </row>
    <row r="360">
      <c r="A360" s="4" t="s">
        <v>417</v>
      </c>
      <c r="B360" s="5" t="s">
        <v>418</v>
      </c>
      <c r="C360" s="6" t="str">
        <f>IFERROR(__xludf.DUMMYFUNCTION("GOOGLETRANSLATE(B360, ""en"", ""ta"")"),"பயணங்கள் எதுவும் இல்லை")</f>
        <v>பயணங்கள் எதுவும் இல்லை</v>
      </c>
      <c r="D360" s="6" t="str">
        <f>IFERROR(__xludf.DUMMYFUNCTION("GOOGLETRANSLATE(B360, ""en"", ""hi"")"),"कोई यात्रा नहीं मिली")</f>
        <v>कोई यात्रा नहीं मिली</v>
      </c>
      <c r="E360" s="6" t="str">
        <f>IFERROR(__xludf.DUMMYFUNCTION("GOOGLETRANSLATE(B360, ""en"", ""kn"")"),"ಯಾವುದೇ ಪ್ರವಾಸಗಳು ಕಂಡುಬಂದಿಲ್ಲ.")</f>
        <v>ಯಾವುದೇ ಪ್ರವಾಸಗಳು ಕಂಡುಬಂದಿಲ್ಲ.</v>
      </c>
      <c r="F360" s="7" t="str">
        <f>IFERROR(__xludf.DUMMYFUNCTION("GOOGLETRANSLATE(B360, ""en"", ""ml"")"),"യാത്രകളൊന്നും കണ്ടെത്തിയില്ല")</f>
        <v>യാത്രകളൊന്നും കണ്ടെത്തിയില്ല</v>
      </c>
      <c r="G360" s="7" t="str">
        <f>IFERROR(__xludf.DUMMYFUNCTION("GOOGLETRANSLATE(B360, ""en"", ""te"")"),"ట్రిప్‌లు ఏవీ కనుగొనబడలేదు")</f>
        <v>ట్రిప్‌లు ఏవీ కనుగొనబడలేదు</v>
      </c>
    </row>
    <row r="361">
      <c r="A361" s="4" t="s">
        <v>698</v>
      </c>
      <c r="B361" s="5" t="s">
        <v>699</v>
      </c>
      <c r="C361" s="6" t="str">
        <f>IFERROR(__xludf.DUMMYFUNCTION("GOOGLETRANSLATE(B361, ""en"", ""ta"")"),"உங்கள் வரலாற்றில் இதுவரை எந்தப் பயணங்களும் இல்லை.")</f>
        <v>உங்கள் வரலாற்றில் இதுவரை எந்தப் பயணங்களும் இல்லை.</v>
      </c>
      <c r="D361" s="6" t="str">
        <f>IFERROR(__xludf.DUMMYFUNCTION("GOOGLETRANSLATE(B361, ""en"", ""hi"")"),"आपके यात्रा इतिहास में अभी तक कोई यात्रा दर्ज नहीं है।")</f>
        <v>आपके यात्रा इतिहास में अभी तक कोई यात्रा दर्ज नहीं है।</v>
      </c>
      <c r="E361" s="6" t="str">
        <f>IFERROR(__xludf.DUMMYFUNCTION("GOOGLETRANSLATE(B361, ""en"", ""kn"")"),"ನಿಮ್ಮ ಇತಿಹಾಸದಲ್ಲಿ ಇನ್ನೂ ಯಾವುದೇ ಪ್ರವಾಸಗಳಿಲ್ಲ.")</f>
        <v>ನಿಮ್ಮ ಇತಿಹಾಸದಲ್ಲಿ ಇನ್ನೂ ಯಾವುದೇ ಪ್ರವಾಸಗಳಿಲ್ಲ.</v>
      </c>
      <c r="F361" s="7" t="str">
        <f>IFERROR(__xludf.DUMMYFUNCTION("GOOGLETRANSLATE(B361, ""en"", ""ml"")"),"നിങ്ങളുടെ ചരിത്രത്തിൽ ഇതുവരെ യാത്രകളൊന്നുമില്ല.")</f>
        <v>നിങ്ങളുടെ ചരിത്രത്തിൽ ഇതുവരെ യാത്രകളൊന്നുമില്ല.</v>
      </c>
      <c r="G361" s="7" t="str">
        <f>IFERROR(__xludf.DUMMYFUNCTION("GOOGLETRANSLATE(B361, ""en"", ""te"")"),"మీ చరిత్రలో ఇంకా ఎలాంటి పర్యటనలు లేవు.")</f>
        <v>మీ చరిత్రలో ఇంకా ఎలాంటి పర్యటనలు లేవు.</v>
      </c>
    </row>
    <row r="362">
      <c r="A362" s="4" t="s">
        <v>666</v>
      </c>
      <c r="B362" s="5" t="s">
        <v>667</v>
      </c>
      <c r="C362" s="6" t="str">
        <f>IFERROR(__xludf.DUMMYFUNCTION("GOOGLETRANSLATE(B362, ""en"", ""ta"")"),"பயணத்தைத் தேர்ந்தெடுக்கவும்")</f>
        <v>பயணத்தைத் தேர்ந்தெடுக்கவும்</v>
      </c>
      <c r="D362" s="6" t="str">
        <f>IFERROR(__xludf.DUMMYFUNCTION("GOOGLETRANSLATE(B362, ""en"", ""hi"")"),"यात्रा चुनें")</f>
        <v>यात्रा चुनें</v>
      </c>
      <c r="E362" s="6" t="str">
        <f>IFERROR(__xludf.DUMMYFUNCTION("GOOGLETRANSLATE(B362, ""en"", ""kn"")"),"ಪ್ರವಾಸ ಆಯ್ಕೆಮಾಡಿ")</f>
        <v>ಪ್ರವಾಸ ಆಯ್ಕೆಮಾಡಿ</v>
      </c>
      <c r="F362" s="7" t="str">
        <f>IFERROR(__xludf.DUMMYFUNCTION("GOOGLETRANSLATE(B362, ""en"", ""ml"")"),"യാത്ര തിരഞ്ഞെടുക്കുക")</f>
        <v>യാത്ര തിരഞ്ഞെടുക്കുക</v>
      </c>
      <c r="G362" s="7" t="str">
        <f>IFERROR(__xludf.DUMMYFUNCTION("GOOGLETRANSLATE(B362, ""en"", ""te"")"),"ట్రిప్ ఎంచుకోండి")</f>
        <v>ట్రిప్ ఎంచుకోండి</v>
      </c>
    </row>
    <row r="363">
      <c r="A363" s="4" t="s">
        <v>700</v>
      </c>
      <c r="B363" s="5" t="s">
        <v>701</v>
      </c>
      <c r="C363" s="6" t="str">
        <f>IFERROR(__xludf.DUMMYFUNCTION("GOOGLETRANSLATE(B363, ""en"", ""ta"")"),"பயணங்களை ஏற்றுகிறது..")</f>
        <v>பயணங்களை ஏற்றுகிறது..</v>
      </c>
      <c r="D363" s="6" t="str">
        <f>IFERROR(__xludf.DUMMYFUNCTION("GOOGLETRANSLATE(B363, ""en"", ""hi"")"),"लोडिंग ट्रिप्स...")</f>
        <v>लोडिंग ट्रिप्स...</v>
      </c>
      <c r="E363" s="6" t="str">
        <f>IFERROR(__xludf.DUMMYFUNCTION("GOOGLETRANSLATE(B363, ""en"", ""kn"")"),"ಪ್ರವಾಸಗಳನ್ನು ಲೋಡ್ ಮಾಡಲಾಗುತ್ತಿದೆ..")</f>
        <v>ಪ್ರವಾಸಗಳನ್ನು ಲೋಡ್ ಮಾಡಲಾಗುತ್ತಿದೆ..</v>
      </c>
      <c r="F363" s="7" t="str">
        <f>IFERROR(__xludf.DUMMYFUNCTION("GOOGLETRANSLATE(B363, ""en"", ""ml"")"),"യാത്രകൾ ലോഡ് ചെയ്യുന്നു..")</f>
        <v>യാത്രകൾ ലോഡ് ചെയ്യുന്നു..</v>
      </c>
      <c r="G363" s="7" t="str">
        <f>IFERROR(__xludf.DUMMYFUNCTION("GOOGLETRANSLATE(B363, ""en"", ""te"")"),"ట్రిప్పులను లోడ్ చేస్తోంది..")</f>
        <v>ట్రిప్పులను లోడ్ చేస్తోంది..</v>
      </c>
    </row>
    <row r="364">
      <c r="A364" s="4" t="s">
        <v>702</v>
      </c>
      <c r="B364" s="5" t="s">
        <v>703</v>
      </c>
      <c r="C364" s="6" t="str">
        <f>IFERROR(__xludf.DUMMYFUNCTION("GOOGLETRANSLATE(B364, ""en"", ""ta"")"),"நிராகரி")</f>
        <v>நிராகரி</v>
      </c>
      <c r="D364" s="6" t="str">
        <f>IFERROR(__xludf.DUMMYFUNCTION("GOOGLETRANSLATE(B364, ""en"", ""hi"")"),"अस्वीकार करना")</f>
        <v>अस्वीकार करना</v>
      </c>
      <c r="E364" s="6" t="str">
        <f>IFERROR(__xludf.DUMMYFUNCTION("GOOGLETRANSLATE(B364, ""en"", ""kn"")"),"ತಿರಸ್ಕರಿಸಿ")</f>
        <v>ತಿರಸ್ಕರಿಸಿ</v>
      </c>
      <c r="F364" s="7" t="str">
        <f>IFERROR(__xludf.DUMMYFUNCTION("GOOGLETRANSLATE(B364, ""en"", ""ml"")"),"നിരസിക്കുക")</f>
        <v>നിരസിക്കുക</v>
      </c>
      <c r="G364" s="7" t="str">
        <f>IFERROR(__xludf.DUMMYFUNCTION("GOOGLETRANSLATE(B364, ""en"", ""te"")"),"తిరస్కరించు")</f>
        <v>తిరస్కరించు</v>
      </c>
    </row>
    <row r="365">
      <c r="A365" s="4" t="s">
        <v>704</v>
      </c>
      <c r="B365" s="5" t="s">
        <v>705</v>
      </c>
      <c r="C365" s="6" t="str">
        <f>IFERROR(__xludf.DUMMYFUNCTION("GOOGLETRANSLATE(B365, ""en"", ""ta"")"),"உங்கள் கணக்கு உடனடியாக நீக்கப்பட்டதாகக் குறிக்கப்படும்.")</f>
        <v>உங்கள் கணக்கு உடனடியாக நீக்கப்பட்டதாகக் குறிக்கப்படும்.</v>
      </c>
      <c r="D365" s="6" t="str">
        <f>IFERROR(__xludf.DUMMYFUNCTION("GOOGLETRANSLATE(B365, ""en"", ""hi"")"),"आपका खाता तत्काल ही हटा दिया जाएगा।")</f>
        <v>आपका खाता तत्काल ही हटा दिया जाएगा।</v>
      </c>
      <c r="E365" s="6" t="str">
        <f>IFERROR(__xludf.DUMMYFUNCTION("GOOGLETRANSLATE(B365, ""en"", ""kn"")"),"ನಿಮ್ಮ ಖಾತೆಯನ್ನು ತಕ್ಷಣವೇ ಅಳಿಸಲಾಗಿದೆ ಎಂದು ಗುರುತಿಸಲಾಗುತ್ತದೆ.")</f>
        <v>ನಿಮ್ಮ ಖಾತೆಯನ್ನು ತಕ್ಷಣವೇ ಅಳಿಸಲಾಗಿದೆ ಎಂದು ಗುರುತಿಸಲಾಗುತ್ತದೆ.</v>
      </c>
      <c r="F365" s="7" t="str">
        <f>IFERROR(__xludf.DUMMYFUNCTION("GOOGLETRANSLATE(B365, ""en"", ""ml"")"),"നിങ്ങളുടെ അക്കൗണ്ട് ഉടൻ തന്നെ ഇല്ലാതാക്കിയതായി അടയാളപ്പെടുത്തും.")</f>
        <v>നിങ്ങളുടെ അക്കൗണ്ട് ഉടൻ തന്നെ ഇല്ലാതാക്കിയതായി അടയാളപ്പെടുത്തും.</v>
      </c>
      <c r="G365" s="7" t="str">
        <f>IFERROR(__xludf.DUMMYFUNCTION("GOOGLETRANSLATE(B365, ""en"", ""te"")"),"మీ ఖాతా వెంటనే తొలగించబడినట్లు గుర్తించబడుతుంది.")</f>
        <v>మీ ఖాతా వెంటనే తొలగించబడినట్లు గుర్తించబడుతుంది.</v>
      </c>
    </row>
    <row r="366">
      <c r="A366" s="4" t="s">
        <v>706</v>
      </c>
      <c r="B366" s="5" t="s">
        <v>707</v>
      </c>
      <c r="C366" s="6" t="str">
        <f>IFERROR(__xludf.DUMMYFUNCTION("GOOGLETRANSLATE(B366, ""en"", ""ta"")"),"தொடர்புடைய அனைத்து தரவுகளும் 30 நாட்களுக்குள் நிரந்தரமாக நீக்கப்படும்.")</f>
        <v>தொடர்புடைய அனைத்து தரவுகளும் 30 நாட்களுக்குள் நிரந்தரமாக நீக்கப்படும்.</v>
      </c>
      <c r="D366" s="6" t="str">
        <f>IFERROR(__xludf.DUMMYFUNCTION("GOOGLETRANSLATE(B366, ""en"", ""hi"")"),"इससे संबंधित सभी डेटा 30 दिनों के भीतर स्थायी रूप से हटा दिया जाएगा।")</f>
        <v>इससे संबंधित सभी डेटा 30 दिनों के भीतर स्थायी रूप से हटा दिया जाएगा।</v>
      </c>
      <c r="E366" s="6" t="str">
        <f>IFERROR(__xludf.DUMMYFUNCTION("GOOGLETRANSLATE(B366, ""en"", ""kn"")"),"ಎಲ್ಲಾ ಸಂಬಂಧಿತ ಡೇಟಾವನ್ನು 30 ದಿನಗಳಲ್ಲಿ ಶಾಶ್ವತವಾಗಿ ಅಳಿಸಲಾಗುತ್ತದೆ.")</f>
        <v>ಎಲ್ಲಾ ಸಂಬಂಧಿತ ಡೇಟಾವನ್ನು 30 ದಿನಗಳಲ್ಲಿ ಶಾಶ್ವತವಾಗಿ ಅಳಿಸಲಾಗುತ್ತದೆ.</v>
      </c>
      <c r="F366" s="7" t="str">
        <f>IFERROR(__xludf.DUMMYFUNCTION("GOOGLETRANSLATE(B366, ""en"", ""ml"")"),"ബന്ധപ്പെട്ട എല്ലാ ഡാറ്റയും 30 ദിവസത്തിനുള്ളിൽ ശാശ്വതമായി ഇല്ലാതാക്കപ്പെടും.")</f>
        <v>ബന്ധപ്പെട്ട എല്ലാ ഡാറ്റയും 30 ദിവസത്തിനുള്ളിൽ ശാശ്വതമായി ഇല്ലാതാക്കപ്പെടും.</v>
      </c>
      <c r="G366" s="7" t="str">
        <f>IFERROR(__xludf.DUMMYFUNCTION("GOOGLETRANSLATE(B366, ""en"", ""te"")"),"సంబంధిత డేటా అంతా 30 రోజుల్లో శాశ్వతంగా తొలగించబడుతుంది.")</f>
        <v>సంబంధిత డేటా అంతా 30 రోజుల్లో శాశ్వతంగా తొలగించబడుతుంది.</v>
      </c>
    </row>
    <row r="367">
      <c r="A367" s="4" t="s">
        <v>708</v>
      </c>
      <c r="B367" s="5" t="s">
        <v>709</v>
      </c>
      <c r="C367" s="6" t="str">
        <f>IFERROR(__xludf.DUMMYFUNCTION("GOOGLETRANSLATE(B367, ""en"", ""ta"")"),"இந்தச் செயலைச் செயல்தவிர்க்க முடியாது - நீக்கப்பட்ட தரவை மீட்டெடுக்க முடியாது.")</f>
        <v>இந்தச் செயலைச் செயல்தவிர்க்க முடியாது - நீக்கப்பட்ட தரவை மீட்டெடுக்க முடியாது.</v>
      </c>
      <c r="D367" s="6" t="str">
        <f>IFERROR(__xludf.DUMMYFUNCTION("GOOGLETRANSLATE(B367, ""en"", ""hi"")"),"इस कार्रवाई को पूर्ववत नहीं किया जा सकता - हटाए गए डेटा को पुनः प्राप्त नहीं किया जा सकता है।")</f>
        <v>इस कार्रवाई को पूर्ववत नहीं किया जा सकता - हटाए गए डेटा को पुनः प्राप्त नहीं किया जा सकता है।</v>
      </c>
      <c r="E367" s="6" t="str">
        <f>IFERROR(__xludf.DUMMYFUNCTION("GOOGLETRANSLATE(B367, ""en"", ""kn"")"),"ಈ ಕ್ರಿಯೆಯನ್ನು ರದ್ದುಗೊಳಿಸಲು ಸಾಧ್ಯವಿಲ್ಲ - ಅಳಿಸಿದ ಡೇಟಾವನ್ನು ಮರುಪಡೆಯಲು ಸಾಧ್ಯವಿಲ್ಲ.")</f>
        <v>ಈ ಕ್ರಿಯೆಯನ್ನು ರದ್ದುಗೊಳಿಸಲು ಸಾಧ್ಯವಿಲ್ಲ - ಅಳಿಸಿದ ಡೇಟಾವನ್ನು ಮರುಪಡೆಯಲು ಸಾಧ್ಯವಿಲ್ಲ.</v>
      </c>
      <c r="F367" s="7" t="str">
        <f>IFERROR(__xludf.DUMMYFUNCTION("GOOGLETRANSLATE(B367, ""en"", ""ml"")"),"ഈ പ്രവർത്തനം പഴയപടിയാക്കാൻ കഴിയില്ല - ഇല്ലാതാക്കിയ ഡാറ്റ വീണ്ടെടുക്കാൻ കഴിയില്ല.")</f>
        <v>ഈ പ്രവർത്തനം പഴയപടിയാക്കാൻ കഴിയില്ല - ഇല്ലാതാക്കിയ ഡാറ്റ വീണ്ടെടുക്കാൻ കഴിയില്ല.</v>
      </c>
      <c r="G367" s="7" t="str">
        <f>IFERROR(__xludf.DUMMYFUNCTION("GOOGLETRANSLATE(B367, ""en"", ""te"")"),"ఈ చర్యను రద్దు చేయలేము - తొలగించబడిన డేటాను తిరిగి పొందడం సాధ్యం కాదు.")</f>
        <v>ఈ చర్యను రద్దు చేయలేము - తొలగించబడిన డేటాను తిరిగి పొందడం సాధ్యం కాదు.</v>
      </c>
    </row>
    <row r="368">
      <c r="A368" s="4" t="s">
        <v>710</v>
      </c>
      <c r="B368" s="5" t="s">
        <v>711</v>
      </c>
      <c r="C368" s="6" t="str">
        <f>IFERROR(__xludf.DUMMYFUNCTION("GOOGLETRANSLATE(B368, ""en"", ""ta"")"),"இதற்குப் பிறகு நீங்கள் பயணங்களை மேற்கொள்ளவோ ​​அல்லது இயக்கி அம்சங்களை அணுகவோ முடியாது.")</f>
        <v>இதற்குப் பிறகு நீங்கள் பயணங்களை மேற்கொள்ளவோ ​​அல்லது இயக்கி அம்சங்களை அணுகவோ முடியாது.</v>
      </c>
      <c r="D368" s="6" t="str">
        <f>IFERROR(__xludf.DUMMYFUNCTION("GOOGLETRANSLATE(B368, ""en"", ""hi"")"),"इसके बाद आप ट्रिप बुक नहीं कर पाएंगे और न ही ड्राइवर की सुविधाओं का उपयोग कर पाएंगे।")</f>
        <v>इसके बाद आप ट्रिप बुक नहीं कर पाएंगे और न ही ड्राइवर की सुविधाओं का उपयोग कर पाएंगे।</v>
      </c>
      <c r="E368" s="6" t="str">
        <f>IFERROR(__xludf.DUMMYFUNCTION("GOOGLETRANSLATE(B368, ""en"", ""kn"")"),"ಇದರ ನಂತರ ನೀವು ಟ್ರಿಪ್‌ಗಳನ್ನು ತೆಗೆದುಕೊಳ್ಳಲು ಅಥವಾ ಚಾಲಕ ವೈಶಿಷ್ಟ್ಯಗಳನ್ನು ಪ್ರವೇಶಿಸಲು ಸಾಧ್ಯವಾಗುವುದಿಲ್ಲ.")</f>
        <v>ಇದರ ನಂತರ ನೀವು ಟ್ರಿಪ್‌ಗಳನ್ನು ತೆಗೆದುಕೊಳ್ಳಲು ಅಥವಾ ಚಾಲಕ ವೈಶಿಷ್ಟ್ಯಗಳನ್ನು ಪ್ರವೇಶಿಸಲು ಸಾಧ್ಯವಾಗುವುದಿಲ್ಲ.</v>
      </c>
      <c r="F368" s="7" t="str">
        <f>IFERROR(__xludf.DUMMYFUNCTION("GOOGLETRANSLATE(B368, ""en"", ""ml"")"),"ഇതിനുശേഷം നിങ്ങൾക്ക് യാത്രകൾ നടത്താനോ ഡ്രൈവർ സവിശേഷതകൾ ആക്‌സസ് ചെയ്യാനോ കഴിയില്ല.")</f>
        <v>ഇതിനുശേഷം നിങ്ങൾക്ക് യാത്രകൾ നടത്താനോ ഡ്രൈവർ സവിശേഷതകൾ ആക്‌സസ് ചെയ്യാനോ കഴിയില്ല.</v>
      </c>
      <c r="G368" s="7" t="str">
        <f>IFERROR(__xludf.DUMMYFUNCTION("GOOGLETRANSLATE(B368, ""en"", ""te"")"),"దీని తర్వాత మీరు ట్రిప్‌లు చేయలేరు లేదా డ్రైవర్ ఫీచర్‌లను యాక్సెస్ చేయలేరు.")</f>
        <v>దీని తర్వాత మీరు ట్రిప్‌లు చేయలేరు లేదా డ్రైవర్ ఫీచర్‌లను యాక్సెస్ చేయలేరు.</v>
      </c>
    </row>
    <row r="369">
      <c r="A369" s="4" t="s">
        <v>712</v>
      </c>
      <c r="B369" s="5" t="s">
        <v>713</v>
      </c>
      <c r="C369" s="6" t="str">
        <f>IFERROR(__xludf.DUMMYFUNCTION("GOOGLETRANSLATE(B369, ""en"", ""ta"")"),"சட்டத்தின்படி தேவைப்படும் சில பதிவுகள் (எ.கா., பணம்/ரசீதுகள்) தக்கவைக்கப்படலாம்.")</f>
        <v>சட்டத்தின்படி தேவைப்படும் சில பதிவுகள் (எ.கா., பணம்/ரசீதுகள்) தக்கவைக்கப்படலாம்.</v>
      </c>
      <c r="D369" s="6" t="str">
        <f>IFERROR(__xludf.DUMMYFUNCTION("GOOGLETRANSLATE(B369, ""en"", ""hi"")"),"कानून द्वारा आवश्यक होने पर कुछ रिकॉर्ड (जैसे भुगतान/रसीदें) रखे जा सकते हैं।")</f>
        <v>कानून द्वारा आवश्यक होने पर कुछ रिकॉर्ड (जैसे भुगतान/रसीदें) रखे जा सकते हैं।</v>
      </c>
      <c r="E369" s="6" t="str">
        <f>IFERROR(__xludf.DUMMYFUNCTION("GOOGLETRANSLATE(B369, ""en"", ""kn"")"),"ಕಾನೂನಿನ ಪ್ರಕಾರ ಕೆಲವು ದಾಖಲೆಗಳನ್ನು (ಉದಾ. ಪಾವತಿಗಳು/ರಶೀದಿಗಳು) ಉಳಿಸಿಕೊಳ್ಳಬಹುದು.")</f>
        <v>ಕಾನೂನಿನ ಪ್ರಕಾರ ಕೆಲವು ದಾಖಲೆಗಳನ್ನು (ಉದಾ. ಪಾವತಿಗಳು/ರಶೀದಿಗಳು) ಉಳಿಸಿಕೊಳ್ಳಬಹುದು.</v>
      </c>
      <c r="F369" s="7" t="str">
        <f>IFERROR(__xludf.DUMMYFUNCTION("GOOGLETRANSLATE(B369, ""en"", ""ml"")"),"നിയമം അനുശാസിക്കുന്ന പ്രകാരം ചില രേഖകൾ (ഉദാ. പേയ്‌മെന്റുകൾ/രസീതുകൾ) സൂക്ഷിക്കാവുന്നതാണ്.")</f>
        <v>നിയമം അനുശാസിക്കുന്ന പ്രകാരം ചില രേഖകൾ (ഉദാ. പേയ്‌മെന്റുകൾ/രസീതുകൾ) സൂക്ഷിക്കാവുന്നതാണ്.</v>
      </c>
      <c r="G369" s="7" t="str">
        <f>IFERROR(__xludf.DUMMYFUNCTION("GOOGLETRANSLATE(B369, ""en"", ""te"")"),"చట్టం ప్రకారం కొన్ని రికార్డులను (ఉదా. చెల్లింపులు/రసీదులు) అలాగే ఉంచుకోవచ్చు.")</f>
        <v>చట్టం ప్రకారం కొన్ని రికార్డులను (ఉదా. చెల్లింపులు/రసీదులు) అలాగే ఉంచుకోవచ్చు.</v>
      </c>
    </row>
    <row r="370">
      <c r="A370" s="4" t="s">
        <v>714</v>
      </c>
      <c r="B370" s="5" t="s">
        <v>715</v>
      </c>
      <c r="C370" s="6" t="str">
        <f>IFERROR(__xludf.DUMMYFUNCTION("GOOGLETRANSLATE(B370, ""en"", ""ta"")"),"எனது கணக்கு இப்போது நீக்கப்பட்டதாகக் குறிக்கப்படும், எனது தரவு 30 நாட்களுக்குள் நிரந்தரமாக நீக்கப்படும், என்னால் பயணங்களை மேற்கொள்ள முடியாது, மேலும் இந்த செயலைச் செயல்தவிர்க்க முடியாது என்பதை நான் புரிந்துகொள்கிறேன்.")</f>
        <v>எனது கணக்கு இப்போது நீக்கப்பட்டதாகக் குறிக்கப்படும், எனது தரவு 30 நாட்களுக்குள் நிரந்தரமாக நீக்கப்படும், என்னால் பயணங்களை மேற்கொள்ள முடியாது, மேலும் இந்த செயலைச் செயல்தவிர்க்க முடியாது என்பதை நான் புரிந்துகொள்கிறேன்.</v>
      </c>
      <c r="D370" s="6" t="str">
        <f>IFERROR(__xludf.DUMMYFUNCTION("GOOGLETRANSLATE(B370, ""en"", ""hi"")"),"मुझे यह समझ में आ गया है कि मेरा खाता अब हटा दिया गया है, मेरा डेटा 30 दिनों के भीतर स्थायी रूप से हटा दिया जाएगा, मैं यात्राएं नहीं कर पाऊंगा, और इस कार्रवाई को पूर्ववत नहीं किया जा सकता है।")</f>
        <v>मुझे यह समझ में आ गया है कि मेरा खाता अब हटा दिया गया है, मेरा डेटा 30 दिनों के भीतर स्थायी रूप से हटा दिया जाएगा, मैं यात्राएं नहीं कर पाऊंगा, और इस कार्रवाई को पूर्ववत नहीं किया जा सकता है।</v>
      </c>
      <c r="E370" s="6" t="str">
        <f>IFERROR(__xludf.DUMMYFUNCTION("GOOGLETRANSLATE(B370, ""en"", ""kn"")"),"ನನ್ನ ಖಾತೆಯನ್ನು ಈಗ ಅಳಿಸಲಾಗಿದೆ ಎಂದು ಗುರುತಿಸಲಾಗುತ್ತದೆ, ನನ್ನ ಡೇಟಾವನ್ನು 30 ದಿನಗಳಲ್ಲಿ ಶಾಶ್ವತವಾಗಿ ಅಳಿಸಲಾಗುತ್ತದೆ, ನಾನು ಪ್ರವಾಸಗಳನ್ನು ತೆಗೆದುಕೊಳ್ಳಲು ಸಾಧ್ಯವಾಗುವುದಿಲ್ಲ ಮತ್ತು ಈ ಕ್ರಿಯೆಯನ್ನು ರದ್ದುಗೊಳಿಸಲಾಗುವುದಿಲ್ಲ ಎಂದು ನಾನು ಅರ್ಥಮಾಡಿಕೊಂಡಿದ್ದೇನೆ.")</f>
        <v>ನನ್ನ ಖಾತೆಯನ್ನು ಈಗ ಅಳಿಸಲಾಗಿದೆ ಎಂದು ಗುರುತಿಸಲಾಗುತ್ತದೆ, ನನ್ನ ಡೇಟಾವನ್ನು 30 ದಿನಗಳಲ್ಲಿ ಶಾಶ್ವತವಾಗಿ ಅಳಿಸಲಾಗುತ್ತದೆ, ನಾನು ಪ್ರವಾಸಗಳನ್ನು ತೆಗೆದುಕೊಳ್ಳಲು ಸಾಧ್ಯವಾಗುವುದಿಲ್ಲ ಮತ್ತು ಈ ಕ್ರಿಯೆಯನ್ನು ರದ್ದುಗೊಳಿಸಲಾಗುವುದಿಲ್ಲ ಎಂದು ನಾನು ಅರ್ಥಮಾಡಿಕೊಂಡಿದ್ದೇನೆ.</v>
      </c>
      <c r="F370" s="7" t="str">
        <f>IFERROR(__xludf.DUMMYFUNCTION("GOOGLETRANSLATE(B370, ""en"", ""ml"")"),"എന്റെ അക്കൗണ്ട് ഇപ്പോൾ ഇല്ലാതാക്കിയതായി അടയാളപ്പെടുത്തുമെന്നും, 30 ദിവസത്തിനുള്ളിൽ എന്റെ ഡാറ്റ ശാശ്വതമായി ഇല്ലാതാക്കപ്പെടുമെന്നും, എനിക്ക് യാത്രകൾ നടത്താൻ കഴിയില്ലെന്നും, ഈ പ്രവർത്തനം പഴയപടിയാക്കാൻ കഴിയില്ലെന്നും ഞാൻ മനസ്സിലാക്കുന്നു.")</f>
        <v>എന്റെ അക്കൗണ്ട് ഇപ്പോൾ ഇല്ലാതാക്കിയതായി അടയാളപ്പെടുത്തുമെന്നും, 30 ദിവസത്തിനുള്ളിൽ എന്റെ ഡാറ്റ ശാശ്വതമായി ഇല്ലാതാക്കപ്പെടുമെന്നും, എനിക്ക് യാത്രകൾ നടത്താൻ കഴിയില്ലെന്നും, ഈ പ്രവർത്തനം പഴയപടിയാക്കാൻ കഴിയില്ലെന്നും ഞാൻ മനസ്സിലാക്കുന്നു.</v>
      </c>
      <c r="G370" s="7" t="str">
        <f>IFERROR(__xludf.DUMMYFUNCTION("GOOGLETRANSLATE(B370, ""en"", ""te"")"),"నా ఖాతా ఇప్పుడు తొలగించబడినట్లు గుర్తించబడుతుందని, నా డేటా 30 రోజుల్లో శాశ్వతంగా తొలగించబడుతుందని, నేను ప్రయాణాలు చేయలేనని మరియు ఈ చర్యను రద్దు చేయలేమని నేను అర్థం చేసుకున్నాను.")</f>
        <v>నా ఖాతా ఇప్పుడు తొలగించబడినట్లు గుర్తించబడుతుందని, నా డేటా 30 రోజుల్లో శాశ్వతంగా తొలగించబడుతుందని, నేను ప్రయాణాలు చేయలేనని మరియు ఈ చర్యను రద్దు చేయలేమని నేను అర్థం చేసుకున్నాను.</v>
      </c>
    </row>
    <row r="371">
      <c r="A371" s="4" t="s">
        <v>716</v>
      </c>
      <c r="B371" s="5" t="s">
        <v>717</v>
      </c>
      <c r="C371" s="6" t="str">
        <f>IFERROR(__xludf.DUMMYFUNCTION("GOOGLETRANSLATE(B371, ""en"", ""ta"")"),"உங்கள் தொலைபேசி எண்ணை உள்ளிடவும்.")</f>
        <v>உங்கள் தொலைபேசி எண்ணை உள்ளிடவும்.</v>
      </c>
      <c r="D371" s="6" t="str">
        <f>IFERROR(__xludf.DUMMYFUNCTION("GOOGLETRANSLATE(B371, ""en"", ""hi"")"),"कृपया अपना फोन नंबर दर्ज करें")</f>
        <v>कृपया अपना फोन नंबर दर्ज करें</v>
      </c>
      <c r="E371" s="6" t="str">
        <f>IFERROR(__xludf.DUMMYFUNCTION("GOOGLETRANSLATE(B371, ""en"", ""kn"")"),"ದಯವಿಟ್ಟು ನಿಮ್ಮ ಫೋನ್ ಸಂಖ್ಯೆಯನ್ನು ನಮೂದಿಸಿ.")</f>
        <v>ದಯವಿಟ್ಟು ನಿಮ್ಮ ಫೋನ್ ಸಂಖ್ಯೆಯನ್ನು ನಮೂದಿಸಿ.</v>
      </c>
      <c r="F371" s="7" t="str">
        <f>IFERROR(__xludf.DUMMYFUNCTION("GOOGLETRANSLATE(B371, ""en"", ""ml"")"),"ദയവായി നിങ്ങളുടെ ഫോൺ നമ്പർ നൽകുക.")</f>
        <v>ദയവായി നിങ്ങളുടെ ഫോൺ നമ്പർ നൽകുക.</v>
      </c>
      <c r="G371" s="7" t="str">
        <f>IFERROR(__xludf.DUMMYFUNCTION("GOOGLETRANSLATE(B371, ""en"", ""te"")"),"దయచేసి మీ ఫోన్ నంబర్‌ను నమోదు చేయండి.")</f>
        <v>దయచేసి మీ ఫోన్ నంబర్‌ను నమోదు చేయండి.</v>
      </c>
    </row>
    <row r="372">
      <c r="A372" s="4" t="s">
        <v>718</v>
      </c>
      <c r="B372" s="5" t="s">
        <v>719</v>
      </c>
      <c r="C372" s="6" t="str">
        <f>IFERROR(__xludf.DUMMYFUNCTION("GOOGLETRANSLATE(B372, ""en"", ""ta"")"),"தயவுசெய்து ஒரு செல்லுபடியாகும் தொலைபேசி எண்ணை உள்ளிடவும்.")</f>
        <v>தயவுசெய்து ஒரு செல்லுபடியாகும் தொலைபேசி எண்ணை உள்ளிடவும்.</v>
      </c>
      <c r="D372" s="6" t="str">
        <f>IFERROR(__xludf.DUMMYFUNCTION("GOOGLETRANSLATE(B372, ""en"", ""hi"")"),"एक मान्य दूरभाष क्रमांक दर्ज करे")</f>
        <v>एक मान्य दूरभाष क्रमांक दर्ज करे</v>
      </c>
      <c r="E372" s="6" t="str">
        <f>IFERROR(__xludf.DUMMYFUNCTION("GOOGLETRANSLATE(B372, ""en"", ""kn"")"),"ದಯವಿಟ್ಟು ಮಾನ್ಯವಾದ ಫೋನ್ ಸಂಖ್ಯೆಯನ್ನು ನಮೂದಿಸಿ.")</f>
        <v>ದಯವಿಟ್ಟು ಮಾನ್ಯವಾದ ಫೋನ್ ಸಂಖ್ಯೆಯನ್ನು ನಮೂದಿಸಿ.</v>
      </c>
      <c r="F372" s="7" t="str">
        <f>IFERROR(__xludf.DUMMYFUNCTION("GOOGLETRANSLATE(B372, ""en"", ""ml"")"),"ദയവായി സാധുവായ ഒരു ഫോൺ നമ്പർ നൽകുക.")</f>
        <v>ദയവായി സാധുവായ ഒരു ഫോൺ നമ്പർ നൽകുക.</v>
      </c>
      <c r="G372" s="7" t="str">
        <f>IFERROR(__xludf.DUMMYFUNCTION("GOOGLETRANSLATE(B372, ""en"", ""te"")"),"దయచేసి చెల్లుబాటు అయ్యే ఫోన్ నంబర్‌ను నమోదు చేయండి.")</f>
        <v>దయచేసి చెల్లుబాటు అయ్యే ఫోన్ నంబర్‌ను నమోదు చేయండి.</v>
      </c>
    </row>
    <row r="373">
      <c r="A373" s="4" t="s">
        <v>720</v>
      </c>
      <c r="B373" s="5" t="s">
        <v>721</v>
      </c>
      <c r="C373" s="6" t="str">
        <f>IFERROR(__xludf.DUMMYFUNCTION("GOOGLETRANSLATE(B373, ""en"", ""ta"")"),"விதிமுறைகள் மற்றும் நிபந்தனைகளை ஏற்றுக்கொள்ளுங்கள்.")</f>
        <v>விதிமுறைகள் மற்றும் நிபந்தனைகளை ஏற்றுக்கொள்ளுங்கள்.</v>
      </c>
      <c r="D373" s="6" t="str">
        <f>IFERROR(__xludf.DUMMYFUNCTION("GOOGLETRANSLATE(B373, ""en"", ""hi"")"),"कृपया नियम व शर्तों की सहमति दें")</f>
        <v>कृपया नियम व शर्तों की सहमति दें</v>
      </c>
      <c r="E373" s="6" t="str">
        <f>IFERROR(__xludf.DUMMYFUNCTION("GOOGLETRANSLATE(B373, ""en"", ""kn"")"),"ದಯವಿಟ್ಟು ನಿಯಮಗಳು ಮತ್ತು ಷರತ್ತುಗಳನ್ನು ಒಪ್ಪಿಕೊಳ್ಳಿ.")</f>
        <v>ದಯವಿಟ್ಟು ನಿಯಮಗಳು ಮತ್ತು ಷರತ್ತುಗಳನ್ನು ಒಪ್ಪಿಕೊಳ್ಳಿ.</v>
      </c>
      <c r="F373" s="7" t="str">
        <f>IFERROR(__xludf.DUMMYFUNCTION("GOOGLETRANSLATE(B373, ""en"", ""ml"")"),"നിബന്ധനകളും വ്യവസ്ഥകളും അംഗീകരിക്കുക.")</f>
        <v>നിബന്ധനകളും വ്യവസ്ഥകളും അംഗീകരിക്കുക.</v>
      </c>
      <c r="G373" s="7" t="str">
        <f>IFERROR(__xludf.DUMMYFUNCTION("GOOGLETRANSLATE(B373, ""en"", ""te"")"),"దయచేసి నిబంధనలు మరియు షరతులను అంగీకరించండి.")</f>
        <v>దయచేసి నిబంధనలు మరియు షరతులను అంగీకరించండి.</v>
      </c>
    </row>
    <row r="374">
      <c r="A374" s="4" t="s">
        <v>722</v>
      </c>
      <c r="B374" s="5" t="s">
        <v>723</v>
      </c>
      <c r="C374" s="6" t="str">
        <f>IFERROR(__xludf.DUMMYFUNCTION("GOOGLETRANSLATE(B374, ""en"", ""ta"")"),"உங்கள் பதிவுசெய்யப்பட்ட தொலைபேசி எண்ணை உள்ளிடவும்.")</f>
        <v>உங்கள் பதிவுசெய்யப்பட்ட தொலைபேசி எண்ணை உள்ளிடவும்.</v>
      </c>
      <c r="D374" s="6" t="str">
        <f>IFERROR(__xludf.DUMMYFUNCTION("GOOGLETRANSLATE(B374, ""en"", ""hi"")"),"कृपया अपना पंजीकृत फ़ोन नंबर दर्ज करें")</f>
        <v>कृपया अपना पंजीकृत फ़ोन नंबर दर्ज करें</v>
      </c>
      <c r="E374" s="6" t="str">
        <f>IFERROR(__xludf.DUMMYFUNCTION("GOOGLETRANSLATE(B374, ""en"", ""kn"")"),"ದಯವಿಟ್ಟು ನಿಮ್ಮ ನೋಂದಾಯಿತ ಫೋನ್ ಸಂಖ್ಯೆಯನ್ನು ನಮೂದಿಸಿ.")</f>
        <v>ದಯವಿಟ್ಟು ನಿಮ್ಮ ನೋಂದಾಯಿತ ಫೋನ್ ಸಂಖ್ಯೆಯನ್ನು ನಮೂದಿಸಿ.</v>
      </c>
      <c r="F374" s="7" t="str">
        <f>IFERROR(__xludf.DUMMYFUNCTION("GOOGLETRANSLATE(B374, ""en"", ""ml"")"),"ദയവായി നിങ്ങളുടെ രജിസ്റ്റർ ചെയ്ത ഫോൺ നമ്പർ നൽകുക.")</f>
        <v>ദയവായി നിങ്ങളുടെ രജിസ്റ്റർ ചെയ്ത ഫോൺ നമ്പർ നൽകുക.</v>
      </c>
      <c r="G374" s="7" t="str">
        <f>IFERROR(__xludf.DUMMYFUNCTION("GOOGLETRANSLATE(B374, ""en"", ""te"")"),"దయచేసి మీ రిజిస్టర్డ్ ఫోన్ నంబర్‌ను నమోదు చేయండి.")</f>
        <v>దయచేసి మీ రిజిస్టర్డ్ ఫోన్ నంబర్‌ను నమోదు చేయండి.</v>
      </c>
    </row>
    <row r="375">
      <c r="A375" s="4" t="s">
        <v>724</v>
      </c>
      <c r="B375" s="5" t="s">
        <v>725</v>
      </c>
      <c r="C375" s="6" t="str">
        <f>IFERROR(__xludf.DUMMYFUNCTION("GOOGLETRANSLATE(B375, ""en"", ""ta"")"),"வரி 1")</f>
        <v>வரி 1</v>
      </c>
      <c r="D375" s="6" t="str">
        <f>IFERROR(__xludf.DUMMYFUNCTION("GOOGLETRANSLATE(B375, ""en"", ""hi"")"),"लाइन 1")</f>
        <v>लाइन 1</v>
      </c>
      <c r="E375" s="6" t="str">
        <f>IFERROR(__xludf.DUMMYFUNCTION("GOOGLETRANSLATE(B375, ""en"", ""kn"")"),"ಸಾಲು 1")</f>
        <v>ಸಾಲು 1</v>
      </c>
      <c r="F375" s="7" t="str">
        <f>IFERROR(__xludf.DUMMYFUNCTION("GOOGLETRANSLATE(B375, ""en"", ""ml"")"),"വരി 1")</f>
        <v>വരി 1</v>
      </c>
      <c r="G375" s="7" t="str">
        <f>IFERROR(__xludf.DUMMYFUNCTION("GOOGLETRANSLATE(B375, ""en"", ""te"")"),"లైన్ 1")</f>
        <v>లైన్ 1</v>
      </c>
    </row>
    <row r="376">
      <c r="A376" s="4" t="s">
        <v>726</v>
      </c>
      <c r="B376" s="5" t="s">
        <v>727</v>
      </c>
      <c r="C376" s="6" t="str">
        <f>IFERROR(__xludf.DUMMYFUNCTION("GOOGLETRANSLATE(B376, ""en"", ""ta"")"),"வரி 2")</f>
        <v>வரி 2</v>
      </c>
      <c r="D376" s="6" t="str">
        <f>IFERROR(__xludf.DUMMYFUNCTION("GOOGLETRANSLATE(B376, ""en"", ""hi"")"),"पंक्ति 2")</f>
        <v>पंक्ति 2</v>
      </c>
      <c r="E376" s="6" t="str">
        <f>IFERROR(__xludf.DUMMYFUNCTION("GOOGLETRANSLATE(B376, ""en"", ""kn"")"),"ಸಾಲು 2")</f>
        <v>ಸಾಲು 2</v>
      </c>
      <c r="F376" s="7" t="str">
        <f>IFERROR(__xludf.DUMMYFUNCTION("GOOGLETRANSLATE(B376, ""en"", ""ml"")"),"വരി 2")</f>
        <v>വരി 2</v>
      </c>
      <c r="G376" s="7" t="str">
        <f>IFERROR(__xludf.DUMMYFUNCTION("GOOGLETRANSLATE(B376, ""en"", ""te"")"),"లైన్ 2")</f>
        <v>లైన్ 2</v>
      </c>
    </row>
    <row r="377">
      <c r="A377" s="4" t="s">
        <v>728</v>
      </c>
      <c r="B377" s="5" t="s">
        <v>729</v>
      </c>
      <c r="C377" s="6" t="str">
        <f>IFERROR(__xludf.DUMMYFUNCTION("GOOGLETRANSLATE(B377, ""en"", ""ta"")"),"வாகன ஆர்சி ஆவண பின்புறம்")</f>
        <v>வாகன ஆர்சி ஆவண பின்புறம்</v>
      </c>
      <c r="D377" s="6" t="str">
        <f>IFERROR(__xludf.DUMMYFUNCTION("GOOGLETRANSLATE(B377, ""en"", ""hi"")"),"वाहन आरसी दस्तावेज़ का पिछला भाग")</f>
        <v>वाहन आरसी दस्तावेज़ का पिछला भाग</v>
      </c>
      <c r="E377" s="6" t="str">
        <f>IFERROR(__xludf.DUMMYFUNCTION("GOOGLETRANSLATE(B377, ""en"", ""kn"")"),"ವಾಹನದ ಆರ್‌ಸಿ ದಾಖಲೆ ಹಿಂಭಾಗ")</f>
        <v>ವಾಹನದ ಆರ್‌ಸಿ ದಾಖಲೆ ಹಿಂಭಾಗ</v>
      </c>
      <c r="F377" s="7" t="str">
        <f>IFERROR(__xludf.DUMMYFUNCTION("GOOGLETRANSLATE(B377, ""en"", ""ml"")"),"വാഹന ആർ‌സി ഡോക്യുമെന്റ് പിൻവശം")</f>
        <v>വാഹന ആർ‌സി ഡോക്യുമെന്റ് പിൻവശം</v>
      </c>
      <c r="G377" s="7" t="str">
        <f>IFERROR(__xludf.DUMMYFUNCTION("GOOGLETRANSLATE(B377, ""en"", ""te"")"),"వాహన RC డాక్యుమెంట్ వెనుక వైపు")</f>
        <v>వాహన RC డాక్యుమెంట్ వెనుక వైపు</v>
      </c>
    </row>
    <row r="378">
      <c r="A378" s="4" t="s">
        <v>730</v>
      </c>
      <c r="B378" s="5" t="s">
        <v>731</v>
      </c>
      <c r="C378" s="6" t="str">
        <f>IFERROR(__xludf.DUMMYFUNCTION("GOOGLETRANSLATE(B378, ""en"", ""ta"")"),"வாழ்க்கை நேரம்")</f>
        <v>வாழ்க்கை நேரம்</v>
      </c>
      <c r="D378" s="6" t="str">
        <f>IFERROR(__xludf.DUMMYFUNCTION("GOOGLETRANSLATE(B378, ""en"", ""hi"")"),"जीवनभर")</f>
        <v>जीवनभर</v>
      </c>
      <c r="E378" s="6" t="str">
        <f>IFERROR(__xludf.DUMMYFUNCTION("GOOGLETRANSLATE(B378, ""en"", ""kn"")"),"ಲೈಫ್ ಟೈಮ್")</f>
        <v>ಲೈಫ್ ಟೈಮ್</v>
      </c>
      <c r="F378" s="7" t="str">
        <f>IFERROR(__xludf.DUMMYFUNCTION("GOOGLETRANSLATE(B378, ""en"", ""ml"")"),"ജീവിതകാലം")</f>
        <v>ജീവിതകാലം</v>
      </c>
      <c r="G378" s="7" t="str">
        <f>IFERROR(__xludf.DUMMYFUNCTION("GOOGLETRANSLATE(B378, ""en"", ""te"")"),"జీవితకాలం")</f>
        <v>జీవితకాలం</v>
      </c>
    </row>
    <row r="379">
      <c r="A379" s="4" t="s">
        <v>732</v>
      </c>
      <c r="B379" s="5" t="s">
        <v>733</v>
      </c>
      <c r="C379" s="6" t="str">
        <f>IFERROR(__xludf.DUMMYFUNCTION("GOOGLETRANSLATE(B379, ""en"", ""ta"")"),"காலாவதி தேதி")</f>
        <v>காலாவதி தேதி</v>
      </c>
      <c r="D379" s="6" t="str">
        <f>IFERROR(__xludf.DUMMYFUNCTION("GOOGLETRANSLATE(B379, ""en"", ""hi"")"),"समाप्ति तिथि")</f>
        <v>समाप्ति तिथि</v>
      </c>
      <c r="E379" s="6" t="str">
        <f>IFERROR(__xludf.DUMMYFUNCTION("GOOGLETRANSLATE(B379, ""en"", ""kn"")"),"ಮುಕ್ತಾಯ ದಿನಾಂಕ")</f>
        <v>ಮುಕ್ತಾಯ ದಿನಾಂಕ</v>
      </c>
      <c r="F379" s="7" t="str">
        <f>IFERROR(__xludf.DUMMYFUNCTION("GOOGLETRANSLATE(B379, ""en"", ""ml"")"),"കാലഹരണപ്പെടുന്ന തീയതി")</f>
        <v>കാലഹരണപ്പെടുന്ന തീയതി</v>
      </c>
      <c r="G379" s="7" t="str">
        <f>IFERROR(__xludf.DUMMYFUNCTION("GOOGLETRANSLATE(B379, ""en"", ""te"")"),"గడువు తేదీ")</f>
        <v>గడువు తేదీ</v>
      </c>
    </row>
    <row r="380">
      <c r="A380" s="4" t="s">
        <v>734</v>
      </c>
      <c r="B380" s="5" t="s">
        <v>735</v>
      </c>
      <c r="C380" s="6" t="str">
        <f>IFERROR(__xludf.DUMMYFUNCTION("GOOGLETRANSLATE(B380, ""en"", ""ta"")"),"சாலை வரி")</f>
        <v>சாலை வரி</v>
      </c>
      <c r="D380" s="6" t="str">
        <f>IFERROR(__xludf.DUMMYFUNCTION("GOOGLETRANSLATE(B380, ""en"", ""hi"")"),"पथ कर")</f>
        <v>पथ कर</v>
      </c>
      <c r="E380" s="6" t="str">
        <f>IFERROR(__xludf.DUMMYFUNCTION("GOOGLETRANSLATE(B380, ""en"", ""kn"")"),"ರಸ್ತೆ ತೆರಿಗೆ")</f>
        <v>ರಸ್ತೆ ತೆರಿಗೆ</v>
      </c>
      <c r="F380" s="7" t="str">
        <f>IFERROR(__xludf.DUMMYFUNCTION("GOOGLETRANSLATE(B380, ""en"", ""ml"")"),"റോഡ് നികുതി")</f>
        <v>റോഡ് നികുതി</v>
      </c>
      <c r="G380" s="7" t="str">
        <f>IFERROR(__xludf.DUMMYFUNCTION("GOOGLETRANSLATE(B380, ""en"", ""te"")"),"రోడ్డు పన్ను")</f>
        <v>రోడ్డు పన్ను</v>
      </c>
    </row>
    <row r="381">
      <c r="A381" s="4" t="s">
        <v>736</v>
      </c>
      <c r="B381" s="5" t="s">
        <v>737</v>
      </c>
      <c r="C381" s="6" t="str">
        <f>IFERROR(__xludf.DUMMYFUNCTION("GOOGLETRANSLATE(B381, ""en"", ""ta"")"),"மாற்று தொலைபேசி எண்")</f>
        <v>மாற்று தொலைபேசி எண்</v>
      </c>
      <c r="D381" s="6" t="str">
        <f>IFERROR(__xludf.DUMMYFUNCTION("GOOGLETRANSLATE(B381, ""en"", ""hi"")"),"वैकल्पिक फ़ोन नंबर")</f>
        <v>वैकल्पिक फ़ोन नंबर</v>
      </c>
      <c r="E381" s="6" t="str">
        <f>IFERROR(__xludf.DUMMYFUNCTION("GOOGLETRANSLATE(B381, ""en"", ""kn"")"),"ಪರ್ಯಾಯ ಫೋನ್ ಸಂಖ್ಯೆ")</f>
        <v>ಪರ್ಯಾಯ ಫೋನ್ ಸಂಖ್ಯೆ</v>
      </c>
      <c r="F381" s="7" t="str">
        <f>IFERROR(__xludf.DUMMYFUNCTION("GOOGLETRANSLATE(B381, ""en"", ""ml"")"),"ഇതര ഫോൺ നമ്പർ")</f>
        <v>ഇതര ഫോൺ നമ്പർ</v>
      </c>
      <c r="G381" s="7" t="str">
        <f>IFERROR(__xludf.DUMMYFUNCTION("GOOGLETRANSLATE(B381, ""en"", ""te"")"),"ప్రత్యామ్నాయ ఫోన్ నంబర్")</f>
        <v>ప్రత్యామ్నాయ ఫోన్ నంబర్</v>
      </c>
    </row>
    <row r="382">
      <c r="A382" s="4" t="s">
        <v>738</v>
      </c>
      <c r="B382" s="5" t="s">
        <v>739</v>
      </c>
      <c r="C382" s="6" t="str">
        <f>IFERROR(__xludf.DUMMYFUNCTION("GOOGLETRANSLATE(B382, ""en"", ""ta"")"),"கருத்துகளை எழுதுங்கள்")</f>
        <v>கருத்துகளை எழுதுங்கள்</v>
      </c>
      <c r="D382" s="6" t="str">
        <f>IFERROR(__xludf.DUMMYFUNCTION("GOOGLETRANSLATE(B382, ""en"", ""hi"")"),"प्रतिक्रिया लिखें")</f>
        <v>प्रतिक्रिया लिखें</v>
      </c>
      <c r="E382" s="6" t="str">
        <f>IFERROR(__xludf.DUMMYFUNCTION("GOOGLETRANSLATE(B382, ""en"", ""kn"")"),"ಪ್ರತಿಕ್ರಿಯೆ ಬರೆಯಿರಿ")</f>
        <v>ಪ್ರತಿಕ್ರಿಯೆ ಬರೆಯಿರಿ</v>
      </c>
      <c r="F382" s="7" t="str">
        <f>IFERROR(__xludf.DUMMYFUNCTION("GOOGLETRANSLATE(B382, ""en"", ""ml"")"),"ഫീഡ്‌ബാക്ക് എഴുതുക")</f>
        <v>ഫീഡ്‌ബാക്ക് എഴുതുക</v>
      </c>
      <c r="G382" s="7" t="str">
        <f>IFERROR(__xludf.DUMMYFUNCTION("GOOGLETRANSLATE(B382, ""en"", ""te"")"),"అభిప్రాయాన్ని వ్రాయండి")</f>
        <v>అభిప్రాయాన్ని వ్రాయండి</v>
      </c>
    </row>
    <row r="383">
      <c r="A383" s="4" t="s">
        <v>740</v>
      </c>
      <c r="B383" s="5" t="s">
        <v>741</v>
      </c>
      <c r="C383" s="6" t="str">
        <f>IFERROR(__xludf.DUMMYFUNCTION("GOOGLETRANSLATE(B383, ""en"", ""ta"")"),"எங்கள் செயலியைப் பற்றி சில நல்ல விஷயங்களைச் சொல்லுங்கள்.")</f>
        <v>எங்கள் செயலியைப் பற்றி சில நல்ல விஷயங்களைச் சொல்லுங்கள்.</v>
      </c>
      <c r="D383" s="6" t="str">
        <f>IFERROR(__xludf.DUMMYFUNCTION("GOOGLETRANSLATE(B383, ""en"", ""hi"")"),"हमारे ऐप के बारे में कुछ अच्छी बातें कहिए।")</f>
        <v>हमारे ऐप के बारे में कुछ अच्छी बातें कहिए।</v>
      </c>
      <c r="E383" s="6" t="str">
        <f>IFERROR(__xludf.DUMMYFUNCTION("GOOGLETRANSLATE(B383, ""en"", ""kn"")"),"ನಮ್ಮ ಅಪ್ಲಿಕೇಶನ್ ಬಗ್ಗೆ ಕೆಲವು ಒಳ್ಳೆಯ ವಿಷಯಗಳನ್ನು ಹೇಳಿ.")</f>
        <v>ನಮ್ಮ ಅಪ್ಲಿಕೇಶನ್ ಬಗ್ಗೆ ಕೆಲವು ಒಳ್ಳೆಯ ವಿಷಯಗಳನ್ನು ಹೇಳಿ.</v>
      </c>
      <c r="F383" s="7" t="str">
        <f>IFERROR(__xludf.DUMMYFUNCTION("GOOGLETRANSLATE(B383, ""en"", ""ml"")"),"ഞങ്ങളുടെ ആപ്പിനെക്കുറിച്ച് കുറച്ച് നല്ല കാര്യങ്ങൾ പറയൂ")</f>
        <v>ഞങ്ങളുടെ ആപ്പിനെക്കുറിച്ച് കുറച്ച് നല്ല കാര്യങ്ങൾ പറയൂ</v>
      </c>
      <c r="G383" s="7" t="str">
        <f>IFERROR(__xludf.DUMMYFUNCTION("GOOGLETRANSLATE(B383, ""en"", ""te"")"),"మా యాప్ గురించి కొన్ని మంచి విషయాలు చెప్పండి.")</f>
        <v>మా యాప్ గురించి కొన్ని మంచి విషయాలు చెప్పండి.</v>
      </c>
    </row>
    <row r="384">
      <c r="A384" s="4" t="s">
        <v>742</v>
      </c>
      <c r="B384" s="5" t="s">
        <v>743</v>
      </c>
      <c r="C384" s="6" t="str">
        <f>IFERROR(__xludf.DUMMYFUNCTION("GOOGLETRANSLATE(B384, ""en"", ""ta"")"),"எங்கள் பயன்பாட்டைப் பற்றி சில மோசமான விஷயங்களைச் சொல்லுங்கள்.")</f>
        <v>எங்கள் பயன்பாட்டைப் பற்றி சில மோசமான விஷயங்களைச் சொல்லுங்கள்.</v>
      </c>
      <c r="D384" s="6" t="str">
        <f>IFERROR(__xludf.DUMMYFUNCTION("GOOGLETRANSLATE(B384, ""en"", ""hi"")"),"हमारे ऐप के बारे में कुछ बुरी बातें कहिए")</f>
        <v>हमारे ऐप के बारे में कुछ बुरी बातें कहिए</v>
      </c>
      <c r="E384" s="6" t="str">
        <f>IFERROR(__xludf.DUMMYFUNCTION("GOOGLETRANSLATE(B384, ""en"", ""kn"")"),"ನಮ್ಮ ಅಪ್ಲಿಕೇಶನ್ ಬಗ್ಗೆ ಕೆಲವು ಕೆಟ್ಟ ವಿಷಯಗಳನ್ನು ಹೇಳಿ.")</f>
        <v>ನಮ್ಮ ಅಪ್ಲಿಕೇಶನ್ ಬಗ್ಗೆ ಕೆಲವು ಕೆಟ್ಟ ವಿಷಯಗಳನ್ನು ಹೇಳಿ.</v>
      </c>
      <c r="F384" s="7" t="str">
        <f>IFERROR(__xludf.DUMMYFUNCTION("GOOGLETRANSLATE(B384, ""en"", ""ml"")"),"ഞങ്ങളുടെ ആപ്പിനെക്കുറിച്ച് മോശം കാര്യങ്ങൾ പറയൂ")</f>
        <v>ഞങ്ങളുടെ ആപ്പിനെക്കുറിച്ച് മോശം കാര്യങ്ങൾ പറയൂ</v>
      </c>
      <c r="G384" s="7" t="str">
        <f>IFERROR(__xludf.DUMMYFUNCTION("GOOGLETRANSLATE(B384, ""en"", ""te"")"),"మా యాప్ గురించి కొన్ని చెడు విషయాలు చెప్పండి.")</f>
        <v>మా యాప్ గురించి కొన్ని చెడు విషయాలు చెప్పండి.</v>
      </c>
    </row>
    <row r="385">
      <c r="A385" s="4" t="s">
        <v>744</v>
      </c>
      <c r="B385" s="5" t="s">
        <v>745</v>
      </c>
      <c r="C385" s="6" t="str">
        <f>IFERROR(__xludf.DUMMYFUNCTION("GOOGLETRANSLATE(B385, ""en"", ""ta"")"),"நீங்கள் சொல்ல விரும்பும் மேம்பாடுகள்")</f>
        <v>நீங்கள் சொல்ல விரும்பும் மேம்பாடுகள்</v>
      </c>
      <c r="D385" s="6" t="str">
        <f>IFERROR(__xludf.DUMMYFUNCTION("GOOGLETRANSLATE(B385, ""en"", ""hi"")"),"आप किन सुधारों के बारे में बताना चाहेंगे?")</f>
        <v>आप किन सुधारों के बारे में बताना चाहेंगे?</v>
      </c>
      <c r="E385" s="6" t="str">
        <f>IFERROR(__xludf.DUMMYFUNCTION("GOOGLETRANSLATE(B385, ""en"", ""kn"")"),"ನೀವು ಹೇಳಲು ಬಯಸುವ ಸುಧಾರಣೆಗಳು")</f>
        <v>ನೀವು ಹೇಳಲು ಬಯಸುವ ಸುಧಾರಣೆಗಳು</v>
      </c>
      <c r="F385" s="7" t="str">
        <f>IFERROR(__xludf.DUMMYFUNCTION("GOOGLETRANSLATE(B385, ""en"", ""ml"")"),"നിങ്ങൾ പറയാൻ ആഗ്രഹിക്കുന്ന മെച്ചപ്പെടുത്തലുകൾ")</f>
        <v>നിങ്ങൾ പറയാൻ ആഗ്രഹിക്കുന്ന മെച്ചപ്പെടുത്തലുകൾ</v>
      </c>
      <c r="G385" s="7" t="str">
        <f>IFERROR(__xludf.DUMMYFUNCTION("GOOGLETRANSLATE(B385, ""en"", ""te"")"),"మీరు చెప్పాలనుకుంటున్న మెరుగుదలలు")</f>
        <v>మీరు చెప్పాలనుకుంటున్న మెరుగుదలలు</v>
      </c>
    </row>
    <row r="386">
      <c r="A386" s="4" t="s">
        <v>746</v>
      </c>
      <c r="B386" s="5" t="s">
        <v>747</v>
      </c>
      <c r="C386" s="6" t="str">
        <f>IFERROR(__xludf.DUMMYFUNCTION("GOOGLETRANSLATE(B386, ""en"", ""ta"")"),"நீங்கள் எதிர்கொள்ளும் சிக்கல்கள்")</f>
        <v>நீங்கள் எதிர்கொள்ளும் சிக்கல்கள்</v>
      </c>
      <c r="D386" s="6" t="str">
        <f>IFERROR(__xludf.DUMMYFUNCTION("GOOGLETRANSLATE(B386, ""en"", ""hi"")"),"आपको जिन समस्याओं का सामना करना पड़ रहा है")</f>
        <v>आपको जिन समस्याओं का सामना करना पड़ रहा है</v>
      </c>
      <c r="E386" s="6" t="str">
        <f>IFERROR(__xludf.DUMMYFUNCTION("GOOGLETRANSLATE(B386, ""en"", ""kn"")"),"ನೀವು ಎದುರಿಸುತ್ತಿರುವ ಸಮಸ್ಯೆಗಳು")</f>
        <v>ನೀವು ಎದುರಿಸುತ್ತಿರುವ ಸಮಸ್ಯೆಗಳು</v>
      </c>
      <c r="F386" s="7" t="str">
        <f>IFERROR(__xludf.DUMMYFUNCTION("GOOGLETRANSLATE(B386, ""en"", ""ml"")"),"നിങ്ങൾ നേരിടുന്ന പ്രശ്നങ്ങൾ")</f>
        <v>നിങ്ങൾ നേരിടുന്ന പ്രശ്നങ്ങൾ</v>
      </c>
      <c r="G386" s="7" t="str">
        <f>IFERROR(__xludf.DUMMYFUNCTION("GOOGLETRANSLATE(B386, ""en"", ""te"")"),"మీరు ఎదుర్కొంటున్న సమస్యలు")</f>
        <v>మీరు ఎదుర్కొంటున్న సమస్యలు</v>
      </c>
    </row>
    <row r="387">
      <c r="A387" s="4" t="s">
        <v>748</v>
      </c>
      <c r="B387" s="5" t="s">
        <v>749</v>
      </c>
      <c r="C387" s="6" t="str">
        <f>IFERROR(__xludf.DUMMYFUNCTION("GOOGLETRANSLATE(B387, ""en"", ""ta"")"),"தொடர்பு மின்னஞ்சல்")</f>
        <v>தொடர்பு மின்னஞ்சல்</v>
      </c>
      <c r="D387" s="6" t="str">
        <f>IFERROR(__xludf.DUMMYFUNCTION("GOOGLETRANSLATE(B387, ""en"", ""hi"")"),"ई - मेल से संपर्क करे")</f>
        <v>ई - मेल से संपर्क करे</v>
      </c>
      <c r="E387" s="6" t="str">
        <f>IFERROR(__xludf.DUMMYFUNCTION("GOOGLETRANSLATE(B387, ""en"", ""kn"")"),"ಸಂಪರ್ಕ ಇಮೇಲ್")</f>
        <v>ಸಂಪರ್ಕ ಇಮೇಲ್</v>
      </c>
      <c r="F387" s="7" t="str">
        <f>IFERROR(__xludf.DUMMYFUNCTION("GOOGLETRANSLATE(B387, ""en"", ""ml"")"),"കോൺടാക്റ്റ് ഇമെയിൽ")</f>
        <v>കോൺടാക്റ്റ് ഇമെയിൽ</v>
      </c>
      <c r="G387" s="7" t="str">
        <f>IFERROR(__xludf.DUMMYFUNCTION("GOOGLETRANSLATE(B387, ""en"", ""te"")"),"సంప్రదింపు ఇమెయిల్")</f>
        <v>సంప్రదింపు ఇమెయిల్</v>
      </c>
    </row>
    <row r="388">
      <c r="A388" s="4" t="s">
        <v>750</v>
      </c>
      <c r="B388" s="5" t="s">
        <v>751</v>
      </c>
      <c r="C388" s="6" t="str">
        <f>IFERROR(__xludf.DUMMYFUNCTION("GOOGLETRANSLATE(B388, ""en"", ""ta"")"),"தயவுசெய்து சில நல்ல விஷயங்களை உள்ளிடவும்.")</f>
        <v>தயவுசெய்து சில நல்ல விஷயங்களை உள்ளிடவும்.</v>
      </c>
      <c r="D388" s="6" t="str">
        <f>IFERROR(__xludf.DUMMYFUNCTION("GOOGLETRANSLATE(B388, ""en"", ""hi"")"),"कृपया कुछ अच्छी बातें लिखें")</f>
        <v>कृपया कुछ अच्छी बातें लिखें</v>
      </c>
      <c r="E388" s="6" t="str">
        <f>IFERROR(__xludf.DUMMYFUNCTION("GOOGLETRANSLATE(B388, ""en"", ""kn"")"),"ದಯವಿಟ್ಟು ಕೆಲವು ಒಳ್ಳೆಯ ವಿಷಯಗಳನ್ನು ನಮೂದಿಸಿ.")</f>
        <v>ದಯವಿಟ್ಟು ಕೆಲವು ಒಳ್ಳೆಯ ವಿಷಯಗಳನ್ನು ನಮೂದಿಸಿ.</v>
      </c>
      <c r="F388" s="7" t="str">
        <f>IFERROR(__xludf.DUMMYFUNCTION("GOOGLETRANSLATE(B388, ""en"", ""ml"")"),"ദയവായി ചില നല്ല കാര്യങ്ങൾ നൽകുക.")</f>
        <v>ദയവായി ചില നല്ല കാര്യങ്ങൾ നൽകുക.</v>
      </c>
      <c r="G388" s="7" t="str">
        <f>IFERROR(__xludf.DUMMYFUNCTION("GOOGLETRANSLATE(B388, ""en"", ""te"")"),"దయచేసి కొన్ని మంచి విషయాలను నమోదు చేయండి.")</f>
        <v>దయచేసి కొన్ని మంచి విషయాలను నమోదు చేయండి.</v>
      </c>
    </row>
    <row r="389">
      <c r="A389" s="4" t="s">
        <v>752</v>
      </c>
      <c r="B389" s="5" t="s">
        <v>753</v>
      </c>
      <c r="C389" s="6" t="str">
        <f>IFERROR(__xludf.DUMMYFUNCTION("GOOGLETRANSLATE(B389, ""en"", ""ta"")"),"தயவுசெய்து சில மோசமான விஷயங்களை உள்ளிடவும்.")</f>
        <v>தயவுசெய்து சில மோசமான விஷயங்களை உள்ளிடவும்.</v>
      </c>
      <c r="D389" s="6" t="str">
        <f>IFERROR(__xludf.DUMMYFUNCTION("GOOGLETRANSLATE(B389, ""en"", ""hi"")"),"कृपया कुछ बुरी बातें दर्ज करें")</f>
        <v>कृपया कुछ बुरी बातें दर्ज करें</v>
      </c>
      <c r="E389" s="6" t="str">
        <f>IFERROR(__xludf.DUMMYFUNCTION("GOOGLETRANSLATE(B389, ""en"", ""kn"")"),"ದಯವಿಟ್ಟು ಕೆಲವು ಕೆಟ್ಟ ವಿಷಯಗಳನ್ನು ನಮೂದಿಸಿ.")</f>
        <v>ದಯವಿಟ್ಟು ಕೆಲವು ಕೆಟ್ಟ ವಿಷಯಗಳನ್ನು ನಮೂದಿಸಿ.</v>
      </c>
      <c r="F389" s="7" t="str">
        <f>IFERROR(__xludf.DUMMYFUNCTION("GOOGLETRANSLATE(B389, ""en"", ""ml"")"),"ദയവായി ചില മോശം കാര്യങ്ങൾ നൽകുക.")</f>
        <v>ദയവായി ചില മോശം കാര്യങ്ങൾ നൽകുക.</v>
      </c>
      <c r="G389" s="7" t="str">
        <f>IFERROR(__xludf.DUMMYFUNCTION("GOOGLETRANSLATE(B389, ""en"", ""te"")"),"దయచేసి కొన్ని చెడు విషయాలను నమోదు చేయండి.")</f>
        <v>దయచేసి కొన్ని చెడు విషయాలను నమోదు చేయండి.</v>
      </c>
    </row>
    <row r="390">
      <c r="A390" s="4" t="s">
        <v>754</v>
      </c>
      <c r="B390" s="5" t="s">
        <v>755</v>
      </c>
      <c r="C390" s="6" t="str">
        <f>IFERROR(__xludf.DUMMYFUNCTION("GOOGLETRANSLATE(B390, ""en"", ""ta"")"),"தயவுசெய்து சில மேம்பாடுகளை உள்ளிடவும்.")</f>
        <v>தயவுசெய்து சில மேம்பாடுகளை உள்ளிடவும்.</v>
      </c>
      <c r="D390" s="6" t="str">
        <f>IFERROR(__xludf.DUMMYFUNCTION("GOOGLETRANSLATE(B390, ""en"", ""hi"")"),"कृपया कुछ सुधार सुझाएं।")</f>
        <v>कृपया कुछ सुधार सुझाएं।</v>
      </c>
      <c r="E390" s="6" t="str">
        <f>IFERROR(__xludf.DUMMYFUNCTION("GOOGLETRANSLATE(B390, ""en"", ""kn"")"),"ದಯವಿಟ್ಟು ಕೆಲವು ಸುಧಾರಣೆಗಳನ್ನು ನಮೂದಿಸಿ.")</f>
        <v>ದಯವಿಟ್ಟು ಕೆಲವು ಸುಧಾರಣೆಗಳನ್ನು ನಮೂದಿಸಿ.</v>
      </c>
      <c r="F390" s="7" t="str">
        <f>IFERROR(__xludf.DUMMYFUNCTION("GOOGLETRANSLATE(B390, ""en"", ""ml"")"),"ദയവായി ചില മെച്ചപ്പെടുത്തലുകൾ നൽകുക.")</f>
        <v>ദയവായി ചില മെച്ചപ്പെടുത്തലുകൾ നൽകുക.</v>
      </c>
      <c r="G390" s="7" t="str">
        <f>IFERROR(__xludf.DUMMYFUNCTION("GOOGLETRANSLATE(B390, ""en"", ""te"")"),"దయచేసి కొన్ని మెరుగుదలలను నమోదు చేయండి.")</f>
        <v>దయచేసి కొన్ని మెరుగుదలలను నమోదు చేయండి.</v>
      </c>
    </row>
    <row r="391">
      <c r="A391" s="4" t="s">
        <v>756</v>
      </c>
      <c r="B391" s="5" t="s">
        <v>757</v>
      </c>
      <c r="C391" s="6" t="str">
        <f>IFERROR(__xludf.DUMMYFUNCTION("GOOGLETRANSLATE(B391, ""en"", ""ta"")"),"சில சிக்கல்களை உள்ளிடவும்.")</f>
        <v>சில சிக்கல்களை உள்ளிடவும்.</v>
      </c>
      <c r="D391" s="6" t="str">
        <f>IFERROR(__xludf.DUMMYFUNCTION("GOOGLETRANSLATE(B391, ""en"", ""hi"")"),"कृपया कुछ समस्याएं दर्ज करें")</f>
        <v>कृपया कुछ समस्याएं दर्ज करें</v>
      </c>
      <c r="E391" s="6" t="str">
        <f>IFERROR(__xludf.DUMMYFUNCTION("GOOGLETRANSLATE(B391, ""en"", ""kn"")"),"ದಯವಿಟ್ಟು ಕೆಲವು ಸಮಸ್ಯೆಗಳನ್ನು ನಮೂದಿಸಿ.")</f>
        <v>ದಯವಿಟ್ಟು ಕೆಲವು ಸಮಸ್ಯೆಗಳನ್ನು ನಮೂದಿಸಿ.</v>
      </c>
      <c r="F391" s="7" t="str">
        <f>IFERROR(__xludf.DUMMYFUNCTION("GOOGLETRANSLATE(B391, ""en"", ""ml"")"),"ദയവായി ചില പ്രശ്നങ്ങൾ നൽകുക.")</f>
        <v>ദയവായി ചില പ്രശ്നങ്ങൾ നൽകുക.</v>
      </c>
      <c r="G391" s="7" t="str">
        <f>IFERROR(__xludf.DUMMYFUNCTION("GOOGLETRANSLATE(B391, ""en"", ""te"")"),"దయచేసి కొన్ని సమస్యలను నమోదు చేయండి.")</f>
        <v>దయచేసి కొన్ని సమస్యలను నమోదు చేయండి.</v>
      </c>
    </row>
    <row r="392">
      <c r="A392" s="4" t="s">
        <v>758</v>
      </c>
      <c r="B392" s="5" t="s">
        <v>759</v>
      </c>
      <c r="C392" s="6" t="str">
        <f>IFERROR(__xludf.DUMMYFUNCTION("GOOGLETRANSLATE(B392, ""en"", ""ta"")"),"தயவுசெய்து ஒரு செல்லுபடியாகும் மின்னஞ்சலை உள்ளிடவும்.")</f>
        <v>தயவுசெய்து ஒரு செல்லுபடியாகும் மின்னஞ்சலை உள்ளிடவும்.</v>
      </c>
      <c r="D392" s="6" t="str">
        <f>IFERROR(__xludf.DUMMYFUNCTION("GOOGLETRANSLATE(B392, ""en"", ""hi"")"),"कृपया एक मान्य ईमेल दर्ज करें")</f>
        <v>कृपया एक मान्य ईमेल दर्ज करें</v>
      </c>
      <c r="E392" s="6" t="str">
        <f>IFERROR(__xludf.DUMMYFUNCTION("GOOGLETRANSLATE(B392, ""en"", ""kn"")"),"ದಯವಿಟ್ಟು ಮಾನ್ಯವಾದ ಇಮೇಲ್ ವಿಳಾಸವನ್ನು ನಮೂದಿಸಿ.")</f>
        <v>ದಯವಿಟ್ಟು ಮಾನ್ಯವಾದ ಇಮೇಲ್ ವಿಳಾಸವನ್ನು ನಮೂದಿಸಿ.</v>
      </c>
      <c r="F392" s="7" t="str">
        <f>IFERROR(__xludf.DUMMYFUNCTION("GOOGLETRANSLATE(B392, ""en"", ""ml"")"),"ദയവായി സാധുവായ ഒരു ഇമെയിൽ വിലാസം നൽകുക.")</f>
        <v>ദയവായി സാധുവായ ഒരു ഇമെയിൽ വിലാസം നൽകുക.</v>
      </c>
      <c r="G392" s="7" t="str">
        <f>IFERROR(__xludf.DUMMYFUNCTION("GOOGLETRANSLATE(B392, ""en"", ""te"")"),"దయచేసి చెల్లుబాటు అయ్యే ఇమెయిల్‌ను నమోదు చేయండి.")</f>
        <v>దయచేసి చెల్లుబాటు అయ్యే ఇమెయిల్‌ను నమోదు చేయండి.</v>
      </c>
    </row>
    <row r="393">
      <c r="A393" s="4" t="s">
        <v>760</v>
      </c>
      <c r="B393" s="5" t="s">
        <v>761</v>
      </c>
      <c r="C393" s="6" t="str">
        <f>IFERROR(__xludf.DUMMYFUNCTION("GOOGLETRANSLATE(B393, ""en"", ""ta"")"),"சேருமிடத்தை அடைந்தது")</f>
        <v>சேருமிடத்தை அடைந்தது</v>
      </c>
      <c r="D393" s="6" t="str">
        <f>IFERROR(__xludf.DUMMYFUNCTION("GOOGLETRANSLATE(B393, ""en"", ""hi"")"),"गंतव्य पर पहुँच गए")</f>
        <v>गंतव्य पर पहुँच गए</v>
      </c>
      <c r="E393" s="6" t="str">
        <f>IFERROR(__xludf.DUMMYFUNCTION("GOOGLETRANSLATE(B393, ""en"", ""kn"")"),"ತಲುಪಬೇಕಾದ ಸ್ಥಳ")</f>
        <v>ತಲುಪಬೇಕಾದ ಸ್ಥಳ</v>
      </c>
      <c r="F393" s="7" t="str">
        <f>IFERROR(__xludf.DUMMYFUNCTION("GOOGLETRANSLATE(B393, ""en"", ""ml"")"),"ലക്ഷ്യസ്ഥാനത്ത് എത്തി")</f>
        <v>ലക്ഷ്യസ്ഥാനത്ത് എത്തി</v>
      </c>
      <c r="G393" s="7" t="str">
        <f>IFERROR(__xludf.DUMMYFUNCTION("GOOGLETRANSLATE(B393, ""en"", ""te"")"),"గమ్యస్థానాన్ని చేరుకున్నారు")</f>
        <v>గమ్యస్థానాన్ని చేరుకున్నారు</v>
      </c>
    </row>
    <row r="394">
      <c r="A394" s="4" t="s">
        <v>762</v>
      </c>
      <c r="B394" s="5" t="s">
        <v>763</v>
      </c>
      <c r="C394" s="6" t="str">
        <f>IFERROR(__xludf.DUMMYFUNCTION("GOOGLETRANSLATE(B394, ""en"", ""ta"")"),"பயணத்தை முடிப்பதற்கான காரணத்தைத் தேர்ந்தெடுக்கவும்:")</f>
        <v>பயணத்தை முடிப்பதற்கான காரணத்தைத் தேர்ந்தெடுக்கவும்:</v>
      </c>
      <c r="D394" s="6" t="str">
        <f>IFERROR(__xludf.DUMMYFUNCTION("GOOGLETRANSLATE(B394, ""en"", ""hi"")"),"कृपया यात्रा समाप्त करने का कारण चुनें:")</f>
        <v>कृपया यात्रा समाप्त करने का कारण चुनें:</v>
      </c>
      <c r="E394" s="6" t="str">
        <f>IFERROR(__xludf.DUMMYFUNCTION("GOOGLETRANSLATE(B394, ""en"", ""kn"")"),"ದಯವಿಟ್ಟು ಪ್ರವಾಸವನ್ನು ಕೊನೆಗೊಳಿಸಲು ಒಂದು ಕಾರಣವನ್ನು ಆಯ್ಕೆಮಾಡಿ:")</f>
        <v>ದಯವಿಟ್ಟು ಪ್ರವಾಸವನ್ನು ಕೊನೆಗೊಳಿಸಲು ಒಂದು ಕಾರಣವನ್ನು ಆಯ್ಕೆಮಾಡಿ:</v>
      </c>
      <c r="F394" s="7" t="str">
        <f>IFERROR(__xludf.DUMMYFUNCTION("GOOGLETRANSLATE(B394, ""en"", ""ml"")"),"യാത്ര അവസാനിപ്പിക്കുന്നതിനുള്ള ഒരു കാരണം ദയവായി തിരഞ്ഞെടുക്കുക:")</f>
        <v>യാത്ര അവസാനിപ്പിക്കുന്നതിനുള്ള ഒരു കാരണം ദയവായി തിരഞ്ഞെടുക്കുക:</v>
      </c>
      <c r="G394" s="7" t="str">
        <f>IFERROR(__xludf.DUMMYFUNCTION("GOOGLETRANSLATE(B394, ""en"", ""te"")"),"దయచేసి ట్రిప్ ముగించడానికి ఒక కారణాన్ని ఎంచుకోండి:")</f>
        <v>దయచేసి ట్రిప్ ముగించడానికి ఒక కారణాన్ని ఎంచుకోండి:</v>
      </c>
    </row>
    <row r="395">
      <c r="A395" s="4" t="s">
        <v>764</v>
      </c>
      <c r="B395" s="5" t="s">
        <v>765</v>
      </c>
      <c r="C395" s="6" t="str">
        <f>IFERROR(__xludf.DUMMYFUNCTION("GOOGLETRANSLATE(B395, ""en"", ""ta"")"),"உதவி")</f>
        <v>உதவி</v>
      </c>
      <c r="D395" s="6" t="str">
        <f>IFERROR(__xludf.DUMMYFUNCTION("GOOGLETRANSLATE(B395, ""en"", ""hi"")"),"मदद")</f>
        <v>मदद</v>
      </c>
      <c r="E395" s="6" t="str">
        <f>IFERROR(__xludf.DUMMYFUNCTION("GOOGLETRANSLATE(B395, ""en"", ""kn"")"),"ಸಹಾಯ ಮಾಡಿ")</f>
        <v>ಸಹಾಯ ಮಾಡಿ</v>
      </c>
      <c r="F395" s="7" t="str">
        <f>IFERROR(__xludf.DUMMYFUNCTION("GOOGLETRANSLATE(B395, ""en"", ""ml"")"),"സഹായം")</f>
        <v>സഹായം</v>
      </c>
      <c r="G395" s="7" t="str">
        <f>IFERROR(__xludf.DUMMYFUNCTION("GOOGLETRANSLATE(B395, ""en"", ""te"")"),"సహాయం")</f>
        <v>సహాయం</v>
      </c>
    </row>
    <row r="396">
      <c r="A396" s="4" t="s">
        <v>766</v>
      </c>
      <c r="B396" s="5" t="s">
        <v>767</v>
      </c>
      <c r="C396" s="6" t="str">
        <f>IFERROR(__xludf.DUMMYFUNCTION("GOOGLETRANSLATE(B396, ""en"", ""ta"")"),"மின்னஞ்சல் முகவரியை உள்ளிடவும்.")</f>
        <v>மின்னஞ்சல் முகவரியை உள்ளிடவும்.</v>
      </c>
      <c r="D396" s="6" t="str">
        <f>IFERROR(__xludf.DUMMYFUNCTION("GOOGLETRANSLATE(B396, ""en"", ""hi"")"),"कृपया ईमेल दर्ज करें")</f>
        <v>कृपया ईमेल दर्ज करें</v>
      </c>
      <c r="E396" s="6" t="str">
        <f>IFERROR(__xludf.DUMMYFUNCTION("GOOGLETRANSLATE(B396, ""en"", ""kn"")"),"ದಯವಿಟ್ಟು ಇಮೇಲ್ ನಮೂದಿಸಿ")</f>
        <v>ದಯವಿಟ್ಟು ಇಮೇಲ್ ನಮೂದಿಸಿ</v>
      </c>
      <c r="F396" s="7" t="str">
        <f>IFERROR(__xludf.DUMMYFUNCTION("GOOGLETRANSLATE(B396, ""en"", ""ml"")"),"ഇമെയിൽ നൽകുക")</f>
        <v>ഇമെയിൽ നൽകുക</v>
      </c>
      <c r="G396" s="7" t="str">
        <f>IFERROR(__xludf.DUMMYFUNCTION("GOOGLETRANSLATE(B396, ""en"", ""te"")"),"దయచేసి ఇమెయిల్ నమోదు చేయండి")</f>
        <v>దయచేసి ఇమెయిల్ నమోదు చేయండి</v>
      </c>
    </row>
    <row r="397">
      <c r="A397" s="4" t="s">
        <v>768</v>
      </c>
      <c r="B397" s="5" t="s">
        <v>769</v>
      </c>
      <c r="C397" s="6" t="str">
        <f>IFERROR(__xludf.DUMMYFUNCTION("GOOGLETRANSLATE(B397, ""en"", ""ta"")"),"நிலையைச் சரிபார்க்கவும்")</f>
        <v>நிலையைச் சரிபார்க்கவும்</v>
      </c>
      <c r="D397" s="6" t="str">
        <f>IFERROR(__xludf.DUMMYFUNCTION("GOOGLETRANSLATE(B397, ""en"", ""hi"")"),"स्थिति जाँचिए")</f>
        <v>स्थिति जाँचिए</v>
      </c>
      <c r="E397" s="6" t="str">
        <f>IFERROR(__xludf.DUMMYFUNCTION("GOOGLETRANSLATE(B397, ""en"", ""kn"")"),"ಸ್ಥಿತಿ ಪರಿಶೀಲಿಸಿ")</f>
        <v>ಸ್ಥಿತಿ ಪರಿಶೀಲಿಸಿ</v>
      </c>
      <c r="F397" s="7" t="str">
        <f>IFERROR(__xludf.DUMMYFUNCTION("GOOGLETRANSLATE(B397, ""en"", ""ml"")"),"സ്റ്റാറ്റസ് പരിശോധിക്കുക")</f>
        <v>സ്റ്റാറ്റസ് പരിശോധിക്കുക</v>
      </c>
      <c r="G397" s="7" t="str">
        <f>IFERROR(__xludf.DUMMYFUNCTION("GOOGLETRANSLATE(B397, ""en"", ""te"")"),"స్థితిని తనిఖీ చేయండి")</f>
        <v>స్థితిని తనిఖీ చేయండి</v>
      </c>
    </row>
    <row r="398">
      <c r="A398" s="4" t="s">
        <v>770</v>
      </c>
      <c r="B398" s="5" t="s">
        <v>771</v>
      </c>
      <c r="C398" s="6" t="str">
        <f>IFERROR(__xludf.DUMMYFUNCTION("GOOGLETRANSLATE(B398, ""en"", ""ta"")"),"புத்துணர்ச்சியூட்டுகிறது....")</f>
        <v>புத்துணர்ச்சியூட்டுகிறது....</v>
      </c>
      <c r="D398" s="6" t="str">
        <f>IFERROR(__xludf.DUMMYFUNCTION("GOOGLETRANSLATE(B398, ""en"", ""hi"")"),"ताज़गी भरा...")</f>
        <v>ताज़गी भरा...</v>
      </c>
      <c r="E398" s="6" t="str">
        <f>IFERROR(__xludf.DUMMYFUNCTION("GOOGLETRANSLATE(B398, ""en"", ""kn"")"),"ಉಲ್ಲಾಸಕರ....")</f>
        <v>ಉಲ್ಲಾಸಕರ....</v>
      </c>
      <c r="F398" s="7" t="str">
        <f>IFERROR(__xludf.DUMMYFUNCTION("GOOGLETRANSLATE(B398, ""en"", ""ml"")"),"ഉന്മേഷം പകരുന്നു....")</f>
        <v>ഉന്മേഷം പകരുന്നു....</v>
      </c>
      <c r="G398" s="7" t="str">
        <f>IFERROR(__xludf.DUMMYFUNCTION("GOOGLETRANSLATE(B398, ""en"", ""te"")"),"రిఫ్రెషింగ్....")</f>
        <v>రిఫ్రెషింగ్....</v>
      </c>
    </row>
    <row r="399">
      <c r="A399" s="11" t="s">
        <v>772</v>
      </c>
      <c r="B399" s="12" t="s">
        <v>773</v>
      </c>
      <c r="C399" s="6" t="str">
        <f>IFERROR(__xludf.DUMMYFUNCTION("GOOGLETRANSLATE(B399, ""en"", ""ta"")"),"விரிவாகக் காண்க")</f>
        <v>விரிவாகக் காண்க</v>
      </c>
      <c r="D399" s="6" t="str">
        <f>IFERROR(__xludf.DUMMYFUNCTION("GOOGLETRANSLATE(B399, ""en"", ""hi"")"),"विस्तृत जानकारी देखें")</f>
        <v>विस्तृत जानकारी देखें</v>
      </c>
      <c r="E399" s="6" t="str">
        <f>IFERROR(__xludf.DUMMYFUNCTION("GOOGLETRANSLATE(B399, ""en"", ""kn"")"),"ವಿವರವಾಗಿ ವೀಕ್ಷಿಸಿ")</f>
        <v>ವಿವರವಾಗಿ ವೀಕ್ಷಿಸಿ</v>
      </c>
      <c r="F399" s="7" t="str">
        <f>IFERROR(__xludf.DUMMYFUNCTION("GOOGLETRANSLATE(B399, ""en"", ""ml"")"),"വിശദമായി കാണുക")</f>
        <v>വിശദമായി കാണുക</v>
      </c>
      <c r="G399" s="7" t="str">
        <f>IFERROR(__xludf.DUMMYFUNCTION("GOOGLETRANSLATE(B399, ""en"", ""te"")"),"వివరంగా చూడండి")</f>
        <v>వివరంగా చూడండి</v>
      </c>
    </row>
    <row r="400">
      <c r="A400" s="11" t="s">
        <v>774</v>
      </c>
      <c r="B400" s="12" t="s">
        <v>775</v>
      </c>
      <c r="C400" s="6" t="str">
        <f>IFERROR(__xludf.DUMMYFUNCTION("GOOGLETRANSLATE(B400, ""en"", ""ta"")"),"எனது கணக்கு")</f>
        <v>எனது கணக்கு</v>
      </c>
      <c r="D400" s="6" t="str">
        <f>IFERROR(__xludf.DUMMYFUNCTION("GOOGLETRANSLATE(B400, ""en"", ""hi"")"),"मेरा खाता")</f>
        <v>मेरा खाता</v>
      </c>
      <c r="E400" s="6" t="str">
        <f>IFERROR(__xludf.DUMMYFUNCTION("GOOGLETRANSLATE(B400, ""en"", ""kn"")"),"ನನ್ನ ಖಾತೆ")</f>
        <v>ನನ್ನ ಖಾತೆ</v>
      </c>
      <c r="F400" s="7" t="str">
        <f>IFERROR(__xludf.DUMMYFUNCTION("GOOGLETRANSLATE(B400, ""en"", ""ml"")"),"എന്റെ അക്കൗണ്ട്")</f>
        <v>എന്റെ അക്കൗണ്ട്</v>
      </c>
      <c r="G400" s="7" t="str">
        <f>IFERROR(__xludf.DUMMYFUNCTION("GOOGLETRANSLATE(B400, ""en"", ""te"")"),"నా ఖాతా")</f>
        <v>నా ఖాతా</v>
      </c>
    </row>
    <row r="401">
      <c r="A401" s="11" t="s">
        <v>776</v>
      </c>
      <c r="B401" s="12" t="s">
        <v>777</v>
      </c>
      <c r="C401" s="6" t="str">
        <f>IFERROR(__xludf.DUMMYFUNCTION("GOOGLETRANSLATE(B401, ""en"", ""ta"")"),"விலை விளக்கப்படம்")</f>
        <v>விலை விளக்கப்படம்</v>
      </c>
      <c r="D401" s="6" t="str">
        <f>IFERROR(__xludf.DUMMYFUNCTION("GOOGLETRANSLATE(B401, ""en"", ""hi"")"),"मूल्य चार्ट")</f>
        <v>मूल्य चार्ट</v>
      </c>
      <c r="E401" s="6" t="str">
        <f>IFERROR(__xludf.DUMMYFUNCTION("GOOGLETRANSLATE(B401, ""en"", ""kn"")"),"ಬೆಲೆ ಪಟ್ಟಿ")</f>
        <v>ಬೆಲೆ ಪಟ್ಟಿ</v>
      </c>
      <c r="F401" s="7" t="str">
        <f>IFERROR(__xludf.DUMMYFUNCTION("GOOGLETRANSLATE(B401, ""en"", ""ml"")"),"വില ചാർട്ട്")</f>
        <v>വില ചാർട്ട്</v>
      </c>
      <c r="G401" s="7" t="str">
        <f>IFERROR(__xludf.DUMMYFUNCTION("GOOGLETRANSLATE(B401, ""en"", ""te"")"),"ధర చార్ట్")</f>
        <v>ధర చార్ట్</v>
      </c>
    </row>
    <row r="402">
      <c r="A402" s="11" t="s">
        <v>778</v>
      </c>
      <c r="B402" s="12" t="s">
        <v>779</v>
      </c>
      <c r="C402" s="6" t="str">
        <f>IFERROR(__xludf.DUMMYFUNCTION("GOOGLETRANSLATE(B402, ""en"", ""ta"")"),"அனுமதித் திரை")</f>
        <v>அனுமதித் திரை</v>
      </c>
      <c r="D402" s="6" t="str">
        <f>IFERROR(__xludf.DUMMYFUNCTION("GOOGLETRANSLATE(B402, ""en"", ""hi"")"),"अनुमति स्क्रीन")</f>
        <v>अनुमति स्क्रीन</v>
      </c>
      <c r="E402" s="6" t="str">
        <f>IFERROR(__xludf.DUMMYFUNCTION("GOOGLETRANSLATE(B402, ""en"", ""kn"")"),"ಅನುಮತಿ ಪರದೆ")</f>
        <v>ಅನುಮತಿ ಪರದೆ</v>
      </c>
      <c r="F402" s="7" t="str">
        <f>IFERROR(__xludf.DUMMYFUNCTION("GOOGLETRANSLATE(B402, ""en"", ""ml"")"),"അനുമതി സ്ക്രീൻ")</f>
        <v>അനുമതി സ്ക്രീൻ</v>
      </c>
      <c r="G402" s="7" t="str">
        <f>IFERROR(__xludf.DUMMYFUNCTION("GOOGLETRANSLATE(B402, ""en"", ""te"")"),"అనుమతి స్క్రీన్")</f>
        <v>అనుమతి స్క్రీన్</v>
      </c>
    </row>
    <row r="403">
      <c r="A403" s="11" t="s">
        <v>780</v>
      </c>
      <c r="B403" s="12" t="s">
        <v>781</v>
      </c>
      <c r="C403" s="6" t="str">
        <f>IFERROR(__xludf.DUMMYFUNCTION("GOOGLETRANSLATE(B403, ""en"", ""ta"")"),"வாகனம் ஓட்டும்போது நிகழ்நேர பயணக் கண்காணிப்பு, பயணிகள் எச்சரிக்கைகள் மற்றும் தடையற்ற வழிசெலுத்தல் புதுப்பிப்புகளுக்கு இருப்பிடம், பின்னணி கண்காணிப்பு மற்றும் அறிவிப்பு அனுமதிகள் நமக்குத் தேவை.")</f>
        <v>வாகனம் ஓட்டும்போது நிகழ்நேர பயணக் கண்காணிப்பு, பயணிகள் எச்சரிக்கைகள் மற்றும் தடையற்ற வழிசெலுத்தல் புதுப்பிப்புகளுக்கு இருப்பிடம், பின்னணி கண்காணிப்பு மற்றும் அறிவிப்பு அனுமதிகள் நமக்குத் தேவை.</v>
      </c>
      <c r="D403" s="6" t="str">
        <f>IFERROR(__xludf.DUMMYFUNCTION("GOOGLETRANSLATE(B403, ""en"", ""hi"")"),"हमें वास्तविक समय में यात्रा की निगरानी, ​​यात्रियों को अलर्ट करने और ड्राइविंग के दौरान निर्बाध नेविगेशन अपडेट प्रदान करने के लिए स्थान, पृष्ठभूमि ट्रैकिंग और अधिसूचना अनुमतियों की आवश्यकता है।")</f>
        <v>हमें वास्तविक समय में यात्रा की निगरानी, ​​यात्रियों को अलर्ट करने और ड्राइविंग के दौरान निर्बाध नेविगेशन अपडेट प्रदान करने के लिए स्थान, पृष्ठभूमि ट्रैकिंग और अधिसूचना अनुमतियों की आवश्यकता है।</v>
      </c>
      <c r="E403" s="6" t="str">
        <f>IFERROR(__xludf.DUMMYFUNCTION("GOOGLETRANSLATE(B403, ""en"", ""kn"")"),"ಚಾಲನೆ ಮಾಡುವಾಗ ನೈಜ-ಸಮಯದ ಪ್ರಯಾಣ ಮೇಲ್ವಿಚಾರಣೆ, ಪ್ರಯಾಣಿಕರ ಎಚ್ಚರಿಕೆಗಳು ಮತ್ತು ತಡೆರಹಿತ ನ್ಯಾವಿಗೇಷನ್ ನವೀಕರಣಗಳಿಗಾಗಿ ನಮಗೆ ಸ್ಥಳ, ಹಿನ್ನೆಲೆ ಟ್ರ್ಯಾಕಿಂಗ್ ಮತ್ತು ಅಧಿಸೂಚನೆ ಅನುಮತಿಗಳು ಬೇಕಾಗುತ್ತವೆ.")</f>
        <v>ಚಾಲನೆ ಮಾಡುವಾಗ ನೈಜ-ಸಮಯದ ಪ್ರಯಾಣ ಮೇಲ್ವಿಚಾರಣೆ, ಪ್ರಯಾಣಿಕರ ಎಚ್ಚರಿಕೆಗಳು ಮತ್ತು ತಡೆರಹಿತ ನ್ಯಾವಿಗೇಷನ್ ನವೀಕರಣಗಳಿಗಾಗಿ ನಮಗೆ ಸ್ಥಳ, ಹಿನ್ನೆಲೆ ಟ್ರ್ಯಾಕಿಂಗ್ ಮತ್ತು ಅಧಿಸೂಚನೆ ಅನುಮತಿಗಳು ಬೇಕಾಗುತ್ತವೆ.</v>
      </c>
      <c r="F403" s="7" t="str">
        <f>IFERROR(__xludf.DUMMYFUNCTION("GOOGLETRANSLATE(B403, ""en"", ""ml"")"),"ഡ്രൈവിംഗ് സമയത്ത് തത്സമയ യാത്രാ നിരീക്ഷണം, യാത്രക്കാരുടെ അലേർട്ടുകൾ, തടസ്സമില്ലാത്ത നാവിഗേഷൻ അപ്‌ഡേറ്റുകൾ എന്നിവയ്ക്കായി ഞങ്ങൾക്ക് ലൊക്കേഷൻ, പശ്ചാത്തല ട്രാക്കിംഗ്, അറിയിപ്പ് അനുമതികൾ എന്നിവ ആവശ്യമാണ്.")</f>
        <v>ഡ്രൈവിംഗ് സമയത്ത് തത്സമയ യാത്രാ നിരീക്ഷണം, യാത്രക്കാരുടെ അലേർട്ടുകൾ, തടസ്സമില്ലാത്ത നാവിഗേഷൻ അപ്‌ഡേറ്റുകൾ എന്നിവയ്ക്കായി ഞങ്ങൾക്ക് ലൊക്കേഷൻ, പശ്ചാത്തല ട്രാക്കിംഗ്, അറിയിപ്പ് അനുമതികൾ എന്നിവ ആവശ്യമാണ്.</v>
      </c>
      <c r="G403" s="7" t="str">
        <f>IFERROR(__xludf.DUMMYFUNCTION("GOOGLETRANSLATE(B403, ""en"", ""te"")"),"డ్రైవింగ్ చేస్తున్నప్పుడు రియల్-టైమ్ ట్రిప్ మానిటరింగ్, ప్యాసింజర్ అలర్ట్‌లు మరియు సజావుగా నావిగేషన్ అప్‌డేట్‌ల కోసం మాకు స్థానం, నేపథ్య ట్రాకింగ్ మరియు నోటిఫికేషన్ అనుమతులు అవసరం.")</f>
        <v>డ్రైవింగ్ చేస్తున్నప్పుడు రియల్-టైమ్ ట్రిప్ మానిటరింగ్, ప్యాసింజర్ అలర్ట్‌లు మరియు సజావుగా నావిగేషన్ అప్‌డేట్‌ల కోసం మాకు స్థానం, నేపథ్య ట్రాకింగ్ మరియు నోటిఫికేషన్ అనుమతులు అవసరం.</v>
      </c>
    </row>
    <row r="404">
      <c r="A404" s="11" t="s">
        <v>782</v>
      </c>
      <c r="B404" s="12" t="s">
        <v>783</v>
      </c>
      <c r="C404" s="6" t="str">
        <f>IFERROR(__xludf.DUMMYFUNCTION("GOOGLETRANSLATE(B404, ""en"", ""ta"")"),"அறிவிப்பு அனுமதி")</f>
        <v>அறிவிப்பு அனுமதி</v>
      </c>
      <c r="D404" s="6" t="str">
        <f>IFERROR(__xludf.DUMMYFUNCTION("GOOGLETRANSLATE(B404, ""en"", ""hi"")"),"अधिसूचना अनुमति")</f>
        <v>अधिसूचना अनुमति</v>
      </c>
      <c r="E404" s="6" t="str">
        <f>IFERROR(__xludf.DUMMYFUNCTION("GOOGLETRANSLATE(B404, ""en"", ""kn"")"),"ಅಧಿಸೂಚನೆ ಅನುಮತಿ")</f>
        <v>ಅಧಿಸೂಚನೆ ಅನುಮತಿ</v>
      </c>
      <c r="F404" s="7" t="str">
        <f>IFERROR(__xludf.DUMMYFUNCTION("GOOGLETRANSLATE(B404, ""en"", ""ml"")"),"അറിയിപ്പ് അനുമതി")</f>
        <v>അറിയിപ്പ് അനുമതി</v>
      </c>
      <c r="G404" s="7" t="str">
        <f>IFERROR(__xludf.DUMMYFUNCTION("GOOGLETRANSLATE(B404, ""en"", ""te"")"),"నోటిఫికేషన్ అనుమతి")</f>
        <v>నోటిఫికేషన్ అనుమతి</v>
      </c>
    </row>
    <row r="405">
      <c r="A405" s="11" t="s">
        <v>784</v>
      </c>
      <c r="B405" s="12" t="s">
        <v>785</v>
      </c>
      <c r="C405" s="6" t="str">
        <f>IFERROR(__xludf.DUMMYFUNCTION("GOOGLETRANSLATE(B405, ""en"", ""ta"")"),"இருப்பிட அனுமதி")</f>
        <v>இருப்பிட அனுமதி</v>
      </c>
      <c r="D405" s="6" t="str">
        <f>IFERROR(__xludf.DUMMYFUNCTION("GOOGLETRANSLATE(B405, ""en"", ""hi"")"),"स्थान अनुमति")</f>
        <v>स्थान अनुमति</v>
      </c>
      <c r="E405" s="6" t="str">
        <f>IFERROR(__xludf.DUMMYFUNCTION("GOOGLETRANSLATE(B405, ""en"", ""kn"")"),"ಸ್ಥಳ ಅನುಮತಿ")</f>
        <v>ಸ್ಥಳ ಅನುಮತಿ</v>
      </c>
      <c r="F405" s="7" t="str">
        <f>IFERROR(__xludf.DUMMYFUNCTION("GOOGLETRANSLATE(B405, ""en"", ""ml"")"),"ലൊക്കേഷൻ അനുമതി")</f>
        <v>ലൊക്കേഷൻ അനുമതി</v>
      </c>
      <c r="G405" s="7" t="str">
        <f>IFERROR(__xludf.DUMMYFUNCTION("GOOGLETRANSLATE(B405, ""en"", ""te"")"),"స్థాన అనుమతి")</f>
        <v>స్థాన అనుమతి</v>
      </c>
    </row>
    <row r="406">
      <c r="A406" s="11" t="s">
        <v>786</v>
      </c>
      <c r="B406" s="12" t="s">
        <v>787</v>
      </c>
      <c r="C406" s="6" t="str">
        <f>IFERROR(__xludf.DUMMYFUNCTION("GOOGLETRANSLATE(B406, ""en"", ""ta"")"),"பின்னணி இருப்பிட அனுமதி")</f>
        <v>பின்னணி இருப்பிட அனுமதி</v>
      </c>
      <c r="D406" s="6" t="str">
        <f>IFERROR(__xludf.DUMMYFUNCTION("GOOGLETRANSLATE(B406, ""en"", ""hi"")"),"पृष्ठभूमि स्थान अनुमति")</f>
        <v>पृष्ठभूमि स्थान अनुमति</v>
      </c>
      <c r="E406" s="6" t="str">
        <f>IFERROR(__xludf.DUMMYFUNCTION("GOOGLETRANSLATE(B406, ""en"", ""kn"")"),"ಹಿನ್ನೆಲೆ ಸ್ಥಳ ಅನುಮತಿ")</f>
        <v>ಹಿನ್ನೆಲೆ ಸ್ಥಳ ಅನುಮತಿ</v>
      </c>
      <c r="F406" s="7" t="str">
        <f>IFERROR(__xludf.DUMMYFUNCTION("GOOGLETRANSLATE(B406, ""en"", ""ml"")"),"പശ്ചാത്തല ലൊക്കേഷൻ അനുമതി")</f>
        <v>പശ്ചാത്തല ലൊക്കേഷൻ അനുമതി</v>
      </c>
      <c r="G406" s="7" t="str">
        <f>IFERROR(__xludf.DUMMYFUNCTION("GOOGLETRANSLATE(B406, ""en"", ""te"")"),"నేపథ్య స్థాన అనుమతి")</f>
        <v>నేపథ్య స్థాన అనుమతి</v>
      </c>
    </row>
    <row r="407">
      <c r="A407" s="11" t="s">
        <v>788</v>
      </c>
      <c r="B407" s="12" t="s">
        <v>789</v>
      </c>
      <c r="C407" s="6" t="str">
        <f>IFERROR(__xludf.DUMMYFUNCTION("GOOGLETRANSLATE(B407, ""en"", ""ta"")"),"பயன்பாடு திறக்கப்படாதபோதும் கூட உங்கள் இருப்பிடத்தைக் கண்காணிக்க NOT க்கு பின்னணி இருப்பிட அனுமதி தேவையில்லை. இது தொடர்ச்சியான கண்காணிப்பை அனுமதிக்கிறது மற்றும் எல்லா நேரங்களிலும் துல்லியமான இருப்பிடத் தரவு சேகரிக்கப்படுவதை உறுதி செய்கிறது.")</f>
        <v>பயன்பாடு திறக்கப்படாதபோதும் கூட உங்கள் இருப்பிடத்தைக் கண்காணிக்க NOT க்கு பின்னணி இருப்பிட அனுமதி தேவையில்லை. இது தொடர்ச்சியான கண்காணிப்பை அனுமதிக்கிறது மற்றும் எல்லா நேரங்களிலும் துல்லியமான இருப்பிடத் தரவு சேகரிக்கப்படுவதை உறுதி செய்கிறது.</v>
      </c>
      <c r="D407" s="6" t="str">
        <f>IFERROR(__xludf.DUMMYFUNCTION("GOOGLETRANSLATE(B407, ""en"", ""hi"")"),"NOT ऐप के बंद होने पर भी आपकी लोकेशन ट्रैक करने के लिए बैकग्राउंड लोकेशन परमिशन की आवश्यकता होती है। इससे लगातार ट्रैकिंग संभव होती है और यह सुनिश्चित होता है कि हर समय सटीक लोकेशन डेटा एकत्र किया जाए।")</f>
        <v>NOT ऐप के बंद होने पर भी आपकी लोकेशन ट्रैक करने के लिए बैकग्राउंड लोकेशन परमिशन की आवश्यकता होती है। इससे लगातार ट्रैकिंग संभव होती है और यह सुनिश्चित होता है कि हर समय सटीक लोकेशन डेटा एकत्र किया जाए।</v>
      </c>
      <c r="E407" s="6" t="str">
        <f>IFERROR(__xludf.DUMMYFUNCTION("GOOGLETRANSLATE(B407, ""en"", ""kn"")"),"ಅಪ್ಲಿಕೇಶನ್ ತೆರೆದಿಲ್ಲದಿದ್ದರೂ ಸಹ ನಿಮ್ಮ ಸ್ಥಳವನ್ನು ಟ್ರ್ಯಾಕ್ ಮಾಡಲು NOT ಗೆ ಹಿನ್ನೆಲೆ ಸ್ಥಳ ಅನುಮತಿ ಅಗತ್ಯವಿಲ್ಲ. ಇದು ನಿರಂತರ ಟ್ರ್ಯಾಕಿಂಗ್‌ಗೆ ಅವಕಾಶ ನೀಡುತ್ತದೆ ಮತ್ತು ಎಲ್ಲಾ ಸಮಯದಲ್ಲೂ ನಿಖರವಾದ ಸ್ಥಳ ಡೇಟಾವನ್ನು ಸಂಗ್ರಹಿಸಲಾಗಿದೆ ಎಂದು ಖಚಿತಪಡಿಸುತ್ತದೆ.")</f>
        <v>ಅಪ್ಲಿಕೇಶನ್ ತೆರೆದಿಲ್ಲದಿದ್ದರೂ ಸಹ ನಿಮ್ಮ ಸ್ಥಳವನ್ನು ಟ್ರ್ಯಾಕ್ ಮಾಡಲು NOT ಗೆ ಹಿನ್ನೆಲೆ ಸ್ಥಳ ಅನುಮತಿ ಅಗತ್ಯವಿಲ್ಲ. ಇದು ನಿರಂತರ ಟ್ರ್ಯಾಕಿಂಗ್‌ಗೆ ಅವಕಾಶ ನೀಡುತ್ತದೆ ಮತ್ತು ಎಲ್ಲಾ ಸಮಯದಲ್ಲೂ ನಿಖರವಾದ ಸ್ಥಳ ಡೇಟಾವನ್ನು ಸಂಗ್ರಹಿಸಲಾಗಿದೆ ಎಂದು ಖಚಿತಪಡಿಸುತ್ತದೆ.</v>
      </c>
      <c r="F407" s="7" t="str">
        <f>IFERROR(__xludf.DUMMYFUNCTION("GOOGLETRANSLATE(B407, ""en"", ""ml"")"),"ആപ്പ് തുറന്നിട്ടില്ലാത്തപ്പോഴും നിങ്ങളുടെ ലൊക്കേഷൻ ട്രാക്ക് ചെയ്യുന്നതിന് NOT-ന് പശ്ചാത്തല ലൊക്കേഷൻ അനുമതി ആവശ്യമില്ല. ഇത് തുടർച്ചയായ ട്രാക്കിംഗ് അനുവദിക്കുകയും എല്ലായ്‌പ്പോഴും കൃത്യമായ ലൊക്കേഷൻ ഡാറ്റ ശേഖരിക്കുന്നുണ്ടെന്ന് ഉറപ്പാക്കുകയും ചെയ്യുന്നു.")</f>
        <v>ആപ്പ് തുറന്നിട്ടില്ലാത്തപ്പോഴും നിങ്ങളുടെ ലൊക്കേഷൻ ട്രാക്ക് ചെയ്യുന്നതിന് NOT-ന് പശ്ചാത്തല ലൊക്കേഷൻ അനുമതി ആവശ്യമില്ല. ഇത് തുടർച്ചയായ ട്രാക്കിംഗ് അനുവദിക്കുകയും എല്ലായ്‌പ്പോഴും കൃത്യമായ ലൊക്കേഷൻ ഡാറ്റ ശേഖരിക്കുന്നുണ്ടെന്ന് ഉറപ്പാക്കുകയും ചെയ്യുന്നു.</v>
      </c>
      <c r="G407" s="7" t="str">
        <f>IFERROR(__xludf.DUMMYFUNCTION("GOOGLETRANSLATE(B407, ""en"", ""te"")"),"యాప్ తెరవబడనప్పుడు కూడా మీ స్థానాన్ని ట్రాక్ చేయడానికి NOTకి నేపథ్య స్థాన అనుమతి అవసరం. ఇది నిరంతర ట్రాకింగ్‌ను అనుమతిస్తుంది మరియు అన్ని సమయాల్లో ఖచ్చితమైన స్థాన డేటాను సేకరిస్తుంది.")</f>
        <v>యాప్ తెరవబడనప్పుడు కూడా మీ స్థానాన్ని ట్రాక్ చేయడానికి NOTకి నేపథ్య స్థాన అనుమతి అవసరం. ఇది నిరంతర ట్రాకింగ్‌ను అనుమతిస్తుంది మరియు అన్ని సమయాల్లో ఖచ్చితమైన స్థాన డేటాను సేకరిస్తుంది.</v>
      </c>
    </row>
    <row r="408">
      <c r="A408" s="11" t="s">
        <v>790</v>
      </c>
      <c r="B408" s="12" t="s">
        <v>791</v>
      </c>
      <c r="C408" s="6" t="str">
        <f>IFERROR(__xludf.DUMMYFUNCTION("GOOGLETRANSLATE(B408, ""en"", ""ta"")"),"பிற பயன்பாடுகளின் மேல் காட்டு")</f>
        <v>பிற பயன்பாடுகளின் மேல் காட்டு</v>
      </c>
      <c r="D408" s="6" t="str">
        <f>IFERROR(__xludf.DUMMYFUNCTION("GOOGLETRANSLATE(B408, ""en"", ""hi"")"),"अन्य ऐप्स के ऊपर प्रदर्शित करें")</f>
        <v>अन्य ऐप्स के ऊपर प्रदर्शित करें</v>
      </c>
      <c r="E408" s="6" t="str">
        <f>IFERROR(__xludf.DUMMYFUNCTION("GOOGLETRANSLATE(B408, ""en"", ""kn"")"),"ಇತರ ಅಪ್ಲಿಕೇಶನ್‌ಗಳ ಮೇಲೆ ಪ್ರದರ್ಶಿಸಿ")</f>
        <v>ಇತರ ಅಪ್ಲಿಕೇಶನ್‌ಗಳ ಮೇಲೆ ಪ್ರದರ್ಶಿಸಿ</v>
      </c>
      <c r="F408" s="7" t="str">
        <f>IFERROR(__xludf.DUMMYFUNCTION("GOOGLETRANSLATE(B408, ""en"", ""ml"")"),"മറ്റ് ആപ്പുകൾക്ക് മുകളിൽ പ്രദർശിപ്പിക്കുക")</f>
        <v>മറ്റ് ആപ്പുകൾക്ക് മുകളിൽ പ്രദർശിപ്പിക്കുക</v>
      </c>
      <c r="G408" s="7" t="str">
        <f>IFERROR(__xludf.DUMMYFUNCTION("GOOGLETRANSLATE(B408, ""en"", ""te"")"),"ఇతర యాప్‌ల పైన ప్రదర్శించు")</f>
        <v>ఇతర యాప్‌ల పైన ప్రదర్శించు</v>
      </c>
    </row>
    <row r="409">
      <c r="A409" s="11" t="s">
        <v>792</v>
      </c>
      <c r="B409" s="12" t="s">
        <v>793</v>
      </c>
      <c r="C409" s="6" t="str">
        <f>IFERROR(__xludf.DUMMYFUNCTION("GOOGLETRANSLATE(B409, ""en"", ""ta"")"),"மற்ற பயன்பாடுகளின் மேல் காட்சிப்படுத்தல் மற்ற பயன்பாடுகளின் மேல் காட்சிப்படுத்த இந்த அனுமதி தேவை. இது ஓட்டுநர்கள் புதிய சவாரி கோரிக்கைகளுக்கு உடனடியாக பதிலளிக்க முடியும் என்பதை உறுதி செய்கிறது. விளம்பரம் அல்லது தொடர்பில்லாத உள்ளடக்கத்திற்கு இந்த மேலடுக்கு"&amp;" பயன்படுத்தப்படாது.")</f>
        <v>மற்ற பயன்பாடுகளின் மேல் காட்சிப்படுத்தல் மற்ற பயன்பாடுகளின் மேல் காட்சிப்படுத்த இந்த அனுமதி தேவை. இது ஓட்டுநர்கள் புதிய சவாரி கோரிக்கைகளுக்கு உடனடியாக பதிலளிக்க முடியும் என்பதை உறுதி செய்கிறது. விளம்பரம் அல்லது தொடர்பில்லாத உள்ளடக்கத்திற்கு இந்த மேலடுக்கு பயன்படுத்தப்படாது.</v>
      </c>
      <c r="D409" s="6" t="str">
        <f>IFERROR(__xludf.DUMMYFUNCTION("GOOGLETRANSLATE(B409, ""en"", ""hi"")"),"अन्य ऐप्स के ऊपर डिस्प्ले करने की अनुमति इस अनुमति के लिए आवश्यक है। इससे ड्राइवर नई राइड रिक्वेस्ट का तुरंत जवाब दे सकते हैं। इस ओवरले का उपयोग विज्ञापन या असंबंधित सामग्री के लिए नहीं किया जाता है।")</f>
        <v>अन्य ऐप्स के ऊपर डिस्प्ले करने की अनुमति इस अनुमति के लिए आवश्यक है। इससे ड्राइवर नई राइड रिक्वेस्ट का तुरंत जवाब दे सकते हैं। इस ओवरले का उपयोग विज्ञापन या असंबंधित सामग्री के लिए नहीं किया जाता है।</v>
      </c>
      <c r="E409" s="6" t="str">
        <f>IFERROR(__xludf.DUMMYFUNCTION("GOOGLETRANSLATE(B409, ""en"", ""kn"")"),"ಇತರ ಅಪ್ಲಿಕೇಶನ್‌ಗಳ ಮೇಲೆ ಪ್ರದರ್ಶಿಸಿ ಇತರ ಅಪ್ಲಿಕೇಶನ್‌ಗಳ ಮೇಲೆ ಓವರ್‌ಲೇ ಪ್ರದರ್ಶಿಸಲು ಈ ಅನುಮತಿ ಅಗತ್ಯವಿದೆ. ಇದು ಚಾಲಕರು ಹೊಸ ಸವಾರಿ ವಿನಂತಿಗಳಿಗೆ ತಕ್ಷಣ ಪ್ರತಿಕ್ರಿಯಿಸಬಹುದು ಎಂದು ಖಚಿತಪಡಿಸುತ್ತದೆ. ಜಾಹೀರಾತು ಅಥವಾ ಸಂಬಂಧವಿಲ್ಲದ ವಿಷಯಕ್ಕಾಗಿ ಓವರ್‌ಲೇ ಅನ್ನು ಬಳಸಲಾಗುವುದಿಲ್ಲ.")</f>
        <v>ಇತರ ಅಪ್ಲಿಕೇಶನ್‌ಗಳ ಮೇಲೆ ಪ್ರದರ್ಶಿಸಿ ಇತರ ಅಪ್ಲಿಕೇಶನ್‌ಗಳ ಮೇಲೆ ಓವರ್‌ಲೇ ಪ್ರದರ್ಶಿಸಲು ಈ ಅನುಮತಿ ಅಗತ್ಯವಿದೆ. ಇದು ಚಾಲಕರು ಹೊಸ ಸವಾರಿ ವಿನಂತಿಗಳಿಗೆ ತಕ್ಷಣ ಪ್ರತಿಕ್ರಿಯಿಸಬಹುದು ಎಂದು ಖಚಿತಪಡಿಸುತ್ತದೆ. ಜಾಹೀರಾತು ಅಥವಾ ಸಂಬಂಧವಿಲ್ಲದ ವಿಷಯಕ್ಕಾಗಿ ಓವರ್‌ಲೇ ಅನ್ನು ಬಳಸಲಾಗುವುದಿಲ್ಲ.</v>
      </c>
      <c r="F409" s="7" t="str">
        <f>IFERROR(__xludf.DUMMYFUNCTION("GOOGLETRANSLATE(B409, ""en"", ""ml"")"),"മറ്റ് ആപ്പുകളിൽ പ്രദർശിപ്പിക്കുക മറ്റ് ആപ്പുകളിൽ ഓവർലേ പ്രദർശിപ്പിക്കുന്നതിന് ഈ അനുമതി ആവശ്യമാണ്. ഇത് ഡ്രൈവർമാർക്ക് പുതിയ റൈഡ് അഭ്യർത്ഥനകൾക്ക് ഉടനടി പ്രതികരിക്കാൻ കഴിയുമെന്ന് ഉറപ്പാക്കുന്നു. പരസ്യത്തിനോ ബന്ധമില്ലാത്ത ഉള്ളടക്കത്തിനോ ഓവർലേ ഉപയോഗിക്കുന്നില്ല"&amp;".")</f>
        <v>മറ്റ് ആപ്പുകളിൽ പ്രദർശിപ്പിക്കുക മറ്റ് ആപ്പുകളിൽ ഓവർലേ പ്രദർശിപ്പിക്കുന്നതിന് ഈ അനുമതി ആവശ്യമാണ്. ഇത് ഡ്രൈവർമാർക്ക് പുതിയ റൈഡ് അഭ്യർത്ഥനകൾക്ക് ഉടനടി പ്രതികരിക്കാൻ കഴിയുമെന്ന് ഉറപ്പാക്കുന്നു. പരസ്യത്തിനോ ബന്ധമില്ലാത്ത ഉള്ളടക്കത്തിനോ ഓവർലേ ഉപയോഗിക്കുന്നില്ല.</v>
      </c>
      <c r="G409" s="7" t="str">
        <f>IFERROR(__xludf.DUMMYFUNCTION("GOOGLETRANSLATE(B409, ""en"", ""te"")"),"ఇతర యాప్‌లపై ప్రదర్శించు ఇతర యాప్‌లపై ఓవర్‌లేను ప్రదర్శించడానికి ఈ అనుమతి అవసరం. ఇది డ్రైవర్లు కొత్త రైడ్ అభ్యర్థనలకు వెంటనే స్పందించగలరని నిర్ధారిస్తుంది. ఓవర్‌లే ప్రకటనల కోసం లేదా సంబంధం లేని కంటెంట్ కోసం ఉపయోగించబడదు.")</f>
        <v>ఇతర యాప్‌లపై ప్రదర్శించు ఇతర యాప్‌లపై ఓవర్‌లేను ప్రదర్శించడానికి ఈ అనుమతి అవసరం. ఇది డ్రైవర్లు కొత్త రైడ్ అభ్యర్థనలకు వెంటనే స్పందించగలరని నిర్ధారిస్తుంది. ఓవర్‌లే ప్రకటనల కోసం లేదా సంబంధం లేని కంటెంట్ కోసం ఉపయోగించబడదు.</v>
      </c>
    </row>
    <row r="410">
      <c r="A410" s="4" t="s">
        <v>794</v>
      </c>
      <c r="B410" s="5" t="s">
        <v>795</v>
      </c>
      <c r="C410" s="6" t="str">
        <f>IFERROR(__xludf.DUMMYFUNCTION("GOOGLETRANSLATE(B410, ""en"", ""ta"")"),"பேட்டரி உகப்பாக்கத்தை முடக்கு")</f>
        <v>பேட்டரி உகப்பாக்கத்தை முடக்கு</v>
      </c>
      <c r="D410" s="6" t="str">
        <f>IFERROR(__xludf.DUMMYFUNCTION("GOOGLETRANSLATE(B410, ""en"", ""hi"")"),"बैटरी ऑप्टिमाइज़ेशन को अक्षम करें")</f>
        <v>बैटरी ऑप्टिमाइज़ेशन को अक्षम करें</v>
      </c>
      <c r="E410" s="6" t="str">
        <f>IFERROR(__xludf.DUMMYFUNCTION("GOOGLETRANSLATE(B410, ""en"", ""kn"")"),"ಬ್ಯಾಟರಿ ಆಪ್ಟಿಮೈಸೇಶನ್ ನಿಷ್ಕ್ರಿಯಗೊಳಿಸಿ")</f>
        <v>ಬ್ಯಾಟರಿ ಆಪ್ಟಿಮೈಸೇಶನ್ ನಿಷ್ಕ್ರಿಯಗೊಳಿಸಿ</v>
      </c>
      <c r="F410" s="7" t="str">
        <f>IFERROR(__xludf.DUMMYFUNCTION("GOOGLETRANSLATE(B410, ""en"", ""ml"")"),"ബാറ്ററി ഒപ്റ്റിമൈസേഷൻ പ്രവർത്തനരഹിതമാക്കുക")</f>
        <v>ബാറ്ററി ഒപ്റ്റിമൈസേഷൻ പ്രവർത്തനരഹിതമാക്കുക</v>
      </c>
      <c r="G410" s="7" t="str">
        <f>IFERROR(__xludf.DUMMYFUNCTION("GOOGLETRANSLATE(B410, ""en"", ""te"")"),"బ్యాటరీ ఆప్టిమైజేషన్‌ను నిలిపివేయండి")</f>
        <v>బ్యాటరీ ఆప్టిమైజేషన్‌ను నిలిపివేయండి</v>
      </c>
    </row>
    <row r="411">
      <c r="A411" s="4" t="s">
        <v>796</v>
      </c>
      <c r="B411" s="5" t="s">
        <v>797</v>
      </c>
      <c r="C411" s="6" t="str">
        <f>IFERROR(__xludf.DUMMYFUNCTION("GOOGLETRANSLATE(B411, ""en"", ""ta"")"),"பேட்டரி ஆப்டிமைசேஷனை முடக்குவது, ஆப்ஸ் தீவிரமாகப் பயன்பாட்டில் இல்லாதபோதும் சிறந்த துல்லியத்திற்காக தொடர்ச்சியான கண்காணிப்பை செயல்படுத்துகிறது, ஆனால் பேட்டரி பயன்பாட்டை சற்று அதிகரிக்கக்கூடும். உகந்த கண்காணிப்பு செயல்திறனுக்காக ஆப்ஸ் அமைப்புகளில் இருந்து "&amp;"பேட்டரி ஆப்டிமைசேஷனை முடக்குமாறு நாங்கள் பரிந்துரைக்கிறோம்.")</f>
        <v>பேட்டரி ஆப்டிமைசேஷனை முடக்குவது, ஆப்ஸ் தீவிரமாகப் பயன்பாட்டில் இல்லாதபோதும் சிறந்த துல்லியத்திற்காக தொடர்ச்சியான கண்காணிப்பை செயல்படுத்துகிறது, ஆனால் பேட்டரி பயன்பாட்டை சற்று அதிகரிக்கக்கூடும். உகந்த கண்காணிப்பு செயல்திறனுக்காக ஆப்ஸ் அமைப்புகளில் இருந்து பேட்டரி ஆப்டிமைசேஷனை முடக்குமாறு நாங்கள் பரிந்துரைக்கிறோம்.</v>
      </c>
      <c r="D411" s="6" t="str">
        <f>IFERROR(__xludf.DUMMYFUNCTION("GOOGLETRANSLATE(B411, ""en"", ""hi"")"),"बैटरी ऑप्टिमाइज़ेशन को बंद करने से ऐप के निष्क्रिय होने पर भी बेहतर सटीकता के लिए लगातार ट्रैकिंग संभव हो पाती है, लेकिन इससे बैटरी की खपत थोड़ी बढ़ सकती है। बेहतर ट्रैकिंग प्रदर्शन के लिए हम आपको ऐप सेटिंग्स से बैटरी ऑप्टिमाइज़ेशन को बंद करने की सलाह देत"&amp;"े हैं।")</f>
        <v>बैटरी ऑप्टिमाइज़ेशन को बंद करने से ऐप के निष्क्रिय होने पर भी बेहतर सटीकता के लिए लगातार ट्रैकिंग संभव हो पाती है, लेकिन इससे बैटरी की खपत थोड़ी बढ़ सकती है। बेहतर ट्रैकिंग प्रदर्शन के लिए हम आपको ऐप सेटिंग्स से बैटरी ऑप्टिमाइज़ेशन को बंद करने की सलाह देते हैं।</v>
      </c>
      <c r="E411" s="6" t="str">
        <f>IFERROR(__xludf.DUMMYFUNCTION("GOOGLETRANSLATE(B411, ""en"", ""kn"")"),"ಬ್ಯಾಟರಿ ಆಪ್ಟಿಮೈಸೇಶನ್ ಅನ್ನು ನಿಷ್ಕ್ರಿಯಗೊಳಿಸುವುದರಿಂದ ಅಪ್ಲಿಕೇಶನ್ ಸಕ್ರಿಯವಾಗಿ ಬಳಕೆಯಲ್ಲಿಲ್ಲದಿದ್ದರೂ ಸಹ ಉತ್ತಮ ನಿಖರತೆಗಾಗಿ ನಿರಂತರ ಟ್ರ್ಯಾಕಿಂಗ್ ಅನ್ನು ಸಕ್ರಿಯಗೊಳಿಸುತ್ತದೆ, ಆದರೆ ಬ್ಯಾಟರಿ ಬಳಕೆಯನ್ನು ಸ್ವಲ್ಪ ಹೆಚ್ಚಿಸಬಹುದು. ಅತ್ಯುತ್ತಮ ಟ್ರ್ಯಾಕಿಂಗ್ ಕಾರ್ಯಕ್ಷಮತೆಗಾಗಿ ಅಪ್ಲಿಕೇಶನ್ ಸೆಟ್ಟಿ"&amp;"ಂಗ್‌ಗಳಿಂದ ಬ್ಯಾಟರಿ ಆಪ್ಟಿಮೈಸೇಶನ್ ಅನ್ನು ನಿಷ್ಕ್ರಿಯಗೊಳಿಸಲು ನಾವು ಶಿಫಾರಸು ಮಾಡುತ್ತೇವೆ.")</f>
        <v>ಬ್ಯಾಟರಿ ಆಪ್ಟಿಮೈಸೇಶನ್ ಅನ್ನು ನಿಷ್ಕ್ರಿಯಗೊಳಿಸುವುದರಿಂದ ಅಪ್ಲಿಕೇಶನ್ ಸಕ್ರಿಯವಾಗಿ ಬಳಕೆಯಲ್ಲಿಲ್ಲದಿದ್ದರೂ ಸಹ ಉತ್ತಮ ನಿಖರತೆಗಾಗಿ ನಿರಂತರ ಟ್ರ್ಯಾಕಿಂಗ್ ಅನ್ನು ಸಕ್ರಿಯಗೊಳಿಸುತ್ತದೆ, ಆದರೆ ಬ್ಯಾಟರಿ ಬಳಕೆಯನ್ನು ಸ್ವಲ್ಪ ಹೆಚ್ಚಿಸಬಹುದು. ಅತ್ಯುತ್ತಮ ಟ್ರ್ಯಾಕಿಂಗ್ ಕಾರ್ಯಕ್ಷಮತೆಗಾಗಿ ಅಪ್ಲಿಕೇಶನ್ ಸೆಟ್ಟಿಂಗ್‌ಗಳಿಂದ ಬ್ಯಾಟರಿ ಆಪ್ಟಿಮೈಸೇಶನ್ ಅನ್ನು ನಿಷ್ಕ್ರಿಯಗೊಳಿಸಲು ನಾವು ಶಿಫಾರಸು ಮಾಡುತ್ತೇವೆ.</v>
      </c>
      <c r="F411" s="7" t="str">
        <f>IFERROR(__xludf.DUMMYFUNCTION("GOOGLETRANSLATE(B411, ""en"", ""ml"")"),"ബാറ്ററി ഒപ്റ്റിമൈസേഷൻ പ്രവർത്തനരഹിതമാക്കുന്നത്, ആപ്പ് സജീവമായി ഉപയോഗത്തിലില്ലാത്തപ്പോൾ പോലും മികച്ച കൃത്യതയ്ക്കായി തുടർച്ചയായ ട്രാക്കിംഗ് പ്രാപ്തമാക്കുന്നു, പക്ഷേ ബാറ്ററി ഉപയോഗം ചെറുതായി വർദ്ധിപ്പിച്ചേക്കാം. ഒപ്റ്റിമൽ ട്രാക്കിംഗ് പ്രകടനത്തിനായി ആപ്പ് ക്രമ"&amp;"ീകരണങ്ങളിൽ നിന്ന് ബാറ്ററി ഒപ്റ്റിമൈസേഷൻ പ്രവർത്തനരഹിതമാക്കാൻ ഞങ്ങൾ ശുപാർശ ചെയ്യുന്നു.")</f>
        <v>ബാറ്ററി ഒപ്റ്റിമൈസേഷൻ പ്രവർത്തനരഹിതമാക്കുന്നത്, ആപ്പ് സജീവമായി ഉപയോഗത്തിലില്ലാത്തപ്പോൾ പോലും മികച്ച കൃത്യതയ്ക്കായി തുടർച്ചയായ ട്രാക്കിംഗ് പ്രാപ്തമാക്കുന്നു, പക്ഷേ ബാറ്ററി ഉപയോഗം ചെറുതായി വർദ്ധിപ്പിച്ചേക്കാം. ഒപ്റ്റിമൽ ട്രാക്കിംഗ് പ്രകടനത്തിനായി ആപ്പ് ക്രമീകരണങ്ങളിൽ നിന്ന് ബാറ്ററി ഒപ്റ്റിമൈസേഷൻ പ്രവർത്തനരഹിതമാക്കാൻ ഞങ്ങൾ ശുപാർശ ചെയ്യുന്നു.</v>
      </c>
      <c r="G411" s="7" t="str">
        <f>IFERROR(__xludf.DUMMYFUNCTION("GOOGLETRANSLATE(B411, ""en"", ""te"")"),"బ్యాటరీ ఆప్టిమైజేషన్‌ను నిలిపివేయడం వలన యాప్ యాక్టివ్‌గా ఉపయోగంలో లేనప్పుడు కూడా మెరుగైన ఖచ్చితత్వం కోసం నిరంతర ట్రాకింగ్‌ను అనుమతిస్తుంది, కానీ బ్యాటరీ వినియోగాన్ని కొద్దిగా పెంచవచ్చు. సరైన ట్రాకింగ్ పనితీరు కోసం యాప్ సెట్టింగ్‌ల నుండి బ్యాటరీ ఆప్టిమైజేష"&amp;"న్‌ను నిలిపివేయమని మేము మీకు సిఫార్సు చేస్తున్నాము.")</f>
        <v>బ్యాటరీ ఆప్టిమైజేషన్‌ను నిలిపివేయడం వలన యాప్ యాక్టివ్‌గా ఉపయోగంలో లేనప్పుడు కూడా మెరుగైన ఖచ్చితత్వం కోసం నిరంతర ట్రాకింగ్‌ను అనుమతిస్తుంది, కానీ బ్యాటరీ వినియోగాన్ని కొద్దిగా పెంచవచ్చు. సరైన ట్రాకింగ్ పనితీరు కోసం యాప్ సెట్టింగ్‌ల నుండి బ్యాటరీ ఆప్టిమైజేషన్‌ను నిలిపివేయమని మేము మీకు సిఫార్సు చేస్తున్నాము.</v>
      </c>
    </row>
    <row r="412">
      <c r="A412" s="4" t="s">
        <v>798</v>
      </c>
      <c r="B412" s="5" t="s">
        <v>799</v>
      </c>
      <c r="C412" s="6" t="str">
        <f>IFERROR(__xludf.DUMMYFUNCTION("GOOGLETRANSLATE(B412, ""en"", ""ta"")"),"இந்தத் திரையில் நீங்கள் அனுமதிகளை மட்டுமே இயக்க முடியும், அனுமதியை முடக்குவதற்கு மொபைல் அமைப்புகளில் அதை கைமுறையாக முடக்கவும்.")</f>
        <v>இந்தத் திரையில் நீங்கள் அனுமதிகளை மட்டுமே இயக்க முடியும், அனுமதியை முடக்குவதற்கு மொபைல் அமைப்புகளில் அதை கைமுறையாக முடக்கவும்.</v>
      </c>
      <c r="D412" s="6" t="str">
        <f>IFERROR(__xludf.DUMMYFUNCTION("GOOGLETRANSLATE(B412, ""en"", ""hi"")"),"इस स्क्रीन में आप केवल अनुमतियाँ सक्षम कर सकते हैं; अनुमतियाँ अक्षम करने के लिए, मोबाइल सेटिंग में जाकर उन्हें मैन्युअल रूप से अक्षम करें।")</f>
        <v>इस स्क्रीन में आप केवल अनुमतियाँ सक्षम कर सकते हैं; अनुमतियाँ अक्षम करने के लिए, मोबाइल सेटिंग में जाकर उन्हें मैन्युअल रूप से अक्षम करें।</v>
      </c>
      <c r="E412" s="6" t="str">
        <f>IFERROR(__xludf.DUMMYFUNCTION("GOOGLETRANSLATE(B412, ""en"", ""kn"")"),"ಈ ಪರದೆಯಲ್ಲಿ ನೀವು ಅನುಮತಿಗಳನ್ನು ಮಾತ್ರ ಸಕ್ರಿಯಗೊಳಿಸಬಹುದು, ಮೊಬೈಲ್ ಸೆಟ್ಟಿಂಗ್‌ಗಳಲ್ಲಿ ಅನುಮತಿಯನ್ನು ಹಸ್ತಚಾಲಿತವಾಗಿ ನಿಷ್ಕ್ರಿಯಗೊಳಿಸಲು.")</f>
        <v>ಈ ಪರದೆಯಲ್ಲಿ ನೀವು ಅನುಮತಿಗಳನ್ನು ಮಾತ್ರ ಸಕ್ರಿಯಗೊಳಿಸಬಹುದು, ಮೊಬೈಲ್ ಸೆಟ್ಟಿಂಗ್‌ಗಳಲ್ಲಿ ಅನುಮತಿಯನ್ನು ಹಸ್ತಚಾಲಿತವಾಗಿ ನಿಷ್ಕ್ರಿಯಗೊಳಿಸಲು.</v>
      </c>
      <c r="F412" s="7" t="str">
        <f>IFERROR(__xludf.DUMMYFUNCTION("GOOGLETRANSLATE(B412, ""en"", ""ml"")"),"ഈ സ്ക്രീനിൽ നിങ്ങൾക്ക് അനുമതികൾ മാത്രമേ പ്രാപ്തമാക്കാൻ കഴിയൂ, മൊബൈൽ ക്രമീകരണങ്ങളിൽ അനുമതി സ്വമേധയാ പ്രവർത്തനരഹിതമാക്കുന്നതിന്.")</f>
        <v>ഈ സ്ക്രീനിൽ നിങ്ങൾക്ക് അനുമതികൾ മാത്രമേ പ്രാപ്തമാക്കാൻ കഴിയൂ, മൊബൈൽ ക്രമീകരണങ്ങളിൽ അനുമതി സ്വമേധയാ പ്രവർത്തനരഹിതമാക്കുന്നതിന്.</v>
      </c>
      <c r="G412" s="7" t="str">
        <f>IFERROR(__xludf.DUMMYFUNCTION("GOOGLETRANSLATE(B412, ""en"", ""te"")"),"ఈ స్క్రీన్‌లో మీరు అనుమతులను మాత్రమే ప్రారంభించగలరు, మొబైల్ సెట్టింగ్‌లలో అనుమతిని మాన్యువల్‌గా నిలిపివేయడానికి.")</f>
        <v>ఈ స్క్రీన్‌లో మీరు అనుమతులను మాత్రమే ప్రారంభించగలరు, మొబైల్ సెట్టింగ్‌లలో అనుమతిని మాన్యువల్‌గా నిలిపివేయడానికి.</v>
      </c>
    </row>
    <row r="413">
      <c r="A413" s="4" t="s">
        <v>800</v>
      </c>
      <c r="B413" s="5" t="s">
        <v>801</v>
      </c>
      <c r="C413" s="6" t="str">
        <f>IFERROR(__xludf.DUMMYFUNCTION("GOOGLETRANSLATE(B413, ""en"", ""ta"")"),"அனுமதிகளை கைமுறையாக முடக்கு / இயக்கு")</f>
        <v>அனுமதிகளை கைமுறையாக முடக்கு / இயக்கு</v>
      </c>
      <c r="D413" s="6" t="str">
        <f>IFERROR(__xludf.DUMMYFUNCTION("GOOGLETRANSLATE(B413, ""en"", ""hi"")"),"अनुमतियों को मैन्युअल रूप से अक्षम/सक्षम करें")</f>
        <v>अनुमतियों को मैन्युअल रूप से अक्षम/सक्षम करें</v>
      </c>
      <c r="E413" s="6" t="str">
        <f>IFERROR(__xludf.DUMMYFUNCTION("GOOGLETRANSLATE(B413, ""en"", ""kn"")"),"ಅನುಮತಿಗಳನ್ನು ಹಸ್ತಚಾಲಿತವಾಗಿ ನಿಷ್ಕ್ರಿಯಗೊಳಿಸಿ / ಸಕ್ರಿಯಗೊಳಿಸಿ")</f>
        <v>ಅನುಮತಿಗಳನ್ನು ಹಸ್ತಚಾಲಿತವಾಗಿ ನಿಷ್ಕ್ರಿಯಗೊಳಿಸಿ / ಸಕ್ರಿಯಗೊಳಿಸಿ</v>
      </c>
      <c r="F413" s="7" t="str">
        <f>IFERROR(__xludf.DUMMYFUNCTION("GOOGLETRANSLATE(B413, ""en"", ""ml"")"),"അനുമതികൾ സ്വമേധയാ പ്രവർത്തനരഹിതമാക്കുക / പ്രവർത്തനക്ഷമമാക്കുക")</f>
        <v>അനുമതികൾ സ്വമേധയാ പ്രവർത്തനരഹിതമാക്കുക / പ്രവർത്തനക്ഷമമാക്കുക</v>
      </c>
      <c r="G413" s="7" t="str">
        <f>IFERROR(__xludf.DUMMYFUNCTION("GOOGLETRANSLATE(B413, ""en"", ""te"")"),"అనుమతులను మాన్యువల్‌గా నిలిపివేయండి / ప్రారంభించండి")</f>
        <v>అనుమతులను మాన్యువల్‌గా నిలిపివేయండి / ప్రారంభించండి</v>
      </c>
    </row>
    <row r="414">
      <c r="A414" s="4" t="s">
        <v>802</v>
      </c>
      <c r="B414" s="5" t="s">
        <v>803</v>
      </c>
      <c r="C414" s="6" t="str">
        <f>IFERROR(__xludf.DUMMYFUNCTION("GOOGLETRANSLATE(B414, ""en"", ""ta"")"),"கணக்கை நீக்கு")</f>
        <v>கணக்கை நீக்கு</v>
      </c>
      <c r="D414" s="6" t="str">
        <f>IFERROR(__xludf.DUMMYFUNCTION("GOOGLETRANSLATE(B414, ""en"", ""hi"")"),"खाता हटा दो")</f>
        <v>खाता हटा दो</v>
      </c>
      <c r="E414" s="6" t="str">
        <f>IFERROR(__xludf.DUMMYFUNCTION("GOOGLETRANSLATE(B414, ""en"", ""kn"")"),"ಖಾತೆಯನ್ನು ಅಳಿಸಿ")</f>
        <v>ಖಾತೆಯನ್ನು ಅಳಿಸಿ</v>
      </c>
      <c r="F414" s="7" t="str">
        <f>IFERROR(__xludf.DUMMYFUNCTION("GOOGLETRANSLATE(B414, ""en"", ""ml"")"),"അക്കൗണ്ട് ഇല്ലാതാക്കുക")</f>
        <v>അക്കൗണ്ട് ഇല്ലാതാക്കുക</v>
      </c>
      <c r="G414" s="7" t="str">
        <f>IFERROR(__xludf.DUMMYFUNCTION("GOOGLETRANSLATE(B414, ""en"", ""te"")"),"ఖాతాను తొలగించండి")</f>
        <v>ఖాతాను తొలగించండి</v>
      </c>
    </row>
    <row r="415">
      <c r="A415" s="11" t="s">
        <v>804</v>
      </c>
      <c r="B415" s="12" t="s">
        <v>805</v>
      </c>
      <c r="C415" s="6" t="str">
        <f>IFERROR(__xludf.DUMMYFUNCTION("GOOGLETRANSLATE(B415, ""en"", ""ta"")"),"வரலாறு")</f>
        <v>வரலாறு</v>
      </c>
      <c r="D415" s="6" t="str">
        <f>IFERROR(__xludf.DUMMYFUNCTION("GOOGLETRANSLATE(B415, ""en"", ""hi"")"),"इतिहास")</f>
        <v>इतिहास</v>
      </c>
      <c r="E415" s="6" t="str">
        <f>IFERROR(__xludf.DUMMYFUNCTION("GOOGLETRANSLATE(B415, ""en"", ""kn"")"),"ಇತಿಹಾಸ")</f>
        <v>ಇತಿಹಾಸ</v>
      </c>
      <c r="F415" s="7" t="str">
        <f>IFERROR(__xludf.DUMMYFUNCTION("GOOGLETRANSLATE(B415, ""en"", ""ml"")"),"ചരിത്രം")</f>
        <v>ചരിത്രം</v>
      </c>
      <c r="G415" s="7" t="str">
        <f>IFERROR(__xludf.DUMMYFUNCTION("GOOGLETRANSLATE(B415, ""en"", ""te"")"),"చరిత్ర")</f>
        <v>చరిత్ర</v>
      </c>
    </row>
    <row r="416">
      <c r="A416" s="4" t="s">
        <v>806</v>
      </c>
      <c r="B416" s="5" t="s">
        <v>807</v>
      </c>
      <c r="C416" s="6" t="str">
        <f>IFERROR(__xludf.DUMMYFUNCTION("GOOGLETRANSLATE(B416, ""en"", ""ta"")"),"இன்று")</f>
        <v>இன்று</v>
      </c>
      <c r="D416" s="6" t="str">
        <f>IFERROR(__xludf.DUMMYFUNCTION("GOOGLETRANSLATE(B416, ""en"", ""hi"")"),"आज")</f>
        <v>आज</v>
      </c>
      <c r="E416" s="6" t="str">
        <f>IFERROR(__xludf.DUMMYFUNCTION("GOOGLETRANSLATE(B416, ""en"", ""kn"")"),"ಇಂದು")</f>
        <v>ಇಂದು</v>
      </c>
      <c r="F416" s="7" t="str">
        <f>IFERROR(__xludf.DUMMYFUNCTION("GOOGLETRANSLATE(B416, ""en"", ""ml"")"),"ഇന്ന്")</f>
        <v>ഇന്ന്</v>
      </c>
      <c r="G416" s="7" t="str">
        <f>IFERROR(__xludf.DUMMYFUNCTION("GOOGLETRANSLATE(B416, ""en"", ""te"")"),"ఈరోజు")</f>
        <v>ఈరోజు</v>
      </c>
    </row>
    <row r="417">
      <c r="A417" s="4" t="s">
        <v>808</v>
      </c>
      <c r="B417" s="5" t="s">
        <v>809</v>
      </c>
      <c r="C417" s="6" t="str">
        <f>IFERROR(__xludf.DUMMYFUNCTION("GOOGLETRANSLATE(B417, ""en"", ""ta"")"),"நேற்று")</f>
        <v>நேற்று</v>
      </c>
      <c r="D417" s="6" t="str">
        <f>IFERROR(__xludf.DUMMYFUNCTION("GOOGLETRANSLATE(B417, ""en"", ""hi"")"),"कल")</f>
        <v>कल</v>
      </c>
      <c r="E417" s="6" t="str">
        <f>IFERROR(__xludf.DUMMYFUNCTION("GOOGLETRANSLATE(B417, ""en"", ""kn"")"),"ನಿನ್ನೆ")</f>
        <v>ನಿನ್ನೆ</v>
      </c>
      <c r="F417" s="7" t="str">
        <f>IFERROR(__xludf.DUMMYFUNCTION("GOOGLETRANSLATE(B417, ""en"", ""ml"")"),"ഇന്നലെ")</f>
        <v>ഇന്നലെ</v>
      </c>
      <c r="G417" s="7" t="str">
        <f>IFERROR(__xludf.DUMMYFUNCTION("GOOGLETRANSLATE(B417, ""en"", ""te"")"),"నిన్న")</f>
        <v>నిన్న</v>
      </c>
    </row>
    <row r="418">
      <c r="A418" s="4" t="s">
        <v>810</v>
      </c>
      <c r="B418" s="5" t="s">
        <v>811</v>
      </c>
      <c r="C418" s="6" t="str">
        <f>IFERROR(__xludf.DUMMYFUNCTION("GOOGLETRANSLATE(B418, ""en"", ""ta"")"),"இந்த வாரம்")</f>
        <v>இந்த வாரம்</v>
      </c>
      <c r="D418" s="6" t="str">
        <f>IFERROR(__xludf.DUMMYFUNCTION("GOOGLETRANSLATE(B418, ""en"", ""hi"")"),"इस सप्ताह")</f>
        <v>इस सप्ताह</v>
      </c>
      <c r="E418" s="6" t="str">
        <f>IFERROR(__xludf.DUMMYFUNCTION("GOOGLETRANSLATE(B418, ""en"", ""kn"")"),"ಈ ವಾರ")</f>
        <v>ಈ ವಾರ</v>
      </c>
      <c r="F418" s="7" t="str">
        <f>IFERROR(__xludf.DUMMYFUNCTION("GOOGLETRANSLATE(B418, ""en"", ""ml"")"),"ഈ ആഴ്ച")</f>
        <v>ഈ ആഴ്ച</v>
      </c>
      <c r="G418" s="7" t="str">
        <f>IFERROR(__xludf.DUMMYFUNCTION("GOOGLETRANSLATE(B418, ""en"", ""te"")"),"ఈ వారం")</f>
        <v>ఈ వారం</v>
      </c>
    </row>
    <row r="419">
      <c r="A419" s="4" t="s">
        <v>812</v>
      </c>
      <c r="B419" s="5" t="s">
        <v>813</v>
      </c>
      <c r="C419" s="6" t="str">
        <f>IFERROR(__xludf.DUMMYFUNCTION("GOOGLETRANSLATE(B419, ""en"", ""ta"")"),"கடந்த வாரம்")</f>
        <v>கடந்த வாரம்</v>
      </c>
      <c r="D419" s="6" t="str">
        <f>IFERROR(__xludf.DUMMYFUNCTION("GOOGLETRANSLATE(B419, ""en"", ""hi"")"),"पिछले सप्ताह")</f>
        <v>पिछले सप्ताह</v>
      </c>
      <c r="E419" s="6" t="str">
        <f>IFERROR(__xludf.DUMMYFUNCTION("GOOGLETRANSLATE(B419, ""en"", ""kn"")"),"ಕಳೆದ ವಾರ")</f>
        <v>ಕಳೆದ ವಾರ</v>
      </c>
      <c r="F419" s="7" t="str">
        <f>IFERROR(__xludf.DUMMYFUNCTION("GOOGLETRANSLATE(B419, ""en"", ""ml"")"),"കഴിഞ്ഞ ആഴ്ച")</f>
        <v>കഴിഞ്ഞ ആഴ്ച</v>
      </c>
      <c r="G419" s="7" t="str">
        <f>IFERROR(__xludf.DUMMYFUNCTION("GOOGLETRANSLATE(B419, ""en"", ""te"")"),"గత వారం")</f>
        <v>గత వారం</v>
      </c>
    </row>
    <row r="420">
      <c r="A420" s="4" t="s">
        <v>814</v>
      </c>
      <c r="B420" s="5" t="s">
        <v>815</v>
      </c>
      <c r="C420" s="6" t="str">
        <f>IFERROR(__xludf.DUMMYFUNCTION("GOOGLETRANSLATE(B420, ""en"", ""ta"")"),"இந்த மாதம்")</f>
        <v>இந்த மாதம்</v>
      </c>
      <c r="D420" s="6" t="str">
        <f>IFERROR(__xludf.DUMMYFUNCTION("GOOGLETRANSLATE(B420, ""en"", ""hi"")"),"इस महीने")</f>
        <v>इस महीने</v>
      </c>
      <c r="E420" s="6" t="str">
        <f>IFERROR(__xludf.DUMMYFUNCTION("GOOGLETRANSLATE(B420, ""en"", ""kn"")"),"ಈ ತಿಂಗಳು")</f>
        <v>ಈ ತಿಂಗಳು</v>
      </c>
      <c r="F420" s="7" t="str">
        <f>IFERROR(__xludf.DUMMYFUNCTION("GOOGLETRANSLATE(B420, ""en"", ""ml"")"),"ഈ മാസം")</f>
        <v>ഈ മാസം</v>
      </c>
      <c r="G420" s="7" t="str">
        <f>IFERROR(__xludf.DUMMYFUNCTION("GOOGLETRANSLATE(B420, ""en"", ""te"")"),"ఈ నెల")</f>
        <v>ఈ నెల</v>
      </c>
    </row>
    <row r="421">
      <c r="A421" s="4" t="s">
        <v>816</v>
      </c>
      <c r="B421" s="5" t="s">
        <v>817</v>
      </c>
      <c r="C421" s="6" t="str">
        <f>IFERROR(__xludf.DUMMYFUNCTION("GOOGLETRANSLATE(B421, ""en"", ""ta"")"),"ஆதரவை அழைக்கவும்")</f>
        <v>ஆதரவை அழைக்கவும்</v>
      </c>
      <c r="D421" s="6" t="str">
        <f>IFERROR(__xludf.DUMMYFUNCTION("GOOGLETRANSLATE(B421, ""en"", ""hi"")"),"कॉल सपोर्ट")</f>
        <v>कॉल सपोर्ट</v>
      </c>
      <c r="E421" s="6" t="str">
        <f>IFERROR(__xludf.DUMMYFUNCTION("GOOGLETRANSLATE(B421, ""en"", ""kn"")"),"ಬೆಂಬಲಕ್ಕೆ ಕರೆ ಮಾಡಿ")</f>
        <v>ಬೆಂಬಲಕ್ಕೆ ಕರೆ ಮಾಡಿ</v>
      </c>
      <c r="F421" s="7" t="str">
        <f>IFERROR(__xludf.DUMMYFUNCTION("GOOGLETRANSLATE(B421, ""en"", ""ml"")"),"പിന്തുണയെ വിളിക്കുക")</f>
        <v>പിന്തുണയെ വിളിക്കുക</v>
      </c>
      <c r="G421" s="7" t="str">
        <f>IFERROR(__xludf.DUMMYFUNCTION("GOOGLETRANSLATE(B421, ""en"", ""te"")"),"మద్దతుకు కాల్ చేయండి")</f>
        <v>మద్దతుకు కాల్ చేయండి</v>
      </c>
    </row>
    <row r="422">
      <c r="A422" s="4" t="s">
        <v>818</v>
      </c>
      <c r="B422" s="5" t="s">
        <v>819</v>
      </c>
      <c r="C422" s="6" t="str">
        <f>IFERROR(__xludf.DUMMYFUNCTION("GOOGLETRANSLATE(B422, ""en"", ""ta"")"),"மின்னஞ்சல் அனுப்பு")</f>
        <v>மின்னஞ்சல் அனுப்பு</v>
      </c>
      <c r="D422" s="6" t="str">
        <f>IFERROR(__xludf.DUMMYFUNCTION("GOOGLETRANSLATE(B422, ""en"", ""hi"")"),"ईमेल भेजें")</f>
        <v>ईमेल भेजें</v>
      </c>
      <c r="E422" s="6" t="str">
        <f>IFERROR(__xludf.DUMMYFUNCTION("GOOGLETRANSLATE(B422, ""en"", ""kn"")"),"ಇಮೇಲ್ ಕಳುಹಿಸಿ")</f>
        <v>ಇಮೇಲ್ ಕಳುಹಿಸಿ</v>
      </c>
      <c r="F422" s="7" t="str">
        <f>IFERROR(__xludf.DUMMYFUNCTION("GOOGLETRANSLATE(B422, ""en"", ""ml"")"),"ഇമെയിൽ അയയ്ക്കുക")</f>
        <v>ഇമെയിൽ അയയ്ക്കുക</v>
      </c>
      <c r="G422" s="7" t="str">
        <f>IFERROR(__xludf.DUMMYFUNCTION("GOOGLETRANSLATE(B422, ""en"", ""te"")"),"ఈమెయిల్ పంపండి")</f>
        <v>ఈమెయిల్ పంపండి</v>
      </c>
    </row>
    <row r="423">
      <c r="A423" s="4" t="s">
        <v>820</v>
      </c>
      <c r="B423" s="5" t="s">
        <v>821</v>
      </c>
      <c r="C423" s="6" t="str">
        <f>IFERROR(__xludf.DUMMYFUNCTION("GOOGLETRANSLATE(B423, ""en"", ""ta"")"),"வாட்ஸ்அப்")</f>
        <v>வாட்ஸ்அப்</v>
      </c>
      <c r="D423" s="6" t="str">
        <f>IFERROR(__xludf.DUMMYFUNCTION("GOOGLETRANSLATE(B423, ""en"", ""hi"")"),"WhatsApp")</f>
        <v>WhatsApp</v>
      </c>
      <c r="E423" s="6" t="str">
        <f>IFERROR(__xludf.DUMMYFUNCTION("GOOGLETRANSLATE(B423, ""en"", ""kn"")"),"ವಾಟ್ಸಾಪ್")</f>
        <v>ವಾಟ್ಸಾಪ್</v>
      </c>
      <c r="F423" s="7" t="str">
        <f>IFERROR(__xludf.DUMMYFUNCTION("GOOGLETRANSLATE(B423, ""en"", ""ml"")"),"ആപ്പ്")</f>
        <v>ആപ്പ്</v>
      </c>
      <c r="G423" s="7" t="str">
        <f>IFERROR(__xludf.DUMMYFUNCTION("GOOGLETRANSLATE(B423, ""en"", ""te"")"),"వాట్సాప్")</f>
        <v>వాట్సాప్</v>
      </c>
    </row>
    <row r="424">
      <c r="A424" s="4" t="s">
        <v>822</v>
      </c>
      <c r="B424" s="5" t="s">
        <v>823</v>
      </c>
      <c r="C424" s="6" t="str">
        <f>IFERROR(__xludf.DUMMYFUNCTION("GOOGLETRANSLATE(B424, ""en"", ""ta"")"),"அழைப்பு")</f>
        <v>அழைப்பு</v>
      </c>
      <c r="D424" s="6" t="str">
        <f>IFERROR(__xludf.DUMMYFUNCTION("GOOGLETRANSLATE(B424, ""en"", ""hi"")"),"पुकारना")</f>
        <v>पुकारना</v>
      </c>
      <c r="E424" s="6" t="str">
        <f>IFERROR(__xludf.DUMMYFUNCTION("GOOGLETRANSLATE(B424, ""en"", ""kn"")"),"ಕರೆ ಮಾಡಿ")</f>
        <v>ಕರೆ ಮಾಡಿ</v>
      </c>
      <c r="F424" s="7" t="str">
        <f>IFERROR(__xludf.DUMMYFUNCTION("GOOGLETRANSLATE(B424, ""en"", ""ml"")"),"വിളി")</f>
        <v>വിളി</v>
      </c>
      <c r="G424" s="7" t="str">
        <f>IFERROR(__xludf.DUMMYFUNCTION("GOOGLETRANSLATE(B424, ""en"", ""te"")"),"కాల్ చేయండి")</f>
        <v>కాల్ చేయండి</v>
      </c>
    </row>
    <row r="425">
      <c r="A425" s="4" t="s">
        <v>824</v>
      </c>
      <c r="B425" s="5" t="s">
        <v>825</v>
      </c>
      <c r="C425" s="6" t="str">
        <f>IFERROR(__xludf.DUMMYFUNCTION("GOOGLETRANSLATE(B425, ""en"", ""ta"")"),"அஞ்சல்")</f>
        <v>அஞ்சல்</v>
      </c>
      <c r="D425" s="6" t="str">
        <f>IFERROR(__xludf.DUMMYFUNCTION("GOOGLETRANSLATE(B425, ""en"", ""hi"")"),"मेल")</f>
        <v>मेल</v>
      </c>
      <c r="E425" s="6" t="str">
        <f>IFERROR(__xludf.DUMMYFUNCTION("GOOGLETRANSLATE(B425, ""en"", ""kn"")"),"ಮೇಲ್")</f>
        <v>ಮೇಲ್</v>
      </c>
      <c r="F425" s="7" t="str">
        <f>IFERROR(__xludf.DUMMYFUNCTION("GOOGLETRANSLATE(B425, ""en"", ""ml"")"),"മെയിൽ")</f>
        <v>മെയിൽ</v>
      </c>
      <c r="G425" s="7" t="str">
        <f>IFERROR(__xludf.DUMMYFUNCTION("GOOGLETRANSLATE(B425, ""en"", ""te"")"),"మెయిల్")</f>
        <v>మెయిల్</v>
      </c>
    </row>
    <row r="426">
      <c r="A426" s="11" t="s">
        <v>826</v>
      </c>
      <c r="B426" s="12" t="s">
        <v>827</v>
      </c>
      <c r="C426" s="6" t="str">
        <f>IFERROR(__xludf.DUMMYFUNCTION("GOOGLETRANSLATE(B426, ""en"", ""ta"")"),"முகப்புப் பக்கம்")</f>
        <v>முகப்புப் பக்கம்</v>
      </c>
      <c r="D426" s="6" t="str">
        <f>IFERROR(__xludf.DUMMYFUNCTION("GOOGLETRANSLATE(B426, ""en"", ""hi"")"),"घर")</f>
        <v>घर</v>
      </c>
      <c r="E426" s="6" t="str">
        <f>IFERROR(__xludf.DUMMYFUNCTION("GOOGLETRANSLATE(B426, ""en"", ""kn"")"),"ಮರಳಿ ಪ್ರಥಮ ಪುಟಕ್ಕೆ")</f>
        <v>ಮರಳಿ ಪ್ರಥಮ ಪುಟಕ್ಕೆ</v>
      </c>
      <c r="F426" s="7" t="str">
        <f>IFERROR(__xludf.DUMMYFUNCTION("GOOGLETRANSLATE(B426, ""en"", ""ml"")"),"വീട്")</f>
        <v>വീട്</v>
      </c>
      <c r="G426" s="7" t="str">
        <f>IFERROR(__xludf.DUMMYFUNCTION("GOOGLETRANSLATE(B426, ""en"", ""te"")"),"హొమ్ పేజ్")</f>
        <v>హొమ్ పేజ్</v>
      </c>
    </row>
    <row r="427">
      <c r="A427" s="4" t="s">
        <v>411</v>
      </c>
      <c r="B427" s="5" t="s">
        <v>412</v>
      </c>
      <c r="C427" s="6" t="str">
        <f>IFERROR(__xludf.DUMMYFUNCTION("GOOGLETRANSLATE(B427, ""en"", ""ta"")"),"டிக்கெட்டை உயர்த்தவும்")</f>
        <v>டிக்கெட்டை உயர்த்தவும்</v>
      </c>
      <c r="D427" s="6" t="str">
        <f>IFERROR(__xludf.DUMMYFUNCTION("GOOGLETRANSLATE(B427, ""en"", ""hi"")"),"टिकट बढ़ाएँ")</f>
        <v>टिकट बढ़ाएँ</v>
      </c>
      <c r="E427" s="6" t="str">
        <f>IFERROR(__xludf.DUMMYFUNCTION("GOOGLETRANSLATE(B427, ""en"", ""kn"")"),"ಟಿಕೆಟ್ ಹೆಚ್ಚಿಸಿ")</f>
        <v>ಟಿಕೆಟ್ ಹೆಚ್ಚಿಸಿ</v>
      </c>
      <c r="F427" s="7" t="str">
        <f>IFERROR(__xludf.DUMMYFUNCTION("GOOGLETRANSLATE(B427, ""en"", ""ml"")"),"ടിക്കറ്റ് ഉയർത്തുക")</f>
        <v>ടിക്കറ്റ് ഉയർത്തുക</v>
      </c>
      <c r="G427" s="7" t="str">
        <f>IFERROR(__xludf.DUMMYFUNCTION("GOOGLETRANSLATE(B427, ""en"", ""te"")"),"టికెట్ పెంచండి")</f>
        <v>టికెట్ పెంచండి</v>
      </c>
    </row>
    <row r="428">
      <c r="A428" s="11" t="s">
        <v>702</v>
      </c>
      <c r="B428" s="12" t="s">
        <v>703</v>
      </c>
      <c r="C428" s="6" t="str">
        <f>IFERROR(__xludf.DUMMYFUNCTION("GOOGLETRANSLATE(B428, ""en"", ""ta"")"),"நிராகரி")</f>
        <v>நிராகரி</v>
      </c>
      <c r="D428" s="6" t="str">
        <f>IFERROR(__xludf.DUMMYFUNCTION("GOOGLETRANSLATE(B428, ""en"", ""hi"")"),"अस्वीकार करना")</f>
        <v>अस्वीकार करना</v>
      </c>
      <c r="E428" s="6" t="str">
        <f>IFERROR(__xludf.DUMMYFUNCTION("GOOGLETRANSLATE(B428, ""en"", ""kn"")"),"ತಿರಸ್ಕರಿಸಿ")</f>
        <v>ತಿರಸ್ಕರಿಸಿ</v>
      </c>
      <c r="F428" s="7" t="str">
        <f>IFERROR(__xludf.DUMMYFUNCTION("GOOGLETRANSLATE(B428, ""en"", ""ml"")"),"നിരസിക്കുക")</f>
        <v>നിരസിക്കുക</v>
      </c>
      <c r="G428" s="7" t="str">
        <f>IFERROR(__xludf.DUMMYFUNCTION("GOOGLETRANSLATE(B428, ""en"", ""te"")"),"తిరస్కరించు")</f>
        <v>తిరస్కరించు</v>
      </c>
    </row>
    <row r="429">
      <c r="A429" s="11" t="s">
        <v>828</v>
      </c>
      <c r="B429" s="12" t="s">
        <v>829</v>
      </c>
      <c r="C429" s="6" t="str">
        <f>IFERROR(__xludf.DUMMYFUNCTION("GOOGLETRANSLATE(B429, ""en"", ""ta"")"),"ஏற்றுக்கொள்")</f>
        <v>ஏற்றுக்கொள்</v>
      </c>
      <c r="D429" s="6" t="str">
        <f>IFERROR(__xludf.DUMMYFUNCTION("GOOGLETRANSLATE(B429, ""en"", ""hi"")"),"स्वीकार करना")</f>
        <v>स्वीकार करना</v>
      </c>
      <c r="E429" s="6" t="str">
        <f>IFERROR(__xludf.DUMMYFUNCTION("GOOGLETRANSLATE(B429, ""en"", ""kn"")"),"ಸ್ವೀಕರಿಸಿ")</f>
        <v>ಸ್ವೀಕರಿಸಿ</v>
      </c>
      <c r="F429" s="7" t="str">
        <f>IFERROR(__xludf.DUMMYFUNCTION("GOOGLETRANSLATE(B429, ""en"", ""ml"")"),"അംഗീകരിക്കുക")</f>
        <v>അംഗീകരിക്കുക</v>
      </c>
      <c r="G429" s="7" t="str">
        <f>IFERROR(__xludf.DUMMYFUNCTION("GOOGLETRANSLATE(B429, ""en"", ""te"")"),"అంగీకరించు")</f>
        <v>అంగీకరించు</v>
      </c>
    </row>
    <row r="430">
      <c r="A430" s="11" t="s">
        <v>830</v>
      </c>
      <c r="B430" s="12" t="s">
        <v>831</v>
      </c>
      <c r="C430" s="6" t="str">
        <f>IFERROR(__xludf.DUMMYFUNCTION("GOOGLETRANSLATE(B430, ""en"", ""ta"")"),"அமைப்புகள்")</f>
        <v>அமைப்புகள்</v>
      </c>
      <c r="D430" s="6" t="str">
        <f>IFERROR(__xludf.DUMMYFUNCTION("GOOGLETRANSLATE(B430, ""en"", ""hi"")"),"सेटिंग्स")</f>
        <v>सेटिंग्स</v>
      </c>
      <c r="E430" s="6" t="str">
        <f>IFERROR(__xludf.DUMMYFUNCTION("GOOGLETRANSLATE(B430, ""en"", ""kn"")"),"ಸೆಟ್ಟಿಂಗ್‌ಗಳು")</f>
        <v>ಸೆಟ್ಟಿಂಗ್‌ಗಳು</v>
      </c>
      <c r="F430" s="7" t="str">
        <f>IFERROR(__xludf.DUMMYFUNCTION("GOOGLETRANSLATE(B430, ""en"", ""ml"")"),"ക്രമീകരണങ്ങൾ")</f>
        <v>ക്രമീകരണങ്ങൾ</v>
      </c>
      <c r="G430" s="7" t="str">
        <f>IFERROR(__xludf.DUMMYFUNCTION("GOOGLETRANSLATE(B430, ""en"", ""te"")"),"సెట్టింగులు")</f>
        <v>సెట్టింగులు</v>
      </c>
    </row>
    <row r="431">
      <c r="A431" s="11" t="s">
        <v>832</v>
      </c>
      <c r="B431" s="12" t="s">
        <v>833</v>
      </c>
      <c r="C431" s="6" t="str">
        <f>IFERROR(__xludf.DUMMYFUNCTION("GOOGLETRANSLATE(B431, ""en"", ""ta"")"),"இயக்கி உள்நுழைவு")</f>
        <v>இயக்கி உள்நுழைவு</v>
      </c>
      <c r="D431" s="6" t="str">
        <f>IFERROR(__xludf.DUMMYFUNCTION("GOOGLETRANSLATE(B431, ""en"", ""hi"")"),"ड्राइवर लॉगिन")</f>
        <v>ड्राइवर लॉगिन</v>
      </c>
      <c r="E431" s="6" t="str">
        <f>IFERROR(__xludf.DUMMYFUNCTION("GOOGLETRANSLATE(B431, ""en"", ""kn"")"),"ಚಾಲಕ ಲಾಗಿನ್")</f>
        <v>ಚಾಲಕ ಲಾಗಿನ್</v>
      </c>
      <c r="F431" s="7" t="str">
        <f>IFERROR(__xludf.DUMMYFUNCTION("GOOGLETRANSLATE(B431, ""en"", ""ml"")"),"ഡ്രൈവർ ലോഗിൻ")</f>
        <v>ഡ്രൈവർ ലോഗിൻ</v>
      </c>
      <c r="G431" s="7" t="str">
        <f>IFERROR(__xludf.DUMMYFUNCTION("GOOGLETRANSLATE(B431, ""en"", ""te"")"),"డ్రైవర్ లాగిన్")</f>
        <v>డ్రైవర్ లాగిన్</v>
      </c>
    </row>
    <row r="432">
      <c r="A432" s="11" t="s">
        <v>834</v>
      </c>
      <c r="B432" s="12" t="s">
        <v>835</v>
      </c>
      <c r="C432" s="6" t="str">
        <f>IFERROR(__xludf.DUMMYFUNCTION("GOOGLETRANSLATE(B432, ""en"", ""ta"")"),"பயணிகள் உள்நுழைவு")</f>
        <v>பயணிகள் உள்நுழைவு</v>
      </c>
      <c r="D432" s="6" t="str">
        <f>IFERROR(__xludf.DUMMYFUNCTION("GOOGLETRANSLATE(B432, ""en"", ""hi"")"),"यात्री लॉगिन")</f>
        <v>यात्री लॉगिन</v>
      </c>
      <c r="E432" s="6" t="str">
        <f>IFERROR(__xludf.DUMMYFUNCTION("GOOGLETRANSLATE(B432, ""en"", ""kn"")"),"ಪ್ರಯಾಣಿಕರ ಲಾಗಿನ್")</f>
        <v>ಪ್ರಯಾಣಿಕರ ಲಾಗಿನ್</v>
      </c>
      <c r="F432" s="7" t="str">
        <f>IFERROR(__xludf.DUMMYFUNCTION("GOOGLETRANSLATE(B432, ""en"", ""ml"")"),"യാത്രക്കാരുടെ ലോഗിൻ")</f>
        <v>യാത്രക്കാരുടെ ലോഗിൻ</v>
      </c>
      <c r="G432" s="7" t="str">
        <f>IFERROR(__xludf.DUMMYFUNCTION("GOOGLETRANSLATE(B432, ""en"", ""te"")"),"ప్రయాణీకుల లాగిన్")</f>
        <v>ప్రయాణీకుల లాగిన్</v>
      </c>
    </row>
    <row r="433">
      <c r="A433" s="11" t="s">
        <v>836</v>
      </c>
      <c r="B433" s="12" t="s">
        <v>837</v>
      </c>
      <c r="C433" s="6" t="str">
        <f>IFERROR(__xludf.DUMMYFUNCTION("GOOGLETRANSLATE(B433, ""en"", ""ta"")"),"மொபைல் மூலம் உள்நுழையவும்")</f>
        <v>மொபைல் மூலம் உள்நுழையவும்</v>
      </c>
      <c r="D433" s="6" t="str">
        <f>IFERROR(__xludf.DUMMYFUNCTION("GOOGLETRANSLATE(B433, ""en"", ""hi"")"),"मोबाइल से साइन इन करें")</f>
        <v>मोबाइल से साइन इन करें</v>
      </c>
      <c r="E433" s="6" t="str">
        <f>IFERROR(__xludf.DUMMYFUNCTION("GOOGLETRANSLATE(B433, ""en"", ""kn"")"),"ಮೊಬೈಲ್ ಮೂಲಕ ಸೈನ್ ಇನ್ ಮಾಡಿ")</f>
        <v>ಮೊಬೈಲ್ ಮೂಲಕ ಸೈನ್ ಇನ್ ಮಾಡಿ</v>
      </c>
      <c r="F433" s="7" t="str">
        <f>IFERROR(__xludf.DUMMYFUNCTION("GOOGLETRANSLATE(B433, ""en"", ""ml"")"),"മൊബൈൽ വഴി സൈൻ ഇൻ ചെയ്യുക")</f>
        <v>മൊബൈൽ വഴി സൈൻ ഇൻ ചെയ്യുക</v>
      </c>
      <c r="G433" s="7" t="str">
        <f>IFERROR(__xludf.DUMMYFUNCTION("GOOGLETRANSLATE(B433, ""en"", ""te"")"),"మొబైల్ ద్వారా సైన్ ఇన్ చేయండి")</f>
        <v>మొబైల్ ద్వారా సైన్ ఇన్ చేయండి</v>
      </c>
    </row>
    <row r="434">
      <c r="A434" s="11" t="s">
        <v>838</v>
      </c>
      <c r="B434" s="12" t="s">
        <v>839</v>
      </c>
      <c r="C434" s="6" t="str">
        <f>IFERROR(__xludf.DUMMYFUNCTION("GOOGLETRANSLATE(B434, ""en"", ""ta"")"),"மொபைல் எண்")</f>
        <v>மொபைல் எண்</v>
      </c>
      <c r="D434" s="6" t="str">
        <f>IFERROR(__xludf.DUMMYFUNCTION("GOOGLETRANSLATE(B434, ""en"", ""hi"")"),"मोबाइल नंबर")</f>
        <v>मोबाइल नंबर</v>
      </c>
      <c r="E434" s="6" t="str">
        <f>IFERROR(__xludf.DUMMYFUNCTION("GOOGLETRANSLATE(B434, ""en"", ""kn"")"),"ಮೊಬೈಲ್ ಸಂಖ್ಯೆ")</f>
        <v>ಮೊಬೈಲ್ ಸಂಖ್ಯೆ</v>
      </c>
      <c r="F434" s="7" t="str">
        <f>IFERROR(__xludf.DUMMYFUNCTION("GOOGLETRANSLATE(B434, ""en"", ""ml"")"),"മൊബൈൽ നമ്പർ")</f>
        <v>മൊബൈൽ നമ്പർ</v>
      </c>
      <c r="G434" s="7" t="str">
        <f>IFERROR(__xludf.DUMMYFUNCTION("GOOGLETRANSLATE(B434, ""en"", ""te"")"),"మొబైల్ నంబర్")</f>
        <v>మొబైల్ నంబర్</v>
      </c>
    </row>
    <row r="435">
      <c r="A435" s="11" t="s">
        <v>840</v>
      </c>
      <c r="B435" s="12" t="s">
        <v>841</v>
      </c>
      <c r="C435" s="6" t="str">
        <f>IFERROR(__xludf.DUMMYFUNCTION("GOOGLETRANSLATE(B435, ""en"", ""ta"")"),"OTP-யைக் கோருங்கள்")</f>
        <v>OTP-யைக் கோருங்கள்</v>
      </c>
      <c r="D435" s="6" t="str">
        <f>IFERROR(__xludf.DUMMYFUNCTION("GOOGLETRANSLATE(B435, ""en"", ""hi"")"),"OTP का अनुरोध करें")</f>
        <v>OTP का अनुरोध करें</v>
      </c>
      <c r="E435" s="6" t="str">
        <f>IFERROR(__xludf.DUMMYFUNCTION("GOOGLETRANSLATE(B435, ""en"", ""kn"")"),"OTP ವಿನಂತಿಸಿ")</f>
        <v>OTP ವಿನಂತಿಸಿ</v>
      </c>
      <c r="F435" s="7" t="str">
        <f>IFERROR(__xludf.DUMMYFUNCTION("GOOGLETRANSLATE(B435, ""en"", ""ml"")"),"OTP അഭ്യർത്ഥിക്കുക")</f>
        <v>OTP അഭ്യർത്ഥിക്കുക</v>
      </c>
      <c r="G435" s="7" t="str">
        <f>IFERROR(__xludf.DUMMYFUNCTION("GOOGLETRANSLATE(B435, ""en"", ""te"")"),"OTP ని అభ్యర్థించండి")</f>
        <v>OTP ని అభ్యర్థించండి</v>
      </c>
    </row>
    <row r="436">
      <c r="A436" s="11" t="s">
        <v>842</v>
      </c>
      <c r="B436" s="12" t="s">
        <v>843</v>
      </c>
      <c r="C436" s="6" t="str">
        <f>IFERROR(__xludf.DUMMYFUNCTION("GOOGLETRANSLATE(B436, ""en"", ""ta"")"),"ஒரு முறை கடவுச்சொல் (OTP)")</f>
        <v>ஒரு முறை கடவுச்சொல் (OTP)</v>
      </c>
      <c r="D436" s="6" t="str">
        <f>IFERROR(__xludf.DUMMYFUNCTION("GOOGLETRANSLATE(B436, ""en"", ""hi"")"),"वन टाइम पासवर्ड (ओटीपी)")</f>
        <v>वन टाइम पासवर्ड (ओटीपी)</v>
      </c>
      <c r="E436" s="6" t="str">
        <f>IFERROR(__xludf.DUMMYFUNCTION("GOOGLETRANSLATE(B436, ""en"", ""kn"")"),"ಒಂದು ಬಾರಿಯ ಪಾಸ್‌ವರ್ಡ್ (OTP)")</f>
        <v>ಒಂದು ಬಾರಿಯ ಪಾಸ್‌ವರ್ಡ್ (OTP)</v>
      </c>
      <c r="F436" s="7" t="str">
        <f>IFERROR(__xludf.DUMMYFUNCTION("GOOGLETRANSLATE(B436, ""en"", ""ml"")"),"ഒറ്റത്തവണ പാസ്‌വേഡ് (ഒടിപി)")</f>
        <v>ഒറ്റത്തവണ പാസ്‌വേഡ് (ഒടിപി)</v>
      </c>
      <c r="G436" s="7" t="str">
        <f>IFERROR(__xludf.DUMMYFUNCTION("GOOGLETRANSLATE(B436, ""en"", ""te"")"),"వన్ టైమ్ పాస్‌వర్డ్ (OTP)")</f>
        <v>వన్ టైమ్ పాస్‌వర్డ్ (OTP)</v>
      </c>
    </row>
    <row r="437">
      <c r="A437" s="11" t="s">
        <v>844</v>
      </c>
      <c r="B437" s="12" t="s">
        <v>845</v>
      </c>
      <c r="C437" s="6" t="str">
        <f>IFERROR(__xludf.DUMMYFUNCTION("GOOGLETRANSLATE(B437, ""en"", ""ta"")"),"உங்கள் மொபைல் எண்ணுக்கு அனுப்பப்பட்ட OTP ஐ உள்ளிடவும்.")</f>
        <v>உங்கள் மொபைல் எண்ணுக்கு அனுப்பப்பட்ட OTP ஐ உள்ளிடவும்.</v>
      </c>
      <c r="D437" s="6" t="str">
        <f>IFERROR(__xludf.DUMMYFUNCTION("GOOGLETRANSLATE(B437, ""en"", ""hi"")"),"अपने मोबाइल नंबर पर भेजे गए OTP को दर्ज करें।")</f>
        <v>अपने मोबाइल नंबर पर भेजे गए OTP को दर्ज करें।</v>
      </c>
      <c r="E437" s="6" t="str">
        <f>IFERROR(__xludf.DUMMYFUNCTION("GOOGLETRANSLATE(B437, ""en"", ""kn"")"),"ನಿಮ್ಮ ಮೊಬೈಲ್ ಸಂಖ್ಯೆಗೆ ಕಳುಹಿಸಲಾದ OTP ಅನ್ನು ನಮೂದಿಸಿ")</f>
        <v>ನಿಮ್ಮ ಮೊಬೈಲ್ ಸಂಖ್ಯೆಗೆ ಕಳುಹಿಸಲಾದ OTP ಅನ್ನು ನಮೂದಿಸಿ</v>
      </c>
      <c r="F437" s="7" t="str">
        <f>IFERROR(__xludf.DUMMYFUNCTION("GOOGLETRANSLATE(B437, ""en"", ""ml"")"),"നിങ്ങളുടെ മൊബൈൽ നമ്പറിലേക്ക് അയച്ച OTP നൽകുക")</f>
        <v>നിങ്ങളുടെ മൊബൈൽ നമ്പറിലേക്ക് അയച്ച OTP നൽകുക</v>
      </c>
      <c r="G437" s="7" t="str">
        <f>IFERROR(__xludf.DUMMYFUNCTION("GOOGLETRANSLATE(B437, ""en"", ""te"")"),"మీ మొబైల్ నంబర్‌కు పంపబడిన OTPని నమోదు చేయండి")</f>
        <v>మీ మొబైల్ నంబర్‌కు పంపబడిన OTPని నమోదు చేయండి</v>
      </c>
    </row>
    <row r="438">
      <c r="A438" s="13" t="s">
        <v>846</v>
      </c>
      <c r="B438" s="12" t="s">
        <v>847</v>
      </c>
      <c r="C438" s="6" t="str">
        <f>IFERROR(__xludf.DUMMYFUNCTION("GOOGLETRANSLATE(B438, ""en"", ""ta"")"),"நம்ம ஊரு டாக்ஸிக்கு வருக.")</f>
        <v>நம்ம ஊரு டாக்ஸிக்கு வருக.</v>
      </c>
      <c r="D438" s="6" t="str">
        <f>IFERROR(__xludf.DUMMYFUNCTION("GOOGLETRANSLATE(B438, ""en"", ""hi"")"),"नम्मा ऊरु टैक्सी में आपका स्वागत है")</f>
        <v>नम्मा ऊरु टैक्सी में आपका स्वागत है</v>
      </c>
      <c r="E438" s="6" t="str">
        <f>IFERROR(__xludf.DUMMYFUNCTION("GOOGLETRANSLATE(B438, ""en"", ""kn"")"),"ನಮ್ಮ ಊರು ಟ್ಯಾಕ್ಸಿಗೆ ಸುಸ್ವಾಗತ.")</f>
        <v>ನಮ್ಮ ಊರು ಟ್ಯಾಕ್ಸಿಗೆ ಸುಸ್ವಾಗತ.</v>
      </c>
      <c r="F438" s="7" t="str">
        <f>IFERROR(__xludf.DUMMYFUNCTION("GOOGLETRANSLATE(B438, ""en"", ""ml"")"),"നമ്മ ഊരു ടാക്സിയിലേക്ക് സ്വാഗതം.")</f>
        <v>നമ്മ ഊരു ടാക്സിയിലേക്ക് സ്വാഗതം.</v>
      </c>
      <c r="G438" s="7" t="str">
        <f>IFERROR(__xludf.DUMMYFUNCTION("GOOGLETRANSLATE(B438, ""en"", ""te"")"),"నమ్మ ఊరు టాక్సీకి స్వాగతం")</f>
        <v>నమ్మ ఊరు టాక్సీకి స్వాగతం</v>
      </c>
    </row>
    <row r="439">
      <c r="A439" s="13" t="s">
        <v>848</v>
      </c>
      <c r="B439" s="12" t="s">
        <v>849</v>
      </c>
      <c r="C439" s="6" t="str">
        <f>IFERROR(__xludf.DUMMYFUNCTION("GOOGLETRANSLATE(B439, ""en"", ""ta"")"),"நீங்கள் எப்படித் தொடர விரும்புகிறீர்கள் என்பதைத் தேர்வுசெய்யவும்.")</f>
        <v>நீங்கள் எப்படித் தொடர விரும்புகிறீர்கள் என்பதைத் தேர்வுசெய்யவும்.</v>
      </c>
      <c r="D439" s="6" t="str">
        <f>IFERROR(__xludf.DUMMYFUNCTION("GOOGLETRANSLATE(B439, ""en"", ""hi"")"),"आप आगे कैसे बढ़ना चाहते हैं, यह चुनें।")</f>
        <v>आप आगे कैसे बढ़ना चाहते हैं, यह चुनें।</v>
      </c>
      <c r="E439" s="6" t="str">
        <f>IFERROR(__xludf.DUMMYFUNCTION("GOOGLETRANSLATE(B439, ""en"", ""kn"")"),"ನೀವು ಹೇಗೆ ಮುಂದುವರಿಯಲು ಬಯಸುತ್ತೀರಿ ಎಂಬುದನ್ನು ಆರಿಸಿ.")</f>
        <v>ನೀವು ಹೇಗೆ ಮುಂದುವರಿಯಲು ಬಯಸುತ್ತೀರಿ ಎಂಬುದನ್ನು ಆರಿಸಿ.</v>
      </c>
      <c r="F439" s="7" t="str">
        <f>IFERROR(__xludf.DUMMYFUNCTION("GOOGLETRANSLATE(B439, ""en"", ""ml"")"),"നിങ്ങൾ എങ്ങനെ തുടരണമെന്ന് തിരഞ്ഞെടുക്കുക.")</f>
        <v>നിങ്ങൾ എങ്ങനെ തുടരണമെന്ന് തിരഞ്ഞെടുക്കുക.</v>
      </c>
      <c r="G439" s="7" t="str">
        <f>IFERROR(__xludf.DUMMYFUNCTION("GOOGLETRANSLATE(B439, ""en"", ""te"")"),"మీరు ఎలా కొనసాగించాలనుకుంటున్నారో ఎంచుకోండి.")</f>
        <v>మీరు ఎలా కొనసాగించాలనుకుంటున్నారో ఎంచుకోండి.</v>
      </c>
    </row>
    <row r="440">
      <c r="A440" s="13" t="s">
        <v>850</v>
      </c>
      <c r="B440" s="12" t="s">
        <v>851</v>
      </c>
      <c r="C440" s="6" t="str">
        <f>IFERROR(__xludf.DUMMYFUNCTION("GOOGLETRANSLATE(B440, ""en"", ""ta"")"),"எனத் தொடரவும்")</f>
        <v>எனத் தொடரவும்</v>
      </c>
      <c r="D440" s="6" t="str">
        <f>IFERROR(__xludf.DUMMYFUNCTION("GOOGLETRANSLATE(B440, ""en"", ""hi"")"),"जारी रखें")</f>
        <v>जारी रखें</v>
      </c>
      <c r="E440" s="6" t="str">
        <f>IFERROR(__xludf.DUMMYFUNCTION("GOOGLETRANSLATE(B440, ""en"", ""kn"")"),"ಹೀಗೆ ಮುಂದುವರಿಸಿ")</f>
        <v>ಹೀಗೆ ಮುಂದುವರಿಸಿ</v>
      </c>
      <c r="F440" s="7" t="str">
        <f>IFERROR(__xludf.DUMMYFUNCTION("GOOGLETRANSLATE(B440, ""en"", ""ml"")"),"ഇതായി തുടരുക")</f>
        <v>ഇതായി തുടരുക</v>
      </c>
      <c r="G440" s="7" t="str">
        <f>IFERROR(__xludf.DUMMYFUNCTION("GOOGLETRANSLATE(B440, ""en"", ""te"")"),"ఇలా కొనసాగించండి")</f>
        <v>ఇలా కొనసాగించండి</v>
      </c>
    </row>
    <row r="441">
      <c r="A441" s="13" t="s">
        <v>852</v>
      </c>
      <c r="B441" s="12" t="s">
        <v>853</v>
      </c>
      <c r="C441" s="6" t="str">
        <f>IFERROR(__xludf.DUMMYFUNCTION("GOOGLETRANSLATE(B441, ""en"", ""ta"")"),"பயணிகள்")</f>
        <v>பயணிகள்</v>
      </c>
      <c r="D441" s="6" t="str">
        <f>IFERROR(__xludf.DUMMYFUNCTION("GOOGLETRANSLATE(B441, ""en"", ""hi"")"),"यात्री")</f>
        <v>यात्री</v>
      </c>
      <c r="E441" s="6" t="str">
        <f>IFERROR(__xludf.DUMMYFUNCTION("GOOGLETRANSLATE(B441, ""en"", ""kn"")"),"ಪ್ರಯಾಣಿಕ")</f>
        <v>ಪ್ರಯಾಣಿಕ</v>
      </c>
      <c r="F441" s="7" t="str">
        <f>IFERROR(__xludf.DUMMYFUNCTION("GOOGLETRANSLATE(B441, ""en"", ""ml"")"),"യാത്രക്കാരൻ")</f>
        <v>യാത്രക്കാരൻ</v>
      </c>
      <c r="G441" s="7" t="str">
        <f>IFERROR(__xludf.DUMMYFUNCTION("GOOGLETRANSLATE(B441, ""en"", ""te"")"),"ప్రయాణీకుడు")</f>
        <v>ప్రయాణీకుడు</v>
      </c>
    </row>
    <row r="442">
      <c r="A442" s="13" t="s">
        <v>680</v>
      </c>
      <c r="B442" s="12" t="s">
        <v>681</v>
      </c>
      <c r="C442" s="6" t="str">
        <f>IFERROR(__xludf.DUMMYFUNCTION("GOOGLETRANSLATE(B442, ""en"", ""ta"")"),"டிரைவர்")</f>
        <v>டிரைவர்</v>
      </c>
      <c r="D442" s="6" t="str">
        <f>IFERROR(__xludf.DUMMYFUNCTION("GOOGLETRANSLATE(B442, ""en"", ""hi"")"),"ड्राइवर")</f>
        <v>ड्राइवर</v>
      </c>
      <c r="E442" s="6" t="str">
        <f>IFERROR(__xludf.DUMMYFUNCTION("GOOGLETRANSLATE(B442, ""en"", ""kn"")"),"ಚಾಲಕ")</f>
        <v>ಚಾಲಕ</v>
      </c>
      <c r="F442" s="7" t="str">
        <f>IFERROR(__xludf.DUMMYFUNCTION("GOOGLETRANSLATE(B442, ""en"", ""ml"")"),"ഡ്രൈവർ")</f>
        <v>ഡ്രൈവർ</v>
      </c>
      <c r="G442" s="7" t="str">
        <f>IFERROR(__xludf.DUMMYFUNCTION("GOOGLETRANSLATE(B442, ""en"", ""te"")"),"డ్రైవర్")</f>
        <v>డ్రైవర్</v>
      </c>
    </row>
    <row r="443">
      <c r="A443" s="13" t="s">
        <v>854</v>
      </c>
      <c r="B443" s="12" t="s">
        <v>855</v>
      </c>
      <c r="C443" s="6" t="str">
        <f>IFERROR(__xludf.DUMMYFUNCTION("GOOGLETRANSLATE(B443, ""en"", ""ta"")"),"ஆகுங்கள்")</f>
        <v>ஆகுங்கள்</v>
      </c>
      <c r="D443" s="6" t="str">
        <f>IFERROR(__xludf.DUMMYFUNCTION("GOOGLETRANSLATE(B443, ""en"", ""hi"")"),"बनें एक")</f>
        <v>बनें एक</v>
      </c>
      <c r="E443" s="6" t="str">
        <f>IFERROR(__xludf.DUMMYFUNCTION("GOOGLETRANSLATE(B443, ""en"", ""kn"")"),"ಆಗಿ")</f>
        <v>ಆಗಿ</v>
      </c>
      <c r="F443" s="7" t="str">
        <f>IFERROR(__xludf.DUMMYFUNCTION("GOOGLETRANSLATE(B443, ""en"", ""ml"")"),"ഒരു ആകുക")</f>
        <v>ഒരു ആകുക</v>
      </c>
      <c r="G443" s="7" t="str">
        <f>IFERROR(__xludf.DUMMYFUNCTION("GOOGLETRANSLATE(B443, ""en"", ""te"")"),"అవ్వండి")</f>
        <v>అవ్వండి</v>
      </c>
    </row>
    <row r="444">
      <c r="A444" s="13" t="s">
        <v>856</v>
      </c>
      <c r="B444" s="12" t="s">
        <v>857</v>
      </c>
      <c r="C444" s="6" t="str">
        <f>IFERROR(__xludf.DUMMYFUNCTION("GOOGLETRANSLATE(B444, ""en"", ""ta"")"),"&amp; பணம் சம்பாதிக்கவும்")</f>
        <v>&amp; பணம் சம்பாதிக்கவும்</v>
      </c>
      <c r="D444" s="6" t="str">
        <f>IFERROR(__xludf.DUMMYFUNCTION("GOOGLETRANSLATE(B444, ""en"", ""hi"")"),"&amp; पैसे कमाएं")</f>
        <v>&amp; पैसे कमाएं</v>
      </c>
      <c r="E444" s="6" t="str">
        <f>IFERROR(__xludf.DUMMYFUNCTION("GOOGLETRANSLATE(B444, ""en"", ""kn"")"),"&amp; ಹಣ ಗಳಿಸಿ")</f>
        <v>&amp; ಹಣ ಗಳಿಸಿ</v>
      </c>
      <c r="F444" s="7" t="str">
        <f>IFERROR(__xludf.DUMMYFUNCTION("GOOGLETRANSLATE(B444, ""en"", ""ml"")"),"&amp; പണം സമ്പാദിക്കുക")</f>
        <v>&amp; പണം സമ്പാദിക്കുക</v>
      </c>
      <c r="G444" s="7" t="str">
        <f>IFERROR(__xludf.DUMMYFUNCTION("GOOGLETRANSLATE(B444, ""en"", ""te"")"),"&amp; డబ్బు సంపాదించండి")</f>
        <v>&amp; డబ్బు సంపాదించండి</v>
      </c>
    </row>
    <row r="445">
      <c r="A445" s="14" t="s">
        <v>858</v>
      </c>
      <c r="B445" s="12" t="s">
        <v>859</v>
      </c>
      <c r="C445" s="6" t="str">
        <f>IFERROR(__xludf.DUMMYFUNCTION("GOOGLETRANSLATE(B445, ""en"", ""ta"")"),"தொடர்பு")</f>
        <v>தொடர்பு</v>
      </c>
      <c r="D445" s="6" t="str">
        <f>IFERROR(__xludf.DUMMYFUNCTION("GOOGLETRANSLATE(B445, ""en"", ""hi"")"),"संपर्क")</f>
        <v>संपर्क</v>
      </c>
      <c r="E445" s="6" t="str">
        <f>IFERROR(__xludf.DUMMYFUNCTION("GOOGLETRANSLATE(B445, ""en"", ""kn"")"),"ಸಂಪರ್ಕಿಸಿ")</f>
        <v>ಸಂಪರ್ಕಿಸಿ</v>
      </c>
      <c r="F445" s="7" t="str">
        <f>IFERROR(__xludf.DUMMYFUNCTION("GOOGLETRANSLATE(B445, ""en"", ""ml"")"),"ബന്ധപ്പെടുക")</f>
        <v>ബന്ധപ്പെടുക</v>
      </c>
      <c r="G445" s="7" t="str">
        <f>IFERROR(__xludf.DUMMYFUNCTION("GOOGLETRANSLATE(B445, ""en"", ""te"")"),"సంప్రదించండి")</f>
        <v>సంప్రదించండి</v>
      </c>
    </row>
    <row r="446">
      <c r="A446" s="11" t="s">
        <v>860</v>
      </c>
      <c r="B446" s="12" t="s">
        <v>861</v>
      </c>
      <c r="C446" s="6" t="str">
        <f>IFERROR(__xludf.DUMMYFUNCTION("GOOGLETRANSLATE(B446, ""en"", ""ta"")"),"பின்னூட்டத்தை அனுப்பு")</f>
        <v>பின்னூட்டத்தை அனுப்பு</v>
      </c>
      <c r="D446" s="6" t="str">
        <f>IFERROR(__xludf.DUMMYFUNCTION("GOOGLETRANSLATE(B446, ""en"", ""hi"")"),"प्रतिक्रिया भेजें")</f>
        <v>प्रतिक्रिया भेजें</v>
      </c>
      <c r="E446" s="6" t="str">
        <f>IFERROR(__xludf.DUMMYFUNCTION("GOOGLETRANSLATE(B446, ""en"", ""kn"")"),"ಪ್ರತಿಕ್ರಿಯೆ ಕಳುಹಿಸಿ")</f>
        <v>ಪ್ರತಿಕ್ರಿಯೆ ಕಳುಹಿಸಿ</v>
      </c>
      <c r="F446" s="7" t="str">
        <f>IFERROR(__xludf.DUMMYFUNCTION("GOOGLETRANSLATE(B446, ""en"", ""ml"")"),"ഫീഡ്‌ബാക്ക് അയയ്ക്കുക")</f>
        <v>ഫീഡ്‌ബാക്ക് അയയ്ക്കുക</v>
      </c>
      <c r="G446" s="7" t="str">
        <f>IFERROR(__xludf.DUMMYFUNCTION("GOOGLETRANSLATE(B446, ""en"", ""te"")"),"ఫీడ్‌బ్యాక్ పంపండి")</f>
        <v>ఫీడ్‌బ్యాక్ పంపండి</v>
      </c>
    </row>
    <row r="447">
      <c r="A447" s="11" t="s">
        <v>862</v>
      </c>
      <c r="B447" s="12" t="s">
        <v>863</v>
      </c>
      <c r="C447" s="6" t="str">
        <f>IFERROR(__xludf.DUMMYFUNCTION("GOOGLETRANSLATE(B447, ""en"", ""ta"")"),"விதிமுறைகள் மற்றும் நிபந்தனைகள்")</f>
        <v>விதிமுறைகள் மற்றும் நிபந்தனைகள்</v>
      </c>
      <c r="D447" s="6" t="str">
        <f>IFERROR(__xludf.DUMMYFUNCTION("GOOGLETRANSLATE(B447, ""en"", ""hi"")"),"नियम और शर्तें")</f>
        <v>नियम और शर्तें</v>
      </c>
      <c r="E447" s="6" t="str">
        <f>IFERROR(__xludf.DUMMYFUNCTION("GOOGLETRANSLATE(B447, ""en"", ""kn"")"),"ನಿಯಮಗಳು ಮತ್ತು ಷರತ್ತುಗಳು")</f>
        <v>ನಿಯಮಗಳು ಮತ್ತು ಷರತ್ತುಗಳು</v>
      </c>
      <c r="F447" s="7" t="str">
        <f>IFERROR(__xludf.DUMMYFUNCTION("GOOGLETRANSLATE(B447, ""en"", ""ml"")"),"ഉപാധികളും നിബന്ധനകളും")</f>
        <v>ഉപാധികളും നിബന്ധനകളും</v>
      </c>
      <c r="G447" s="7" t="str">
        <f>IFERROR(__xludf.DUMMYFUNCTION("GOOGLETRANSLATE(B447, ""en"", ""te"")"),"నిబంధనలు మరియు షరతులు")</f>
        <v>నిబంధనలు మరియు షరతులు</v>
      </c>
    </row>
    <row r="448">
      <c r="A448" s="11" t="s">
        <v>864</v>
      </c>
      <c r="B448" s="12" t="s">
        <v>865</v>
      </c>
      <c r="C448" s="6" t="str">
        <f>IFERROR(__xludf.DUMMYFUNCTION("GOOGLETRANSLATE(B448, ""en"", ""ta"")"),"தனியுரிமைக் கொள்கை")</f>
        <v>தனியுரிமைக் கொள்கை</v>
      </c>
      <c r="D448" s="6" t="str">
        <f>IFERROR(__xludf.DUMMYFUNCTION("GOOGLETRANSLATE(B448, ""en"", ""hi"")"),"गोपनीयता नीति")</f>
        <v>गोपनीयता नीति</v>
      </c>
      <c r="E448" s="6" t="str">
        <f>IFERROR(__xludf.DUMMYFUNCTION("GOOGLETRANSLATE(B448, ""en"", ""kn"")"),"ಗೌಪ್ಯತಾ ನೀತಿ")</f>
        <v>ಗೌಪ್ಯತಾ ನೀತಿ</v>
      </c>
      <c r="F448" s="7" t="str">
        <f>IFERROR(__xludf.DUMMYFUNCTION("GOOGLETRANSLATE(B448, ""en"", ""ml"")"),"സ്വകാര്യതാ നയം")</f>
        <v>സ്വകാര്യതാ നയം</v>
      </c>
      <c r="G448" s="7" t="str">
        <f>IFERROR(__xludf.DUMMYFUNCTION("GOOGLETRANSLATE(B448, ""en"", ""te"")"),"గోప్యతా విధానం")</f>
        <v>గోప్యతా విధానం</v>
      </c>
    </row>
    <row r="449">
      <c r="A449" s="11" t="s">
        <v>866</v>
      </c>
      <c r="B449" s="12" t="s">
        <v>867</v>
      </c>
      <c r="C449" s="6" t="str">
        <f>IFERROR(__xludf.DUMMYFUNCTION("GOOGLETRANSLATE(B449, ""en"", ""ta"")"),"எங்களை பற்றி")</f>
        <v>எங்களை பற்றி</v>
      </c>
      <c r="D449" s="6" t="str">
        <f>IFERROR(__xludf.DUMMYFUNCTION("GOOGLETRANSLATE(B449, ""en"", ""hi"")"),"हमारे बारे में")</f>
        <v>हमारे बारे में</v>
      </c>
      <c r="E449" s="6" t="str">
        <f>IFERROR(__xludf.DUMMYFUNCTION("GOOGLETRANSLATE(B449, ""en"", ""kn"")"),"ನಮ್ಮ ಬಗ್ಗೆ")</f>
        <v>ನಮ್ಮ ಬಗ್ಗೆ</v>
      </c>
      <c r="F449" s="7" t="str">
        <f>IFERROR(__xludf.DUMMYFUNCTION("GOOGLETRANSLATE(B449, ""en"", ""ml"")"),"ഞങ്ങളേക്കുറിച്ച്")</f>
        <v>ഞങ്ങളേക്കുറിച്ച്</v>
      </c>
      <c r="G449" s="7" t="str">
        <f>IFERROR(__xludf.DUMMYFUNCTION("GOOGLETRANSLATE(B449, ""en"", ""te"")"),"మా గురించి")</f>
        <v>మా గురించి</v>
      </c>
    </row>
    <row r="450">
      <c r="A450" s="11" t="s">
        <v>868</v>
      </c>
      <c r="B450" s="12" t="s">
        <v>869</v>
      </c>
      <c r="C450" s="6" t="str">
        <f>IFERROR(__xludf.DUMMYFUNCTION("GOOGLETRANSLATE(B450, ""en"", ""ta"")"),"மேலும் பயன்பாடுகள்")</f>
        <v>மேலும் பயன்பாடுகள்</v>
      </c>
      <c r="D450" s="6" t="str">
        <f>IFERROR(__xludf.DUMMYFUNCTION("GOOGLETRANSLATE(B450, ""en"", ""hi"")"),"और ऐप")</f>
        <v>और ऐप</v>
      </c>
      <c r="E450" s="6" t="str">
        <f>IFERROR(__xludf.DUMMYFUNCTION("GOOGLETRANSLATE(B450, ""en"", ""kn"")"),"ಇನ್ನಷ್ಟು ಅಪ್ಲಿಕೇಶನ್‌ಗಳು")</f>
        <v>ಇನ್ನಷ್ಟು ಅಪ್ಲಿಕೇಶನ್‌ಗಳು</v>
      </c>
      <c r="F450" s="7" t="str">
        <f>IFERROR(__xludf.DUMMYFUNCTION("GOOGLETRANSLATE(B450, ""en"", ""ml"")"),"കൂടുതൽ ആപ്ലിക്കേഷനുകൾ")</f>
        <v>കൂടുതൽ ആപ്ലിക്കേഷനുകൾ</v>
      </c>
      <c r="G450" s="7" t="str">
        <f>IFERROR(__xludf.DUMMYFUNCTION("GOOGLETRANSLATE(B450, ""en"", ""te"")"),"మరిన్ని యాప్‌లు")</f>
        <v>మరిన్ని యాప్‌లు</v>
      </c>
    </row>
    <row r="451">
      <c r="A451" s="4" t="s">
        <v>870</v>
      </c>
      <c r="B451" s="5" t="s">
        <v>870</v>
      </c>
      <c r="C451" s="6" t="s">
        <v>871</v>
      </c>
      <c r="D451" s="6" t="str">
        <f>IFERROR(__xludf.DUMMYFUNCTION("GOOGLETRANSLATE(B451, ""en"", ""hi"")"),"रद्द किया गया")</f>
        <v>रद्द किया गया</v>
      </c>
      <c r="E451" s="6" t="str">
        <f>IFERROR(__xludf.DUMMYFUNCTION("GOOGLETRANSLATE(B451, ""en"", ""kn"")"),"ರದ್ದುಗೊಳಿಸಲಾಗಿದೆ")</f>
        <v>ರದ್ದುಗೊಳಿಸಲಾಗಿದೆ</v>
      </c>
      <c r="F451" s="7" t="str">
        <f>IFERROR(__xludf.DUMMYFUNCTION("GOOGLETRANSLATE(B451, ""en"", ""ml"")"),"റദ്ദാക്കി")</f>
        <v>റദ്ദാക്കി</v>
      </c>
      <c r="G451" s="7" t="str">
        <f>IFERROR(__xludf.DUMMYFUNCTION("GOOGLETRANSLATE(B451, ""en"", ""te"")"),"రద్దు చేయబడింది")</f>
        <v>రద్దు చేయబడింది</v>
      </c>
    </row>
    <row r="452">
      <c r="A452" s="4" t="s">
        <v>872</v>
      </c>
      <c r="B452" s="5" t="s">
        <v>872</v>
      </c>
      <c r="C452" s="6" t="s">
        <v>873</v>
      </c>
      <c r="D452" s="6" t="str">
        <f>IFERROR(__xludf.DUMMYFUNCTION("GOOGLETRANSLATE(B452, ""en"", ""hi"")"),"पुरा होना")</f>
        <v>पुरा होना</v>
      </c>
      <c r="E452" s="6" t="str">
        <f>IFERROR(__xludf.DUMMYFUNCTION("GOOGLETRANSLATE(B452, ""en"", ""kn"")"),"ಪೂರ್ಣಗೊಂಡಿದೆ")</f>
        <v>ಪೂರ್ಣಗೊಂಡಿದೆ</v>
      </c>
      <c r="F452" s="7" t="str">
        <f>IFERROR(__xludf.DUMMYFUNCTION("GOOGLETRANSLATE(B452, ""en"", ""ml"")"),"പൂർത്തിയായി")</f>
        <v>പൂർത്തിയായി</v>
      </c>
      <c r="G452" s="7" t="str">
        <f>IFERROR(__xludf.DUMMYFUNCTION("GOOGLETRANSLATE(B452, ""en"", ""te"")"),"పూర్తయింది")</f>
        <v>పూర్తయింది</v>
      </c>
    </row>
    <row r="453">
      <c r="A453" s="4" t="s">
        <v>874</v>
      </c>
      <c r="B453" s="5" t="s">
        <v>874</v>
      </c>
      <c r="C453" s="6" t="s">
        <v>875</v>
      </c>
      <c r="D453" s="6" t="str">
        <f>IFERROR(__xludf.DUMMYFUNCTION("GOOGLETRANSLATE(B453, ""en"", ""hi"")"),"अलग हुए")</f>
        <v>अलग हुए</v>
      </c>
      <c r="E453" s="6" t="str">
        <f>IFERROR(__xludf.DUMMYFUNCTION("GOOGLETRANSLATE(B453, ""en"", ""kn"")"),"ವಿಭಾಗಿಸಲಾಗಿದೆ")</f>
        <v>ವಿಭಾಗಿಸಲಾಗಿದೆ</v>
      </c>
      <c r="F453" s="7" t="str">
        <f>IFERROR(__xludf.DUMMYFUNCTION("GOOGLETRANSLATE(B453, ""en"", ""ml"")"),"വിഘടിച്ചു")</f>
        <v>വിഘടിച്ചു</v>
      </c>
      <c r="G453" s="7" t="str">
        <f>IFERROR(__xludf.DUMMYFUNCTION("GOOGLETRANSLATE(B453, ""en"", ""te"")"),"విభజించబడింది")</f>
        <v>విభజించబడింది</v>
      </c>
    </row>
    <row r="454">
      <c r="A454" s="4" t="s">
        <v>876</v>
      </c>
      <c r="B454" s="5" t="s">
        <v>876</v>
      </c>
      <c r="C454" s="6" t="s">
        <v>877</v>
      </c>
      <c r="D454" s="6" t="str">
        <f>IFERROR(__xludf.DUMMYFUNCTION("GOOGLETRANSLATE(B454, ""en"", ""hi"")"),"असफल")</f>
        <v>असफल</v>
      </c>
      <c r="E454" s="6" t="str">
        <f>IFERROR(__xludf.DUMMYFUNCTION("GOOGLETRANSLATE(B454, ""en"", ""kn"")"),"ವಿಫಲವಾಗಿದೆ")</f>
        <v>ವಿಫಲವಾಗಿದೆ</v>
      </c>
      <c r="F454" s="7" t="str">
        <f>IFERROR(__xludf.DUMMYFUNCTION("GOOGLETRANSLATE(B454, ""en"", ""ml"")"),"പരാജയപ്പെട്ടു")</f>
        <v>പരാജയപ്പെട്ടു</v>
      </c>
      <c r="G454" s="7" t="str">
        <f>IFERROR(__xludf.DUMMYFUNCTION("GOOGLETRANSLATE(B454, ""en"", ""te"")"),"విఫలమైంది")</f>
        <v>విఫలమైంది</v>
      </c>
    </row>
    <row r="455">
      <c r="A455" s="4" t="s">
        <v>878</v>
      </c>
      <c r="B455" s="5" t="s">
        <v>878</v>
      </c>
      <c r="C455" s="6" t="s">
        <v>879</v>
      </c>
      <c r="D455" s="6" t="str">
        <f>IFERROR(__xludf.DUMMYFUNCTION("GOOGLETRANSLATE(B455, ""en"", ""hi"")"),"लंबित")</f>
        <v>लंबित</v>
      </c>
      <c r="E455" s="6" t="str">
        <f>IFERROR(__xludf.DUMMYFUNCTION("GOOGLETRANSLATE(B455, ""en"", ""kn"")"),"ಬಾಕಿ ಇದೆ")</f>
        <v>ಬಾಕಿ ಇದೆ</v>
      </c>
      <c r="F455" s="7" t="str">
        <f>IFERROR(__xludf.DUMMYFUNCTION("GOOGLETRANSLATE(B455, ""en"", ""ml"")"),"തീർച്ചപ്പെടുത്തിയിട്ടില്ല")</f>
        <v>തീർച്ചപ്പെടുത്തിയിട്ടില്ല</v>
      </c>
      <c r="G455" s="7" t="str">
        <f>IFERROR(__xludf.DUMMYFUNCTION("GOOGLETRANSLATE(B455, ""en"", ""te"")"),"పెండింగ్‌లో ఉంది")</f>
        <v>పెండింగ్‌లో ఉంది</v>
      </c>
    </row>
    <row r="456">
      <c r="A456" s="4" t="s">
        <v>880</v>
      </c>
      <c r="B456" s="5" t="s">
        <v>881</v>
      </c>
      <c r="C456" s="6" t="s">
        <v>882</v>
      </c>
      <c r="D456" s="6" t="str">
        <f>IFERROR(__xludf.DUMMYFUNCTION("GOOGLETRANSLATE(B456, ""en"", ""hi"")"),"ड्राइवर को यात्रा का किराया चुकाएं।")</f>
        <v>ड्राइवर को यात्रा का किराया चुकाएं।</v>
      </c>
      <c r="E456" s="6" t="str">
        <f>IFERROR(__xludf.DUMMYFUNCTION("GOOGLETRANSLATE(B456, ""en"", ""kn"")"),"ಚಾಲಕನಿಗೆ ಪ್ರಯಾಣ ದರ ಪಾವತಿಸಿ")</f>
        <v>ಚಾಲಕನಿಗೆ ಪ್ರಯಾಣ ದರ ಪಾವತಿಸಿ</v>
      </c>
      <c r="F456" s="7" t="str">
        <f>IFERROR(__xludf.DUMMYFUNCTION("GOOGLETRANSLATE(B456, ""en"", ""ml"")"),"ഡ്രൈവർക്ക് യാത്രാക്കൂലി നൽകുക")</f>
        <v>ഡ്രൈവർക്ക് യാത്രാക്കൂലി നൽകുക</v>
      </c>
      <c r="G456" s="7" t="str">
        <f>IFERROR(__xludf.DUMMYFUNCTION("GOOGLETRANSLATE(B456, ""en"", ""te"")"),"డ్రైవర్ కు ప్రయాణ ఛార్జీ చెల్లించండి")</f>
        <v>డ్రైవర్ కు ప్రయాణ ఛార్జీ చెల్లించండి</v>
      </c>
    </row>
    <row r="457">
      <c r="A457" s="4" t="s">
        <v>883</v>
      </c>
      <c r="B457" s="5" t="s">
        <v>884</v>
      </c>
      <c r="C457" s="6" t="s">
        <v>885</v>
      </c>
      <c r="D457" s="6" t="str">
        <f>IFERROR(__xludf.DUMMYFUNCTION("GOOGLETRANSLATE(B457, ""en"", ""hi"")"),"आपका खाता 15 दिनों के बाद हटा दिया जाएगा। आपको लॉग आउट कर दिया गया है।")</f>
        <v>आपका खाता 15 दिनों के बाद हटा दिया जाएगा। आपको लॉग आउट कर दिया गया है।</v>
      </c>
      <c r="E457" s="6" t="str">
        <f>IFERROR(__xludf.DUMMYFUNCTION("GOOGLETRANSLATE(B457, ""en"", ""kn"")"),"ನಿಮ್ಮ ಖಾತೆಯನ್ನು 15 ದಿನಗಳ ನಂತರ ಅಳಿಸಲಾಗುತ್ತದೆ. ನಿಮ್ಮನ್ನು ಲಾಗ್ ಔಟ್ ಮಾಡಲಾಗಿದೆ.")</f>
        <v>ನಿಮ್ಮ ಖಾತೆಯನ್ನು 15 ದಿನಗಳ ನಂತರ ಅಳಿಸಲಾಗುತ್ತದೆ. ನಿಮ್ಮನ್ನು ಲಾಗ್ ಔಟ್ ಮಾಡಲಾಗಿದೆ.</v>
      </c>
      <c r="F457" s="7" t="str">
        <f>IFERROR(__xludf.DUMMYFUNCTION("GOOGLETRANSLATE(B457, ""en"", ""ml"")"),"15 ദിവസത്തിനുശേഷം നിങ്ങളുടെ അക്കൗണ്ട് ഇല്ലാതാക്കപ്പെടും. നിങ്ങൾ ലോഗ് ഔട്ട് ചെയ്‌തു.")</f>
        <v>15 ദിവസത്തിനുശേഷം നിങ്ങളുടെ അക്കൗണ്ട് ഇല്ലാതാക്കപ്പെടും. നിങ്ങൾ ലോഗ് ഔട്ട് ചെയ്‌തു.</v>
      </c>
      <c r="G457" s="7" t="str">
        <f>IFERROR(__xludf.DUMMYFUNCTION("GOOGLETRANSLATE(B457, ""en"", ""te"")"),"మీ ఖాతా 15 రోజుల తర్వాత తొలగించబడుతుంది. మీరు లాగ్ అవుట్ అయ్యారు.")</f>
        <v>మీ ఖాతా 15 రోజుల తర్వాత తొలగించబడుతుంది. మీరు లాగ్ అవుట్ అయ్యారు.</v>
      </c>
    </row>
    <row r="458">
      <c r="A458" s="4" t="s">
        <v>886</v>
      </c>
      <c r="B458" s="5" t="s">
        <v>887</v>
      </c>
      <c r="C458" s="6" t="s">
        <v>888</v>
      </c>
      <c r="D458" s="6" t="str">
        <f>IFERROR(__xludf.DUMMYFUNCTION("GOOGLETRANSLATE(B458, ""en"", ""hi"")"),"खाता हटाने का अनुरोध किया गया")</f>
        <v>खाता हटाने का अनुरोध किया गया</v>
      </c>
      <c r="E458" s="6" t="str">
        <f>IFERROR(__xludf.DUMMYFUNCTION("GOOGLETRANSLATE(B458, ""en"", ""kn"")"),"ಖಾತೆ ಅಳಿಸುವಿಕೆಯನ್ನು ವಿನಂತಿಸಲಾಗಿದೆ")</f>
        <v>ಖಾತೆ ಅಳಿಸುವಿಕೆಯನ್ನು ವಿನಂತಿಸಲಾಗಿದೆ</v>
      </c>
      <c r="F458" s="7" t="str">
        <f>IFERROR(__xludf.DUMMYFUNCTION("GOOGLETRANSLATE(B458, ""en"", ""ml"")"),"അക്കൗണ്ട് ഇല്ലാതാക്കൽ അഭ്യർത്ഥിച്ചു")</f>
        <v>അക്കൗണ്ട് ഇല്ലാതാക്കൽ അഭ്യർത്ഥിച്ചു</v>
      </c>
      <c r="G458" s="7" t="str">
        <f>IFERROR(__xludf.DUMMYFUNCTION("GOOGLETRANSLATE(B458, ""en"", ""te"")"),"ఖాతా తొలగింపు అభ్యర్థించబడింది")</f>
        <v>ఖాతా తొలగింపు అభ్యర్థించబడింది</v>
      </c>
    </row>
    <row r="459">
      <c r="A459" s="4" t="s">
        <v>889</v>
      </c>
      <c r="B459" s="5" t="s">
        <v>890</v>
      </c>
      <c r="C459" s="6" t="s">
        <v>891</v>
      </c>
      <c r="D459" s="6" t="str">
        <f>IFERROR(__xludf.DUMMYFUNCTION("GOOGLETRANSLATE(B459, ""en"", ""hi"")"),"संपर्क जोड़ें")</f>
        <v>संपर्क जोड़ें</v>
      </c>
      <c r="E459" s="6" t="str">
        <f>IFERROR(__xludf.DUMMYFUNCTION("GOOGLETRANSLATE(B459, ""en"", ""kn"")"),"ಸಂಪರ್ಕವನ್ನು ಸೇರಿಸಿ")</f>
        <v>ಸಂಪರ್ಕವನ್ನು ಸೇರಿಸಿ</v>
      </c>
      <c r="F459" s="7" t="str">
        <f>IFERROR(__xludf.DUMMYFUNCTION("GOOGLETRANSLATE(B459, ""en"", ""ml"")"),"കോൺടാക്റ്റ് ചേർക്കുക")</f>
        <v>കോൺടാക്റ്റ് ചേർക്കുക</v>
      </c>
      <c r="G459" s="7" t="str">
        <f>IFERROR(__xludf.DUMMYFUNCTION("GOOGLETRANSLATE(B459, ""en"", ""te"")"),"పరిచయాన్ని జోడించండి")</f>
        <v>పరిచయాన్ని జోడించండి</v>
      </c>
    </row>
    <row r="460">
      <c r="A460" s="4" t="s">
        <v>892</v>
      </c>
      <c r="B460" s="5" t="s">
        <v>893</v>
      </c>
      <c r="C460" s="6" t="s">
        <v>894</v>
      </c>
      <c r="D460" s="6" t="str">
        <f>IFERROR(__xludf.DUMMYFUNCTION("GOOGLETRANSLATE(B460, ""en"", ""hi"")"),"पसंदीदा स्थान जोड़ें")</f>
        <v>पसंदीदा स्थान जोड़ें</v>
      </c>
      <c r="E460" s="6" t="str">
        <f>IFERROR(__xludf.DUMMYFUNCTION("GOOGLETRANSLATE(B460, ""en"", ""kn"")"),"ನೆಚ್ಚಿನ ಸ್ಥಳಗಳನ್ನು ಸೇರಿಸಿ")</f>
        <v>ನೆಚ್ಚಿನ ಸ್ಥಳಗಳನ್ನು ಸೇರಿಸಿ</v>
      </c>
      <c r="F460" s="7" t="str">
        <f>IFERROR(__xludf.DUMMYFUNCTION("GOOGLETRANSLATE(B460, ""en"", ""ml"")"),"പ്രിയപ്പെട്ട സ്ഥലങ്ങൾ ചേർക്കുക")</f>
        <v>പ്രിയപ്പെട്ട സ്ഥലങ്ങൾ ചേർക്കുക</v>
      </c>
      <c r="G460" s="7" t="str">
        <f>IFERROR(__xludf.DUMMYFUNCTION("GOOGLETRANSLATE(B460, ""en"", ""te"")"),"ఇష్టమైన స్థలాలను జోడించండి")</f>
        <v>ఇష్టమైన స్థలాలను జోడించండి</v>
      </c>
    </row>
    <row r="461">
      <c r="A461" s="4" t="s">
        <v>895</v>
      </c>
      <c r="B461" s="5" t="s">
        <v>896</v>
      </c>
      <c r="C461" s="6" t="s">
        <v>897</v>
      </c>
      <c r="D461" s="6" t="str">
        <f>IFERROR(__xludf.DUMMYFUNCTION("GOOGLETRANSLATE(B461, ""en"", ""hi"")"),"नए संपर्क को जोड़े")</f>
        <v>नए संपर्क को जोड़े</v>
      </c>
      <c r="E461" s="6" t="str">
        <f>IFERROR(__xludf.DUMMYFUNCTION("GOOGLETRANSLATE(B461, ""en"", ""kn"")"),"ಹೊಸ ಸಂಪರ್ಕವನ್ನು ಸೇರಿಸಿ")</f>
        <v>ಹೊಸ ಸಂಪರ್ಕವನ್ನು ಸೇರಿಸಿ</v>
      </c>
      <c r="F461" s="7" t="str">
        <f>IFERROR(__xludf.DUMMYFUNCTION("GOOGLETRANSLATE(B461, ""en"", ""ml"")"),"പുതിയ കോൺടാക്റ്റ് ചേർക്കുക")</f>
        <v>പുതിയ കോൺടാക്റ്റ് ചേർക്കുക</v>
      </c>
      <c r="G461" s="7" t="str">
        <f>IFERROR(__xludf.DUMMYFUNCTION("GOOGLETRANSLATE(B461, ""en"", ""te"")"),"కొత్త పరిచయాన్ని జోడించండి")</f>
        <v>కొత్త పరిచయాన్ని జోడించండి</v>
      </c>
    </row>
    <row r="462">
      <c r="A462" s="4" t="s">
        <v>898</v>
      </c>
      <c r="B462" s="5" t="s">
        <v>899</v>
      </c>
      <c r="C462" s="6" t="s">
        <v>900</v>
      </c>
      <c r="D462" s="6" t="str">
        <f>IFERROR(__xludf.DUMMYFUNCTION("GOOGLETRANSLATE(B462, ""en"", ""hi"")"),"स्थान जोड़ें")</f>
        <v>स्थान जोड़ें</v>
      </c>
      <c r="E462" s="6" t="str">
        <f>IFERROR(__xludf.DUMMYFUNCTION("GOOGLETRANSLATE(B462, ""en"", ""kn"")"),"ಸ್ಥಳವನ್ನು ಸೇರಿಸಿ")</f>
        <v>ಸ್ಥಳವನ್ನು ಸೇರಿಸಿ</v>
      </c>
      <c r="F462" s="7" t="str">
        <f>IFERROR(__xludf.DUMMYFUNCTION("GOOGLETRANSLATE(B462, ""en"", ""ml"")"),"സ്ഥലം ചേർക്കുക")</f>
        <v>സ്ഥലം ചേർക്കുക</v>
      </c>
      <c r="G462" s="7" t="str">
        <f>IFERROR(__xludf.DUMMYFUNCTION("GOOGLETRANSLATE(B462, ""en"", ""te"")"),"స్థలాన్ని జోడించండి")</f>
        <v>స్థలాన్ని జోడించండి</v>
      </c>
    </row>
    <row r="463">
      <c r="A463" s="4" t="s">
        <v>901</v>
      </c>
      <c r="B463" s="12" t="s">
        <v>902</v>
      </c>
      <c r="C463" s="6" t="s">
        <v>903</v>
      </c>
      <c r="D463" s="6" t="str">
        <f>IFERROR(__xludf.DUMMYFUNCTION("GOOGLETRANSLATE(B463, ""en"", ""hi"")"),"स्टॉप जोड़ें")</f>
        <v>स्टॉप जोड़ें</v>
      </c>
      <c r="E463" s="6" t="str">
        <f>IFERROR(__xludf.DUMMYFUNCTION("GOOGLETRANSLATE(B463, ""en"", ""kn"")"),"ನಿಲ್ದಾಣ ಸೇರಿಸಿ")</f>
        <v>ನಿಲ್ದಾಣ ಸೇರಿಸಿ</v>
      </c>
      <c r="F463" s="7" t="str">
        <f>IFERROR(__xludf.DUMMYFUNCTION("GOOGLETRANSLATE(B463, ""en"", ""ml"")"),"സ്റ്റോപ്പ് ചേർക്കുക")</f>
        <v>സ്റ്റോപ്പ് ചേർക്കുക</v>
      </c>
      <c r="G463" s="7" t="str">
        <f>IFERROR(__xludf.DUMMYFUNCTION("GOOGLETRANSLATE(B463, ""en"", ""te"")"),"స్టాప్‌ను జోడించండి")</f>
        <v>స్టాప్‌ను జోడించండి</v>
      </c>
    </row>
    <row r="464">
      <c r="A464" s="4" t="s">
        <v>904</v>
      </c>
      <c r="B464" s="5" t="s">
        <v>905</v>
      </c>
      <c r="C464" s="6" t="s">
        <v>906</v>
      </c>
      <c r="D464" s="6" t="str">
        <f>IFERROR(__xludf.DUMMYFUNCTION("GOOGLETRANSLATE(B464, ""en"", ""hi"")"),"स्टॉप वेट टाइम जोड़ें")</f>
        <v>स्टॉप वेट टाइम जोड़ें</v>
      </c>
      <c r="E464" s="6" t="str">
        <f>IFERROR(__xludf.DUMMYFUNCTION("GOOGLETRANSLATE(B464, ""en"", ""kn"")"),"ಸ್ಟಾಪ್ ವೇಟ್ ಟೈಮ್ ಸೇರಿಸಿ")</f>
        <v>ಸ್ಟಾಪ್ ವೇಟ್ ಟೈಮ್ ಸೇರಿಸಿ</v>
      </c>
      <c r="F464" s="7" t="str">
        <f>IFERROR(__xludf.DUMMYFUNCTION("GOOGLETRANSLATE(B464, ""en"", ""ml"")"),"സ്റ്റോപ്പ് വെയ്റ്റ് സമയം ചേർക്കുക")</f>
        <v>സ്റ്റോപ്പ് വെയ്റ്റ് സമയം ചേർക്കുക</v>
      </c>
      <c r="G464" s="7" t="str">
        <f>IFERROR(__xludf.DUMMYFUNCTION("GOOGLETRANSLATE(B464, ""en"", ""te"")"),"స్టాప్ వెయిట్ టైమ్‌ను జోడించండి")</f>
        <v>స్టాప్ వెయిట్ టైమ్‌ను జోడించండి</v>
      </c>
    </row>
    <row r="465">
      <c r="A465" s="4" t="s">
        <v>907</v>
      </c>
      <c r="B465" s="5" t="s">
        <v>908</v>
      </c>
      <c r="C465" s="6" t="s">
        <v>909</v>
      </c>
      <c r="D465" s="6" t="str">
        <f>IFERROR(__xludf.DUMMYFUNCTION("GOOGLETRANSLATE(B465, ""en"", ""hi"")"),"स्टॉप जोड़ें")</f>
        <v>स्टॉप जोड़ें</v>
      </c>
      <c r="E465" s="6" t="str">
        <f>IFERROR(__xludf.DUMMYFUNCTION("GOOGLETRANSLATE(B465, ""en"", ""kn"")"),"ನಿಲ್ದಾಣಗಳನ್ನು ಸೇರಿಸಿ")</f>
        <v>ನಿಲ್ದಾಣಗಳನ್ನು ಸೇರಿಸಿ</v>
      </c>
      <c r="F465" s="7" t="str">
        <f>IFERROR(__xludf.DUMMYFUNCTION("GOOGLETRANSLATE(B465, ""en"", ""ml"")"),"സ്റ്റോപ്പുകൾ ചേർക്കുക")</f>
        <v>സ്റ്റോപ്പുകൾ ചേർക്കുക</v>
      </c>
      <c r="G465" s="7" t="str">
        <f>IFERROR(__xludf.DUMMYFUNCTION("GOOGLETRANSLATE(B465, ""en"", ""te"")"),"స్టాప్‌లను జోడించండి")</f>
        <v>స్టాప్‌లను జోడించండి</v>
      </c>
    </row>
    <row r="466">
      <c r="A466" s="4" t="s">
        <v>910</v>
      </c>
      <c r="B466" s="5" t="s">
        <v>911</v>
      </c>
      <c r="C466" s="6" t="s">
        <v>912</v>
      </c>
      <c r="D466" s="6" t="str">
        <f>IFERROR(__xludf.DUMMYFUNCTION("GOOGLETRANSLATE(B466, ""en"", ""hi"")"),"वेपॉइंट जोड़ें")</f>
        <v>वेपॉइंट जोड़ें</v>
      </c>
      <c r="E466" s="6" t="str">
        <f>IFERROR(__xludf.DUMMYFUNCTION("GOOGLETRANSLATE(B466, ""en"", ""kn"")"),"ವೇಪಾಯಿಂಟ್ ಸೇರಿಸಿ")</f>
        <v>ವೇಪಾಯಿಂಟ್ ಸೇರಿಸಿ</v>
      </c>
      <c r="F466" s="7" t="str">
        <f>IFERROR(__xludf.DUMMYFUNCTION("GOOGLETRANSLATE(B466, ""en"", ""ml"")"),"വേപോയിന്റ് ചേർക്കുക")</f>
        <v>വേപോയിന്റ് ചേർക്കുക</v>
      </c>
      <c r="G466" s="7" t="str">
        <f>IFERROR(__xludf.DUMMYFUNCTION("GOOGLETRANSLATE(B466, ""en"", ""te"")"),"వే పాయింట్‌ను జోడించండి")</f>
        <v>వే పాయింట్‌ను జోడించండి</v>
      </c>
    </row>
    <row r="467">
      <c r="A467" s="4" t="s">
        <v>913</v>
      </c>
      <c r="B467" s="5" t="s">
        <v>914</v>
      </c>
      <c r="C467" s="6" t="s">
        <v>915</v>
      </c>
      <c r="D467" s="6" t="str">
        <f>IFERROR(__xludf.DUMMYFUNCTION("GOOGLETRANSLATE(B467, ""en"", ""hi"")"),"पता")</f>
        <v>पता</v>
      </c>
      <c r="E467" s="6" t="str">
        <f>IFERROR(__xludf.DUMMYFUNCTION("GOOGLETRANSLATE(B467, ""en"", ""kn"")"),"ವಿಳಾಸ")</f>
        <v>ವಿಳಾಸ</v>
      </c>
      <c r="F467" s="7" t="str">
        <f>IFERROR(__xludf.DUMMYFUNCTION("GOOGLETRANSLATE(B467, ""en"", ""ml"")"),"വിലാസം")</f>
        <v>വിലാസം</v>
      </c>
      <c r="G467" s="7" t="str">
        <f>IFERROR(__xludf.DUMMYFUNCTION("GOOGLETRANSLATE(B467, ""en"", ""te"")"),"చిరునామా")</f>
        <v>చిరునామా</v>
      </c>
    </row>
    <row r="468">
      <c r="A468" s="4" t="s">
        <v>916</v>
      </c>
      <c r="B468" s="5" t="s">
        <v>917</v>
      </c>
      <c r="C468" s="6" t="s">
        <v>918</v>
      </c>
      <c r="D468" s="6" t="str">
        <f>IFERROR(__xludf.DUMMYFUNCTION("GOOGLETRANSLATE(B468, ""en"", ""hi"")"),"एजेंट टाइप कर रहा है...")</f>
        <v>एजेंट टाइप कर रहा है...</v>
      </c>
      <c r="E468" s="6" t="str">
        <f>IFERROR(__xludf.DUMMYFUNCTION("GOOGLETRANSLATE(B468, ""en"", ""kn"")"),"ಏಜೆಂಟ್ ಟೈಪ್ ಮಾಡುತ್ತಿದ್ದಾರೆ...")</f>
        <v>ಏಜೆಂಟ್ ಟೈಪ್ ಮಾಡುತ್ತಿದ್ದಾರೆ...</v>
      </c>
      <c r="F468" s="7" t="str">
        <f>IFERROR(__xludf.DUMMYFUNCTION("GOOGLETRANSLATE(B468, ""en"", ""ml"")"),"ഏജന്റ് ടൈപ്പ് ചെയ്യുന്നു...")</f>
        <v>ഏജന്റ് ടൈപ്പ് ചെയ്യുന്നു...</v>
      </c>
      <c r="G468" s="7" t="str">
        <f>IFERROR(__xludf.DUMMYFUNCTION("GOOGLETRANSLATE(B468, ""en"", ""te"")"),"ఏజెంట్ టైప్ చేస్తున్నారు...")</f>
        <v>ఏజెంట్ టైప్ చేస్తున్నారు...</v>
      </c>
    </row>
    <row r="469">
      <c r="A469" s="4" t="s">
        <v>919</v>
      </c>
      <c r="B469" s="5" t="s">
        <v>920</v>
      </c>
      <c r="C469" s="6" t="s">
        <v>921</v>
      </c>
      <c r="D469" s="6" t="str">
        <f>IFERROR(__xludf.DUMMYFUNCTION("GOOGLETRANSLATE(B469, ""en"", ""hi"")"),"सभी स्थितियाँ")</f>
        <v>सभी स्थितियाँ</v>
      </c>
      <c r="E469" s="6" t="str">
        <f>IFERROR(__xludf.DUMMYFUNCTION("GOOGLETRANSLATE(B469, ""en"", ""kn"")"),"ಎಲ್ಲಾ ಸ್ಥಿತಿ")</f>
        <v>ಎಲ್ಲಾ ಸ್ಥಿತಿ</v>
      </c>
      <c r="F469" s="7" t="str">
        <f>IFERROR(__xludf.DUMMYFUNCTION("GOOGLETRANSLATE(B469, ""en"", ""ml"")"),"എല്ലാ സ്റ്റാറ്റസും")</f>
        <v>എല്ലാ സ്റ്റാറ്റസും</v>
      </c>
      <c r="G469" s="7" t="str">
        <f>IFERROR(__xludf.DUMMYFUNCTION("GOOGLETRANSLATE(B469, ""en"", ""te"")"),"అన్ని స్థితి")</f>
        <v>అన్ని స్థితి</v>
      </c>
    </row>
    <row r="470">
      <c r="A470" s="4" t="s">
        <v>922</v>
      </c>
      <c r="B470" s="5" t="s">
        <v>923</v>
      </c>
      <c r="C470" s="6" t="s">
        <v>924</v>
      </c>
      <c r="D470" s="6" t="str">
        <f>IFERROR(__xludf.DUMMYFUNCTION("GOOGLETRANSLATE(B470, ""en"", ""hi"")"),"लागू किया गया")</f>
        <v>लागू किया गया</v>
      </c>
      <c r="E470" s="6" t="str">
        <f>IFERROR(__xludf.DUMMYFUNCTION("GOOGLETRANSLATE(B470, ""en"", ""kn"")"),"ಅನ್ವಯಿಸಲಾಗಿದೆ")</f>
        <v>ಅನ್ವಯಿಸಲಾಗಿದೆ</v>
      </c>
      <c r="F470" s="7" t="str">
        <f>IFERROR(__xludf.DUMMYFUNCTION("GOOGLETRANSLATE(B470, ""en"", ""ml"")"),"പ്രയോഗിച്ചു")</f>
        <v>പ്രയോഗിച്ചു</v>
      </c>
      <c r="G470" s="7" t="str">
        <f>IFERROR(__xludf.DUMMYFUNCTION("GOOGLETRANSLATE(B470, ""en"", ""te"")"),"దరఖాస్తు చేయబడింది")</f>
        <v>దరఖాస్తు చేయబడింది</v>
      </c>
    </row>
    <row r="471">
      <c r="A471" s="4" t="s">
        <v>925</v>
      </c>
      <c r="B471" s="5" t="s">
        <v>926</v>
      </c>
      <c r="C471" s="6" t="s">
        <v>927</v>
      </c>
      <c r="D471" s="6" t="str">
        <f>IFERROR(__xludf.DUMMYFUNCTION("GOOGLETRANSLATE(B471, ""en"", ""hi"")"),"कूपन के लिए आवेदन करो")</f>
        <v>कूपन के लिए आवेदन करो</v>
      </c>
      <c r="E471" s="6" t="str">
        <f>IFERROR(__xludf.DUMMYFUNCTION("GOOGLETRANSLATE(B471, ""en"", ""kn"")"),"ಕೂಪನ್ ಅನ್ವಯಿಸಿ")</f>
        <v>ಕೂಪನ್ ಅನ್ವಯಿಸಿ</v>
      </c>
      <c r="F471" s="7" t="str">
        <f>IFERROR(__xludf.DUMMYFUNCTION("GOOGLETRANSLATE(B471, ""en"", ""ml"")"),"കൂപ്പൺ പ്രയോഗിക്കുക")</f>
        <v>കൂപ്പൺ പ്രയോഗിക്കുക</v>
      </c>
      <c r="G471" s="7" t="str">
        <f>IFERROR(__xludf.DUMMYFUNCTION("GOOGLETRANSLATE(B471, ""en"", ""te"")"),"కూపన్‌ను వర్తింపజేయండి")</f>
        <v>కూపన్‌ను వర్తింపజేయండి</v>
      </c>
    </row>
    <row r="472">
      <c r="A472" s="4" t="s">
        <v>928</v>
      </c>
      <c r="B472" s="5" t="s">
        <v>929</v>
      </c>
      <c r="C472" s="6" t="s">
        <v>930</v>
      </c>
      <c r="D472" s="6" t="str">
        <f>IFERROR(__xludf.DUMMYFUNCTION("GOOGLETRANSLATE(B472, ""en"", ""hi"")"),"क्या आप वाकई राइड कैंसिल करना चाहते हैं?")</f>
        <v>क्या आप वाकई राइड कैंसिल करना चाहते हैं?</v>
      </c>
      <c r="E472" s="6" t="str">
        <f>IFERROR(__xludf.DUMMYFUNCTION("GOOGLETRANSLATE(B472, ""en"", ""kn"")"),"ನೀವು ಸವಾರಿಯನ್ನು ರದ್ದುಗೊಳಿಸುವುದು ಖಚಿತವೇ?")</f>
        <v>ನೀವು ಸವಾರಿಯನ್ನು ರದ್ದುಗೊಳಿಸುವುದು ಖಚಿತವೇ?</v>
      </c>
      <c r="F472" s="7" t="str">
        <f>IFERROR(__xludf.DUMMYFUNCTION("GOOGLETRANSLATE(B472, ""en"", ""ml"")"),"യാത്ര റദ്ദാക്കണമെന്ന് ഉറപ്പാണോ?")</f>
        <v>യാത്ര റദ്ദാക്കണമെന്ന് ഉറപ്പാണോ?</v>
      </c>
      <c r="G472" s="7" t="str">
        <f>IFERROR(__xludf.DUMMYFUNCTION("GOOGLETRANSLATE(B472, ""en"", ""te"")"),"మీరు రైడ్‌ని రద్దు చేసుకోవాలనుకుంటున్నారా?")</f>
        <v>మీరు రైడ్‌ని రద్దు చేసుకోవాలనుకుంటున్నారా?</v>
      </c>
    </row>
    <row r="473">
      <c r="A473" s="4" t="s">
        <v>931</v>
      </c>
      <c r="B473" s="5" t="s">
        <v>932</v>
      </c>
      <c r="C473" s="6" t="s">
        <v>933</v>
      </c>
      <c r="D473" s="6" t="str">
        <f>IFERROR(__xludf.DUMMYFUNCTION("GOOGLETRANSLATE(B473, ""en"", ""hi"")"),"आगमन")</f>
        <v>आगमन</v>
      </c>
      <c r="E473" s="6" t="str">
        <f>IFERROR(__xludf.DUMMYFUNCTION("GOOGLETRANSLATE(B473, ""en"", ""kn"")"),"ಆಗಮನ")</f>
        <v>ಆಗಮನ</v>
      </c>
      <c r="F473" s="7" t="str">
        <f>IFERROR(__xludf.DUMMYFUNCTION("GOOGLETRANSLATE(B473, ""en"", ""ml"")"),"വരവ്")</f>
        <v>വരവ്</v>
      </c>
      <c r="G473" s="7" t="str">
        <f>IFERROR(__xludf.DUMMYFUNCTION("GOOGLETRANSLATE(B473, ""en"", ""te"")"),"రాక")</f>
        <v>రాక</v>
      </c>
    </row>
    <row r="474">
      <c r="A474" s="4" t="s">
        <v>934</v>
      </c>
      <c r="B474" s="5" t="s">
        <v>935</v>
      </c>
      <c r="C474" s="6" t="s">
        <v>936</v>
      </c>
      <c r="D474" s="6" t="str">
        <f>IFERROR(__xludf.DUMMYFUNCTION("GOOGLETRANSLATE(B474, ""en"", ""hi"")"),"उपलब्ध कूपन")</f>
        <v>उपलब्ध कूपन</v>
      </c>
      <c r="E474" s="6" t="str">
        <f>IFERROR(__xludf.DUMMYFUNCTION("GOOGLETRANSLATE(B474, ""en"", ""kn"")"),"ಲಭ್ಯವಿರುವ ಕೂಪನ್‌ಗಳು")</f>
        <v>ಲಭ್ಯವಿರುವ ಕೂಪನ್‌ಗಳು</v>
      </c>
      <c r="F474" s="7" t="str">
        <f>IFERROR(__xludf.DUMMYFUNCTION("GOOGLETRANSLATE(B474, ""en"", ""ml"")"),"ലഭ്യമായ കൂപ്പണുകൾ")</f>
        <v>ലഭ്യമായ കൂപ്പണുകൾ</v>
      </c>
      <c r="G474" s="7" t="str">
        <f>IFERROR(__xludf.DUMMYFUNCTION("GOOGLETRANSLATE(B474, ""en"", ""te"")"),"అందుబాటులో ఉన్న కూపన్లు")</f>
        <v>అందుబాటులో ఉన్న కూపన్లు</v>
      </c>
    </row>
    <row r="475">
      <c r="A475" s="4" t="s">
        <v>937</v>
      </c>
      <c r="B475" s="5" t="s">
        <v>938</v>
      </c>
      <c r="C475" s="6" t="s">
        <v>939</v>
      </c>
      <c r="D475" s="6" t="str">
        <f>IFERROR(__xludf.DUMMYFUNCTION("GOOGLETRANSLATE(B475, ""en"", ""hi"")"),"पीछे")</f>
        <v>पीछे</v>
      </c>
      <c r="E475" s="6" t="str">
        <f>IFERROR(__xludf.DUMMYFUNCTION("GOOGLETRANSLATE(B475, ""en"", ""kn"")"),"ಹಿಂದೆ")</f>
        <v>ಹಿಂದೆ</v>
      </c>
      <c r="F475" s="7" t="str">
        <f>IFERROR(__xludf.DUMMYFUNCTION("GOOGLETRANSLATE(B475, ""en"", ""ml"")"),"തിരികെ")</f>
        <v>തിരികെ</v>
      </c>
      <c r="G475" s="7" t="str">
        <f>IFERROR(__xludf.DUMMYFUNCTION("GOOGLETRANSLATE(B475, ""en"", ""te"")"),"వెనుకకు")</f>
        <v>వెనుకకు</v>
      </c>
    </row>
    <row r="476">
      <c r="A476" s="4" t="s">
        <v>940</v>
      </c>
      <c r="B476" s="5" t="s">
        <v>941</v>
      </c>
      <c r="C476" s="6" t="s">
        <v>942</v>
      </c>
      <c r="D476" s="6" t="str">
        <f>IFERROR(__xludf.DUMMYFUNCTION("GOOGLETRANSLATE(B476, ""en"", ""hi"")"),"बेस किराया")</f>
        <v>बेस किराया</v>
      </c>
      <c r="E476" s="6" t="str">
        <f>IFERROR(__xludf.DUMMYFUNCTION("GOOGLETRANSLATE(B476, ""en"", ""kn"")"),"ಮೂಲ ದರ")</f>
        <v>ಮೂಲ ದರ</v>
      </c>
      <c r="F476" s="7" t="str">
        <f>IFERROR(__xludf.DUMMYFUNCTION("GOOGLETRANSLATE(B476, ""en"", ""ml"")"),"അടിസ്ഥാന നിരക്ക്")</f>
        <v>അടിസ്ഥാന നിരക്ക്</v>
      </c>
      <c r="G476" s="7" t="str">
        <f>IFERROR(__xludf.DUMMYFUNCTION("GOOGLETRANSLATE(B476, ""en"", ""te"")"),"బేస్ ఫేర్")</f>
        <v>బేస్ ఫేర్</v>
      </c>
    </row>
    <row r="477">
      <c r="A477" s="4" t="s">
        <v>943</v>
      </c>
      <c r="B477" s="5" t="s">
        <v>855</v>
      </c>
      <c r="C477" s="6"/>
      <c r="D477" s="6" t="str">
        <f>IFERROR(__xludf.DUMMYFUNCTION("GOOGLETRANSLATE(B477, ""en"", ""hi"")"),"बनें एक")</f>
        <v>बनें एक</v>
      </c>
      <c r="E477" s="6" t="str">
        <f>IFERROR(__xludf.DUMMYFUNCTION("GOOGLETRANSLATE(B477, ""en"", ""kn"")"),"ಆಗಿ")</f>
        <v>ಆಗಿ</v>
      </c>
      <c r="F477" s="7" t="str">
        <f>IFERROR(__xludf.DUMMYFUNCTION("GOOGLETRANSLATE(B477, ""en"", ""ml"")"),"ഒരു ആകുക")</f>
        <v>ഒരു ആകുക</v>
      </c>
      <c r="G477" s="7" t="str">
        <f>IFERROR(__xludf.DUMMYFUNCTION("GOOGLETRANSLATE(B477, ""en"", ""te"")"),"అవ్వండి")</f>
        <v>అవ్వండి</v>
      </c>
    </row>
    <row r="478">
      <c r="A478" s="4" t="s">
        <v>944</v>
      </c>
      <c r="B478" s="5" t="s">
        <v>945</v>
      </c>
      <c r="C478" s="6" t="s">
        <v>946</v>
      </c>
      <c r="D478" s="6" t="str">
        <f>IFERROR(__xludf.DUMMYFUNCTION("GOOGLETRANSLATE(B478, ""en"", ""hi"")"),"ड्राइवर बनें")</f>
        <v>ड्राइवर बनें</v>
      </c>
      <c r="E478" s="6" t="str">
        <f>IFERROR(__xludf.DUMMYFUNCTION("GOOGLETRANSLATE(B478, ""en"", ""kn"")"),"ಚಾಲಕನಾಗು")</f>
        <v>ಚಾಲಕನಾಗು</v>
      </c>
      <c r="F478" s="7" t="str">
        <f>IFERROR(__xludf.DUMMYFUNCTION("GOOGLETRANSLATE(B478, ""en"", ""ml"")"),"ഒരു ഡ്രൈവർ ആകുക")</f>
        <v>ഒരു ഡ്രൈവർ ആകുക</v>
      </c>
      <c r="G478" s="7" t="str">
        <f>IFERROR(__xludf.DUMMYFUNCTION("GOOGLETRANSLATE(B478, ""en"", ""te"")"),"డ్రైవర్ అవ్వండి")</f>
        <v>డ్రైవర్ అవ్వండి</v>
      </c>
    </row>
    <row r="479">
      <c r="A479" s="4" t="s">
        <v>947</v>
      </c>
      <c r="B479" s="5" t="s">
        <v>948</v>
      </c>
      <c r="C479" s="6" t="s">
        <v>949</v>
      </c>
      <c r="D479" s="6" t="str">
        <f>IFERROR(__xludf.DUMMYFUNCTION("GOOGLETRANSLATE(B479, ""en"", ""hi"")"),"के लिए बुक करें")</f>
        <v>के लिए बुक करें</v>
      </c>
      <c r="E479" s="6" t="str">
        <f>IFERROR(__xludf.DUMMYFUNCTION("GOOGLETRANSLATE(B479, ""en"", ""kn"")"),"ಪುಸ್ತಕಕ್ಕಾಗಿ")</f>
        <v>ಪುಸ್ತಕಕ್ಕಾಗಿ</v>
      </c>
      <c r="F479" s="7" t="str">
        <f>IFERROR(__xludf.DUMMYFUNCTION("GOOGLETRANSLATE(B479, ""en"", ""ml"")"),"ബുക്ക് ചെയ്യുക")</f>
        <v>ബുക്ക് ചെയ്യുക</v>
      </c>
      <c r="G479" s="7" t="str">
        <f>IFERROR(__xludf.DUMMYFUNCTION("GOOGLETRANSLATE(B479, ""en"", ""te"")"),"బుక్ చేయండి")</f>
        <v>బుక్ చేయండి</v>
      </c>
    </row>
    <row r="480">
      <c r="A480" s="4" t="s">
        <v>950</v>
      </c>
      <c r="B480" s="5" t="s">
        <v>951</v>
      </c>
      <c r="C480" s="6" t="s">
        <v>952</v>
      </c>
      <c r="D480" s="6" t="str">
        <f>IFERROR(__xludf.DUMMYFUNCTION("GOOGLETRANSLATE(B480, ""en"", ""hi"")"),"सवारी बुक करें")</f>
        <v>सवारी बुक करें</v>
      </c>
      <c r="E480" s="6" t="str">
        <f>IFERROR(__xludf.DUMMYFUNCTION("GOOGLETRANSLATE(B480, ""en"", ""kn"")"),"ಪುಸ್ತಕ ಸವಾರಿ")</f>
        <v>ಪುಸ್ತಕ ಸವಾರಿ</v>
      </c>
      <c r="F480" s="7" t="str">
        <f>IFERROR(__xludf.DUMMYFUNCTION("GOOGLETRANSLATE(B480, ""en"", ""ml"")"),"പുസ്തക യാത്ര")</f>
        <v>പുസ്തക യാത്ര</v>
      </c>
      <c r="G480" s="7" t="str">
        <f>IFERROR(__xludf.DUMMYFUNCTION("GOOGLETRANSLATE(B480, ""en"", ""te"")"),"బుక్ రైడ్")</f>
        <v>బుక్ రైడ్</v>
      </c>
    </row>
    <row r="481">
      <c r="A481" s="4" t="s">
        <v>953</v>
      </c>
      <c r="B481" s="5" t="s">
        <v>954</v>
      </c>
      <c r="C481" s="6" t="s">
        <v>955</v>
      </c>
      <c r="D481" s="6" t="str">
        <f>IFERROR(__xludf.DUMMYFUNCTION("GOOGLETRANSLATE(B481, ""en"", ""hi"")"),"गलती से बुक हो गया")</f>
        <v>गलती से बुक हो गया</v>
      </c>
      <c r="E481" s="6" t="str">
        <f>IFERROR(__xludf.DUMMYFUNCTION("GOOGLETRANSLATE(B481, ""en"", ""kn"")"),"ತಪ್ಪಾಗಿ ಬುಕ್ ಮಾಡಲಾಗಿದೆ")</f>
        <v>ತಪ್ಪಾಗಿ ಬುಕ್ ಮಾಡಲಾಗಿದೆ</v>
      </c>
      <c r="F481" s="7" t="str">
        <f>IFERROR(__xludf.DUMMYFUNCTION("GOOGLETRANSLATE(B481, ""en"", ""ml"")"),"അബദ്ധത്തിൽ ബുക്ക് ചെയ്തു")</f>
        <v>അബദ്ധത്തിൽ ബുക്ക് ചെയ്തു</v>
      </c>
      <c r="G481" s="7" t="str">
        <f>IFERROR(__xludf.DUMMYFUNCTION("GOOGLETRANSLATE(B481, ""en"", ""te"")"),"పొరపాటున బుక్ చేసుకున్నారు")</f>
        <v>పొరపాటున బుక్ చేసుకున్నారు</v>
      </c>
    </row>
    <row r="482">
      <c r="A482" s="4" t="s">
        <v>956</v>
      </c>
      <c r="B482" s="5" t="s">
        <v>957</v>
      </c>
      <c r="C482" s="6" t="s">
        <v>958</v>
      </c>
      <c r="D482" s="6" t="str">
        <f>IFERROR(__xludf.DUMMYFUNCTION("GOOGLETRANSLATE(B482, ""en"", ""hi"")"),"बुकिंग...")</f>
        <v>बुकिंग...</v>
      </c>
      <c r="E482" s="6" t="str">
        <f>IFERROR(__xludf.DUMMYFUNCTION("GOOGLETRANSLATE(B482, ""en"", ""kn"")"),"ಬುಕಿಂಗ್...")</f>
        <v>ಬುಕಿಂಗ್...</v>
      </c>
      <c r="F482" s="7" t="str">
        <f>IFERROR(__xludf.DUMMYFUNCTION("GOOGLETRANSLATE(B482, ""en"", ""ml"")"),"ബുക്കിംഗ്...")</f>
        <v>ബുക്കിംഗ്...</v>
      </c>
      <c r="G482" s="7" t="str">
        <f>IFERROR(__xludf.DUMMYFUNCTION("GOOGLETRANSLATE(B482, ""en"", ""te"")"),"బుకింగ్...")</f>
        <v>బుకింగ్...</v>
      </c>
    </row>
    <row r="483">
      <c r="A483" s="4" t="s">
        <v>959</v>
      </c>
      <c r="B483" s="5" t="s">
        <v>960</v>
      </c>
      <c r="C483" s="6" t="s">
        <v>961</v>
      </c>
      <c r="D483" s="6" t="str">
        <f>IFERROR(__xludf.DUMMYFUNCTION("GOOGLETRANSLATE(B483, ""en"", ""hi"")"),"बुकिंग संपुष्ट")</f>
        <v>बुकिंग संपुष्ट</v>
      </c>
      <c r="E483" s="6" t="str">
        <f>IFERROR(__xludf.DUMMYFUNCTION("GOOGLETRANSLATE(B483, ""en"", ""kn"")"),"ಬುಕಿಂಗ್ ದೃಢೀಕರಿಸಲಾಗಿದೆ")</f>
        <v>ಬುಕಿಂಗ್ ದೃಢೀಕರಿಸಲಾಗಿದೆ</v>
      </c>
      <c r="F483" s="7" t="str">
        <f>IFERROR(__xludf.DUMMYFUNCTION("GOOGLETRANSLATE(B483, ""en"", ""ml"")"),"ബുക്കിംഗ് സ്ഥിരീകരിച്ചു")</f>
        <v>ബുക്കിംഗ് സ്ഥിരീകരിച്ചു</v>
      </c>
      <c r="G483" s="7" t="str">
        <f>IFERROR(__xludf.DUMMYFUNCTION("GOOGLETRANSLATE(B483, ""en"", ""te"")"),"బుకింగ్ నిర్ధారించబడింది")</f>
        <v>బుకింగ్ నిర్ధారించబడింది</v>
      </c>
    </row>
    <row r="484">
      <c r="A484" s="4" t="s">
        <v>962</v>
      </c>
      <c r="B484" s="5" t="s">
        <v>963</v>
      </c>
      <c r="C484" s="6" t="s">
        <v>964</v>
      </c>
      <c r="D484" s="6" t="str">
        <f>IFERROR(__xludf.DUMMYFUNCTION("GOOGLETRANSLATE(B484, ""en"", ""hi"")"),"बुकिंग त्रुटि")</f>
        <v>बुकिंग त्रुटि</v>
      </c>
      <c r="E484" s="6" t="str">
        <f>IFERROR(__xludf.DUMMYFUNCTION("GOOGLETRANSLATE(B484, ""en"", ""kn"")"),"ಬುಕಿಂಗ್ ದೋಷ")</f>
        <v>ಬುಕಿಂಗ್ ದೋಷ</v>
      </c>
      <c r="F484" s="7" t="str">
        <f>IFERROR(__xludf.DUMMYFUNCTION("GOOGLETRANSLATE(B484, ""en"", ""ml"")"),"ബുക്കിംഗ് പിശക്")</f>
        <v>ബുക്കിംഗ് പിശക്</v>
      </c>
      <c r="G484" s="7" t="str">
        <f>IFERROR(__xludf.DUMMYFUNCTION("GOOGLETRANSLATE(B484, ""en"", ""te"")"),"బుకింగ్ లోపం")</f>
        <v>బుకింగ్ లోపం</v>
      </c>
    </row>
    <row r="485">
      <c r="A485" s="4" t="s">
        <v>965</v>
      </c>
      <c r="B485" s="5" t="s">
        <v>966</v>
      </c>
      <c r="C485" s="6" t="s">
        <v>967</v>
      </c>
      <c r="D485" s="6" t="str">
        <f>IFERROR(__xludf.DUMMYFUNCTION("GOOGLETRANSLATE(B485, ""en"", ""hi"")"),"बुकिंग विफल")</f>
        <v>बुकिंग विफल</v>
      </c>
      <c r="E485" s="6" t="str">
        <f>IFERROR(__xludf.DUMMYFUNCTION("GOOGLETRANSLATE(B485, ""en"", ""kn"")"),"ಬುಕಿಂಗ್ ವಿಫಲವಾಗಿದೆ")</f>
        <v>ಬುಕಿಂಗ್ ವಿಫಲವಾಗಿದೆ</v>
      </c>
      <c r="F485" s="7" t="str">
        <f>IFERROR(__xludf.DUMMYFUNCTION("GOOGLETRANSLATE(B485, ""en"", ""ml"")"),"ബുക്കിംഗ് പരാജയപ്പെട്ടു")</f>
        <v>ബുക്കിംഗ് പരാജയപ്പെട്ടു</v>
      </c>
      <c r="G485" s="7" t="str">
        <f>IFERROR(__xludf.DUMMYFUNCTION("GOOGLETRANSLATE(B485, ""en"", ""te"")"),"బుకింగ్ విఫలమైంది")</f>
        <v>బుకింగ్ విఫలమైంది</v>
      </c>
    </row>
    <row r="486">
      <c r="A486" s="4" t="s">
        <v>968</v>
      </c>
      <c r="B486" s="5" t="s">
        <v>969</v>
      </c>
      <c r="C486" s="6" t="s">
        <v>970</v>
      </c>
      <c r="D486" s="6" t="str">
        <f>IFERROR(__xludf.DUMMYFUNCTION("GOOGLETRANSLATE(B486, ""en"", ""hi"")"),"बुकिंग विकल्प")</f>
        <v>बुकिंग विकल्प</v>
      </c>
      <c r="E486" s="6" t="str">
        <f>IFERROR(__xludf.DUMMYFUNCTION("GOOGLETRANSLATE(B486, ""en"", ""kn"")"),"ಬುಕಿಂಗ್ ಆಯ್ಕೆಗಳು")</f>
        <v>ಬುಕಿಂಗ್ ಆಯ್ಕೆಗಳು</v>
      </c>
      <c r="F486" s="7" t="str">
        <f>IFERROR(__xludf.DUMMYFUNCTION("GOOGLETRANSLATE(B486, ""en"", ""ml"")"),"ബുക്കിംഗ് ഓപ്ഷനുകൾ")</f>
        <v>ബുക്കിംഗ് ഓപ്ഷനുകൾ</v>
      </c>
      <c r="G486" s="7" t="str">
        <f>IFERROR(__xludf.DUMMYFUNCTION("GOOGLETRANSLATE(B486, ""en"", ""te"")"),"బుకింగ్ ఎంపికలు")</f>
        <v>బుకింగ్ ఎంపికలు</v>
      </c>
    </row>
    <row r="487">
      <c r="A487" s="4" t="s">
        <v>971</v>
      </c>
      <c r="B487" s="5" t="s">
        <v>972</v>
      </c>
      <c r="C487" s="6" t="s">
        <v>973</v>
      </c>
      <c r="D487" s="6" t="str">
        <f>IFERROR(__xludf.DUMMYFUNCTION("GOOGLETRANSLATE(B487, ""en"", ""hi"")"),"बुकिंग सफल रही")</f>
        <v>बुकिंग सफल रही</v>
      </c>
      <c r="E487" s="6" t="str">
        <f>IFERROR(__xludf.DUMMYFUNCTION("GOOGLETRANSLATE(B487, ""en"", ""kn"")"),"ಬುಕಿಂಗ್ ಯಶಸ್ವಿಯಾಗಿದೆ")</f>
        <v>ಬುಕಿಂಗ್ ಯಶಸ್ವಿಯಾಗಿದೆ</v>
      </c>
      <c r="F487" s="7" t="str">
        <f>IFERROR(__xludf.DUMMYFUNCTION("GOOGLETRANSLATE(B487, ""en"", ""ml"")"),"ബുക്കിംഗ് വിജയകരം")</f>
        <v>ബുക്കിംഗ് വിജയകരം</v>
      </c>
      <c r="G487" s="7" t="str">
        <f>IFERROR(__xludf.DUMMYFUNCTION("GOOGLETRANSLATE(B487, ""en"", ""te"")"),"బుకింగ్ విజయవంతమైంది")</f>
        <v>బుకింగ్ విజయవంతమైంది</v>
      </c>
    </row>
    <row r="488">
      <c r="A488" s="4" t="s">
        <v>974</v>
      </c>
      <c r="B488" s="5" t="s">
        <v>975</v>
      </c>
      <c r="C488" s="6" t="s">
        <v>976</v>
      </c>
      <c r="D488" s="6" t="str">
        <f>IFERROR(__xludf.DUMMYFUNCTION("GOOGLETRANSLATE(B488, ""en"", ""hi"")"),"बुकिंग समय")</f>
        <v>बुकिंग समय</v>
      </c>
      <c r="E488" s="6" t="str">
        <f>IFERROR(__xludf.DUMMYFUNCTION("GOOGLETRANSLATE(B488, ""en"", ""kn"")"),"ಬುಕಿಂಗ್ ಸಮಯ")</f>
        <v>ಬುಕಿಂಗ್ ಸಮಯ</v>
      </c>
      <c r="F488" s="7" t="str">
        <f>IFERROR(__xludf.DUMMYFUNCTION("GOOGLETRANSLATE(B488, ""en"", ""ml"")"),"ബുക്കിംഗ് സമയം")</f>
        <v>ബുക്കിംഗ് സമയം</v>
      </c>
      <c r="G488" s="7" t="str">
        <f>IFERROR(__xludf.DUMMYFUNCTION("GOOGLETRANSLATE(B488, ""en"", ""te"")"),"బుకింగ్ సమయం")</f>
        <v>బుకింగ్ సమయం</v>
      </c>
    </row>
    <row r="489">
      <c r="A489" s="4" t="s">
        <v>977</v>
      </c>
      <c r="B489" s="5" t="s">
        <v>978</v>
      </c>
      <c r="C489" s="6" t="str">
        <f>IFERROR(__xludf.DUMMYFUNCTION("GOOGLETRANSLATE(B489, ""en"", ""ta"")"),"டிராப் இருப்பிடத்தை உறுதிப்படுத்தவும்")</f>
        <v>டிராப் இருப்பிடத்தை உறுதிப்படுத்தவும்</v>
      </c>
      <c r="D489" s="6" t="str">
        <f>IFERROR(__xludf.DUMMYFUNCTION("GOOGLETRANSLATE(B489, ""en"", ""hi"")"),"ड्रॉप लोकेशन की पुष्टि करें")</f>
        <v>ड्रॉप लोकेशन की पुष्टि करें</v>
      </c>
      <c r="E489" s="6" t="str">
        <f>IFERROR(__xludf.DUMMYFUNCTION("GOOGLETRANSLATE(B489, ""en"", ""kn"")"),"ಡ್ರಾಪ್ ಸ್ಥಳವನ್ನು ದೃಢೀಕರಿಸಿ")</f>
        <v>ಡ್ರಾಪ್ ಸ್ಥಳವನ್ನು ದೃಢೀಕರಿಸಿ</v>
      </c>
      <c r="F489" s="7" t="str">
        <f>IFERROR(__xludf.DUMMYFUNCTION("GOOGLETRANSLATE(B489, ""en"", ""ml"")"),"ഡ്രോപ്പ് ലൊക്കേഷൻ സ്ഥിരീകരിക്കുക")</f>
        <v>ഡ്രോപ്പ് ലൊക്കേഷൻ സ്ഥിരീകരിക്കുക</v>
      </c>
      <c r="G489" s="7" t="str">
        <f>IFERROR(__xludf.DUMMYFUNCTION("GOOGLETRANSLATE(B489, ""en"", ""te"")"),"డ్రాప్ స్థానాన్ని నిర్ధారించండి")</f>
        <v>డ్రాప్ స్థానాన్ని నిర్ధారించండి</v>
      </c>
    </row>
    <row r="490">
      <c r="A490" s="4" t="s">
        <v>979</v>
      </c>
      <c r="B490" s="5" t="s">
        <v>980</v>
      </c>
      <c r="C490" s="6" t="str">
        <f>IFERROR(__xludf.DUMMYFUNCTION("GOOGLETRANSLATE(B490, ""en"", ""ta"")"),"பிக்அப் இடத்தை உறுதிப்படுத்தவும்")</f>
        <v>பிக்அப் இடத்தை உறுதிப்படுத்தவும்</v>
      </c>
      <c r="D490" s="6" t="str">
        <f>IFERROR(__xludf.DUMMYFUNCTION("GOOGLETRANSLATE(B490, ""en"", ""hi"")"),"पिकअप स्थान की पुष्टि करें")</f>
        <v>पिकअप स्थान की पुष्टि करें</v>
      </c>
      <c r="E490" s="6" t="str">
        <f>IFERROR(__xludf.DUMMYFUNCTION("GOOGLETRANSLATE(B490, ""en"", ""kn"")"),"ಪಿಕಪ್ ಸ್ಥಳವನ್ನು ದೃಢೀಕರಿಸಿ")</f>
        <v>ಪಿಕಪ್ ಸ್ಥಳವನ್ನು ದೃಢೀಕರಿಸಿ</v>
      </c>
      <c r="F490" s="7" t="str">
        <f>IFERROR(__xludf.DUMMYFUNCTION("GOOGLETRANSLATE(B490, ""en"", ""ml"")"),"പിക്കപ്പ് ലൊക്കേഷൻ സ്ഥിരീകരിക്കുക")</f>
        <v>പിക്കപ്പ് ലൊക്കേഷൻ സ്ഥിരീകരിക്കുക</v>
      </c>
      <c r="G490" s="7" t="str">
        <f>IFERROR(__xludf.DUMMYFUNCTION("GOOGLETRANSLATE(B490, ""en"", ""te"")"),"పికప్ స్థానాన్ని నిర్ధారించండి")</f>
        <v>పికప్ స్థానాన్ని నిర్ధారించండి</v>
      </c>
    </row>
    <row r="491">
      <c r="A491" s="4" t="s">
        <v>981</v>
      </c>
      <c r="B491" s="5" t="s">
        <v>982</v>
      </c>
      <c r="C491" s="15" t="s">
        <v>983</v>
      </c>
      <c r="D491" s="6" t="str">
        <f>IFERROR(__xludf.DUMMYFUNCTION("GOOGLETRANSLATE(B491, ""en"", ""hi"")"),"रोकें {stop} की पुष्टि करें")</f>
        <v>रोकें {stop} की पुष्टि करें</v>
      </c>
      <c r="E491" s="6" t="str">
        <f>IFERROR(__xludf.DUMMYFUNCTION("GOOGLETRANSLATE(B491, ""en"", ""kn"")"),"ನಿಲ್ಲಿಸುವುದನ್ನು ದೃಢೀಕರಿಸಿ {ನಿಲುಗಡೆ}")</f>
        <v>ನಿಲ್ಲಿಸುವುದನ್ನು ದೃಢೀಕರಿಸಿ {ನಿಲುಗಡೆ}</v>
      </c>
      <c r="F491" s="7" t="str">
        <f>IFERROR(__xludf.DUMMYFUNCTION("GOOGLETRANSLATE(B491, ""en"", ""ml"")"),"നിർത്തുക {നിർത്തുക} സ്ഥിരീകരിക്കുക")</f>
        <v>നിർത്തുക {നിർത്തുക} സ്ഥിരീകരിക്കുക</v>
      </c>
      <c r="G491" s="7" t="str">
        <f>IFERROR(__xludf.DUMMYFUNCTION("GOOGLETRANSLATE(B491, ""en"", ""te"")"),"ఆపు {stop} ని నిర్ధారించండి")</f>
        <v>ఆపు {stop} ని నిర్ధారించండి</v>
      </c>
    </row>
    <row r="492">
      <c r="A492" s="4" t="s">
        <v>984</v>
      </c>
      <c r="B492" s="5" t="s">
        <v>985</v>
      </c>
      <c r="C492" s="6" t="s">
        <v>986</v>
      </c>
      <c r="D492" s="6" t="str">
        <f>IFERROR(__xludf.DUMMYFUNCTION("GOOGLETRANSLATE(B492, ""en"", ""hi"")"),"गणना जारी है...")</f>
        <v>गणना जारी है...</v>
      </c>
      <c r="E492" s="6" t="str">
        <f>IFERROR(__xludf.DUMMYFUNCTION("GOOGLETRANSLATE(B492, ""en"", ""kn"")"),"ಲೆಕ್ಕ ಹಾಕಲಾಗುತ್ತಿದೆ...")</f>
        <v>ಲೆಕ್ಕ ಹಾಕಲಾಗುತ್ತಿದೆ...</v>
      </c>
      <c r="F492" s="7" t="str">
        <f>IFERROR(__xludf.DUMMYFUNCTION("GOOGLETRANSLATE(B492, ""en"", ""ml"")"),"കണക്കാക്കുന്നു...")</f>
        <v>കണക്കാക്കുന്നു...</v>
      </c>
      <c r="G492" s="7" t="str">
        <f>IFERROR(__xludf.DUMMYFUNCTION("GOOGLETRANSLATE(B492, ""en"", ""te"")"),"లెక్కిస్తోంది...")</f>
        <v>లెక్కిస్తోంది...</v>
      </c>
    </row>
    <row r="493">
      <c r="A493" s="4" t="s">
        <v>987</v>
      </c>
      <c r="B493" s="5" t="s">
        <v>988</v>
      </c>
      <c r="C493" s="6" t="s">
        <v>989</v>
      </c>
      <c r="D493" s="6" t="str">
        <f>IFERROR(__xludf.DUMMYFUNCTION("GOOGLETRANSLATE(B493, ""en"", ""hi"")"),"ड्राइवर को बुलाओ")</f>
        <v>ड्राइवर को बुलाओ</v>
      </c>
      <c r="E493" s="6" t="str">
        <f>IFERROR(__xludf.DUMMYFUNCTION("GOOGLETRANSLATE(B493, ""en"", ""kn"")"),"ಚಾಲಕನಿಗೆ ಕರೆ ಮಾಡಿ")</f>
        <v>ಚಾಲಕನಿಗೆ ಕರೆ ಮಾಡಿ</v>
      </c>
      <c r="F493" s="7" t="str">
        <f>IFERROR(__xludf.DUMMYFUNCTION("GOOGLETRANSLATE(B493, ""en"", ""ml"")"),"ഡ്രൈവറെ വിളിക്കുക")</f>
        <v>ഡ്രൈവറെ വിളിക്കുക</v>
      </c>
      <c r="G493" s="7" t="str">
        <f>IFERROR(__xludf.DUMMYFUNCTION("GOOGLETRANSLATE(B493, ""en"", ""te"")"),"డ్రైవర్‌కు కాల్ చేయండి")</f>
        <v>డ్రైవర్‌కు కాల్ చేయండి</v>
      </c>
    </row>
    <row r="494">
      <c r="A494" s="4" t="s">
        <v>990</v>
      </c>
      <c r="B494" s="5" t="s">
        <v>991</v>
      </c>
      <c r="C494" s="6" t="str">
        <f>IFERROR(__xludf.DUMMYFUNCTION("GOOGLETRANSLATE(B494, ""en"", ""ta"")"),"சிறிது நேரத்தில் டிரைவருடன் அழைப்பு தொடங்கியது.")</f>
        <v>சிறிது நேரத்தில் டிரைவருடன் அழைப்பு தொடங்கியது.</v>
      </c>
      <c r="D494" s="6" t="str">
        <f>IFERROR(__xludf.DUMMYFUNCTION("GOOGLETRANSLATE(B494, ""en"", ""hi"")"),"ड्राइवर से जल्द ही संपर्क किया जाएगा।")</f>
        <v>ड्राइवर से जल्द ही संपर्क किया जाएगा।</v>
      </c>
      <c r="E494" s="6" t="str">
        <f>IFERROR(__xludf.DUMMYFUNCTION("GOOGLETRANSLATE(B494, ""en"", ""kn"")"),"ಸ್ವಲ್ಪ ಹೊತ್ತಿನಲ್ಲೇ ಚಾಲಕನೊಂದಿಗೆ ಕರೆ ಆರಂಭವಾಯಿತು.")</f>
        <v>ಸ್ವಲ್ಪ ಹೊತ್ತಿನಲ್ಲೇ ಚಾಲಕನೊಂದಿಗೆ ಕರೆ ಆರಂಭವಾಯಿತು.</v>
      </c>
      <c r="F494" s="7" t="str">
        <f>IFERROR(__xludf.DUMMYFUNCTION("GOOGLETRANSLATE(B494, ""en"", ""ml"")"),"ഡ്രൈവറുമായി ഉടൻ തന്നെ കോൾ ആരംഭിച്ചു.")</f>
        <v>ഡ്രൈവറുമായി ഉടൻ തന്നെ കോൾ ആരംഭിച്ചു.</v>
      </c>
      <c r="G494" s="7" t="str">
        <f>IFERROR(__xludf.DUMMYFUNCTION("GOOGLETRANSLATE(B494, ""en"", ""te"")"),"కొద్దిసేపటికే డ్రైవర్‌తో కాల్ ప్రారంభమైంది.")</f>
        <v>కొద్దిసేపటికే డ్రైవర్‌తో కాల్ ప్రారంభమైంది.</v>
      </c>
    </row>
    <row r="495">
      <c r="A495" s="4" t="s">
        <v>992</v>
      </c>
      <c r="B495" s="5" t="s">
        <v>993</v>
      </c>
      <c r="C495" s="6" t="str">
        <f>IFERROR(__xludf.DUMMYFUNCTION("GOOGLETRANSLATE(B495, ""en"", ""ta"")"),"ஓட்டுநரை அழைக்கிறது")</f>
        <v>ஓட்டுநரை அழைக்கிறது</v>
      </c>
      <c r="D495" s="6" t="str">
        <f>IFERROR(__xludf.DUMMYFUNCTION("GOOGLETRANSLATE(B495, ""en"", ""hi"")"),"ड्राइवर को फोन करना")</f>
        <v>ड्राइवर को फोन करना</v>
      </c>
      <c r="E495" s="6" t="str">
        <f>IFERROR(__xludf.DUMMYFUNCTION("GOOGLETRANSLATE(B495, ""en"", ""kn"")"),"ಚಾಲಕನಿಗೆ ಕರೆ ಮಾಡಲಾಗುತ್ತಿದೆ")</f>
        <v>ಚಾಲಕನಿಗೆ ಕರೆ ಮಾಡಲಾಗುತ್ತಿದೆ</v>
      </c>
      <c r="F495" s="7" t="str">
        <f>IFERROR(__xludf.DUMMYFUNCTION("GOOGLETRANSLATE(B495, ""en"", ""ml"")"),"ഡ്രൈവറെ വിളിക്കുന്നു")</f>
        <v>ഡ്രൈവറെ വിളിക്കുന്നു</v>
      </c>
      <c r="G495" s="7" t="str">
        <f>IFERROR(__xludf.DUMMYFUNCTION("GOOGLETRANSLATE(B495, ""en"", ""te"")"),"డ్రైవర్‌కు కాల్ చేస్తోంది")</f>
        <v>డ్రైవర్‌కు కాల్ చేస్తోంది</v>
      </c>
    </row>
    <row r="496">
      <c r="A496" s="4" t="s">
        <v>994</v>
      </c>
      <c r="B496" s="5" t="s">
        <v>995</v>
      </c>
      <c r="C496" s="6" t="s">
        <v>996</v>
      </c>
      <c r="D496" s="6" t="str">
        <f>IFERROR(__xludf.DUMMYFUNCTION("GOOGLETRANSLATE(B496, ""en"", ""hi"")"),"बुकिंग रद्द करें")</f>
        <v>बुकिंग रद्द करें</v>
      </c>
      <c r="E496" s="6" t="str">
        <f>IFERROR(__xludf.DUMMYFUNCTION("GOOGLETRANSLATE(B496, ""en"", ""kn"")"),"ಬುಕಿಂಗ್ ರದ್ದುಗೊಳಿಸಿ")</f>
        <v>ಬುಕಿಂಗ್ ರದ್ದುಗೊಳಿಸಿ</v>
      </c>
      <c r="F496" s="7" t="str">
        <f>IFERROR(__xludf.DUMMYFUNCTION("GOOGLETRANSLATE(B496, ""en"", ""ml"")"),"ബുക്കിംഗ് റദ്ദാക്കുക")</f>
        <v>ബുക്കിംഗ് റദ്ദാക്കുക</v>
      </c>
      <c r="G496" s="7" t="str">
        <f>IFERROR(__xludf.DUMMYFUNCTION("GOOGLETRANSLATE(B496, ""en"", ""te"")"),"బుకింగ్ రద్దు చేయి")</f>
        <v>బుకింగ్ రద్దు చేయి</v>
      </c>
    </row>
    <row r="497">
      <c r="A497" s="4" t="s">
        <v>997</v>
      </c>
      <c r="B497" s="5" t="s">
        <v>998</v>
      </c>
      <c r="C497" s="6" t="s">
        <v>871</v>
      </c>
      <c r="D497" s="6" t="str">
        <f>IFERROR(__xludf.DUMMYFUNCTION("GOOGLETRANSLATE(B497, ""en"", ""hi"")"),"रद्द कर दिया गया")</f>
        <v>रद्द कर दिया गया</v>
      </c>
      <c r="E497" s="6" t="str">
        <f>IFERROR(__xludf.DUMMYFUNCTION("GOOGLETRANSLATE(B497, ""en"", ""kn"")"),"ರದ್ದುಗೊಳಿಸಲಾಗಿದೆ")</f>
        <v>ರದ್ದುಗೊಳಿಸಲಾಗಿದೆ</v>
      </c>
      <c r="F497" s="7" t="str">
        <f>IFERROR(__xludf.DUMMYFUNCTION("GOOGLETRANSLATE(B497, ""en"", ""ml"")"),"റദ്ദാക്കി")</f>
        <v>റദ്ദാക്കി</v>
      </c>
      <c r="G497" s="7" t="str">
        <f>IFERROR(__xludf.DUMMYFUNCTION("GOOGLETRANSLATE(B497, ""en"", ""te"")"),"రద్దు చేయబడింది")</f>
        <v>రద్దు చేయబడింది</v>
      </c>
    </row>
    <row r="498">
      <c r="A498" s="4" t="s">
        <v>999</v>
      </c>
      <c r="B498" s="5" t="s">
        <v>1000</v>
      </c>
      <c r="C498" s="6" t="s">
        <v>1001</v>
      </c>
      <c r="D498" s="6" t="str">
        <f>IFERROR(__xludf.DUMMYFUNCTION("GOOGLETRANSLATE(B498, ""en"", ""hi"")"),"ड्राइवर द्वारा रद्द किया गया")</f>
        <v>ड्राइवर द्वारा रद्द किया गया</v>
      </c>
      <c r="E498" s="6" t="str">
        <f>IFERROR(__xludf.DUMMYFUNCTION("GOOGLETRANSLATE(B498, ""en"", ""kn"")"),"ಚಾಲಕ ರದ್ದುಗೊಳಿಸಿದ್ದಾರೆ")</f>
        <v>ಚಾಲಕ ರದ್ದುಗೊಳಿಸಿದ್ದಾರೆ</v>
      </c>
      <c r="F498" s="7" t="str">
        <f>IFERROR(__xludf.DUMMYFUNCTION("GOOGLETRANSLATE(B498, ""en"", ""ml"")"),"ഡ്രൈവർ റദ്ദാക്കി")</f>
        <v>ഡ്രൈവർ റദ്ദാക്കി</v>
      </c>
      <c r="G498" s="7" t="str">
        <f>IFERROR(__xludf.DUMMYFUNCTION("GOOGLETRANSLATE(B498, ""en"", ""te"")"),"డ్రైవర్ రద్దు చేసారు")</f>
        <v>డ్రైవర్ రద్దు చేసారు</v>
      </c>
    </row>
    <row r="499">
      <c r="A499" s="4" t="s">
        <v>1002</v>
      </c>
      <c r="B499" s="5" t="s">
        <v>1003</v>
      </c>
      <c r="C499" s="6" t="s">
        <v>1004</v>
      </c>
      <c r="D499" s="6" t="str">
        <f>IFERROR(__xludf.DUMMYFUNCTION("GOOGLETRANSLATE(B499, ""en"", ""hi"")"),"आपके द्वारा रद्द किया गया")</f>
        <v>आपके द्वारा रद्द किया गया</v>
      </c>
      <c r="E499" s="6" t="str">
        <f>IFERROR(__xludf.DUMMYFUNCTION("GOOGLETRANSLATE(B499, ""en"", ""kn"")"),"ನೀವು ರದ್ದುಗೊಳಿಸಿದ್ದೀರಿ")</f>
        <v>ನೀವು ರದ್ದುಗೊಳಿಸಿದ್ದೀರಿ</v>
      </c>
      <c r="F499" s="7" t="str">
        <f>IFERROR(__xludf.DUMMYFUNCTION("GOOGLETRANSLATE(B499, ""en"", ""ml"")"),"നിങ്ങൾ റദ്ദാക്കി")</f>
        <v>നിങ്ങൾ റദ്ദാക്കി</v>
      </c>
      <c r="G499" s="7" t="str">
        <f>IFERROR(__xludf.DUMMYFUNCTION("GOOGLETRANSLATE(B499, ""en"", ""te"")"),"మీరు రద్దు చేసారు")</f>
        <v>మీరు రద్దు చేసారు</v>
      </c>
    </row>
    <row r="500">
      <c r="A500" s="4" t="s">
        <v>1005</v>
      </c>
      <c r="B500" s="5" t="s">
        <v>1006</v>
      </c>
      <c r="C500" s="6" t="str">
        <f>IFERROR(__xludf.DUMMYFUNCTION("GOOGLETRANSLATE(B500, ""en"", ""ta"")"),"ஒரு இயக்கி ஒதுக்கப்பட்ட பிறகு, நீங்கள் பிக்அப் இடத்தைத் திருத்த முடியாது.")</f>
        <v>ஒரு இயக்கி ஒதுக்கப்பட்ட பிறகு, நீங்கள் பிக்அப் இடத்தைத் திருத்த முடியாது.</v>
      </c>
      <c r="D500" s="6" t="str">
        <f>IFERROR(__xludf.DUMMYFUNCTION("GOOGLETRANSLATE(B500, ""en"", ""hi"")"),"ड्राइवर को असाइन किए जाने के बाद आप पिकअप लोकेशन को एडिट नहीं कर सकते।")</f>
        <v>ड्राइवर को असाइन किए जाने के बाद आप पिकअप लोकेशन को एडिट नहीं कर सकते।</v>
      </c>
      <c r="E500" s="6" t="str">
        <f>IFERROR(__xludf.DUMMYFUNCTION("GOOGLETRANSLATE(B500, ""en"", ""kn"")"),"ಚಾಲಕವನ್ನು ನಿಯೋಜಿಸಿದ ನಂತರ ನೀವು ಪಿಕಪ್ ಸ್ಥಳವನ್ನು ಸಂಪಾದಿಸಲು ಸಾಧ್ಯವಿಲ್ಲ.")</f>
        <v>ಚಾಲಕವನ್ನು ನಿಯೋಜಿಸಿದ ನಂತರ ನೀವು ಪಿಕಪ್ ಸ್ಥಳವನ್ನು ಸಂಪಾದಿಸಲು ಸಾಧ್ಯವಿಲ್ಲ.</v>
      </c>
      <c r="F500" s="7" t="str">
        <f>IFERROR(__xludf.DUMMYFUNCTION("GOOGLETRANSLATE(B500, ""en"", ""ml"")"),"ഒരു ഡ്രൈവർ നിയോഗിച്ചുകഴിഞ്ഞാൽ നിങ്ങൾക്ക് പിക്കപ്പ് ലൊക്കേഷൻ എഡിറ്റ് ചെയ്യാൻ കഴിയില്ല.")</f>
        <v>ഒരു ഡ്രൈവർ നിയോഗിച്ചുകഴിഞ്ഞാൽ നിങ്ങൾക്ക് പിക്കപ്പ് ലൊക്കേഷൻ എഡിറ്റ് ചെയ്യാൻ കഴിയില്ല.</v>
      </c>
      <c r="G500" s="7" t="str">
        <f>IFERROR(__xludf.DUMMYFUNCTION("GOOGLETRANSLATE(B500, ""en"", ""te"")"),"డ్రైవర్ కేటాయించిన తర్వాత మీరు పికప్ స్థానాన్ని సవరించలేరు.")</f>
        <v>డ్రైవర్ కేటాయించిన తర్వాత మీరు పికప్ స్థానాన్ని సవరించలేరు.</v>
      </c>
    </row>
    <row r="501">
      <c r="A501" s="4" t="s">
        <v>1007</v>
      </c>
      <c r="B501" s="5" t="s">
        <v>1008</v>
      </c>
      <c r="C501" s="6" t="s">
        <v>1008</v>
      </c>
      <c r="D501" s="6" t="str">
        <f>IFERROR(__xludf.DUMMYFUNCTION("GOOGLETRANSLATE(B501, ""en"", ""hi"")"),"हम आपको ढूंढ नहीं पा रहे हैं। पिकअप स्थान निर्धारित करें।")</f>
        <v>हम आपको ढूंढ नहीं पा रहे हैं। पिकअप स्थान निर्धारित करें।</v>
      </c>
      <c r="E501" s="6" t="str">
        <f>IFERROR(__xludf.DUMMYFUNCTION("GOOGLETRANSLATE(B501, ""en"", ""kn"")"),"ನಮಗೆ ನಿಮ್ಮನ್ನು ಹುಡುಕಲು ಸಾಧ್ಯವಿಲ್ಲ. ಪಿಕಪ್ ಸ್ಥಳವನ್ನು ಹೊಂದಿಸಿ")</f>
        <v>ನಮಗೆ ನಿಮ್ಮನ್ನು ಹುಡುಕಲು ಸಾಧ್ಯವಿಲ್ಲ. ಪಿಕಪ್ ಸ್ಥಳವನ್ನು ಹೊಂದಿಸಿ</v>
      </c>
      <c r="F501" s="7" t="str">
        <f>IFERROR(__xludf.DUMMYFUNCTION("GOOGLETRANSLATE(B501, ""en"", ""ml"")"),"ഞങ്ങൾക്ക് നിങ്ങളെ കണ്ടെത്താനായില്ല. പിക്കപ്പ് ലൊക്കേഷൻ സജ്ജീകരിക്കുക.")</f>
        <v>ഞങ്ങൾക്ക് നിങ്ങളെ കണ്ടെത്താനായില്ല. പിക്കപ്പ് ലൊക്കേഷൻ സജ്ജീകരിക്കുക.</v>
      </c>
      <c r="G501" s="7" t="str">
        <f>IFERROR(__xludf.DUMMYFUNCTION("GOOGLETRANSLATE(B501, ""en"", ""te"")"),"మేము మిమ్మల్ని కనుగొనలేకపోయాము. పికప్ స్థానాన్ని సెట్ చేయండి")</f>
        <v>మేము మిమ్మల్ని కనుగొనలేకపోయాము. పికప్ స్థానాన్ని సెట్ చేయండి</v>
      </c>
    </row>
    <row r="502">
      <c r="A502" s="4" t="s">
        <v>1009</v>
      </c>
      <c r="B502" s="5" t="s">
        <v>1010</v>
      </c>
      <c r="C502" s="6" t="s">
        <v>1011</v>
      </c>
      <c r="D502" s="6" t="str">
        <f>IFERROR(__xludf.DUMMYFUNCTION("GOOGLETRANSLATE(B502, ""en"", ""hi"")"),"क्षमता")</f>
        <v>क्षमता</v>
      </c>
      <c r="E502" s="6" t="str">
        <f>IFERROR(__xludf.DUMMYFUNCTION("GOOGLETRANSLATE(B502, ""en"", ""kn"")"),"ಸಾಮರ್ಥ್ಯ")</f>
        <v>ಸಾಮರ್ಥ್ಯ</v>
      </c>
      <c r="F502" s="7" t="str">
        <f>IFERROR(__xludf.DUMMYFUNCTION("GOOGLETRANSLATE(B502, ""en"", ""ml"")"),"ശേഷി")</f>
        <v>ശേഷി</v>
      </c>
      <c r="G502" s="7" t="str">
        <f>IFERROR(__xludf.DUMMYFUNCTION("GOOGLETRANSLATE(B502, ""en"", ""te"")"),"సామర్థ్యం")</f>
        <v>సామర్థ్యం</v>
      </c>
    </row>
    <row r="503">
      <c r="A503" s="4" t="s">
        <v>1012</v>
      </c>
      <c r="B503" s="5" t="s">
        <v>1013</v>
      </c>
      <c r="C503" s="6" t="s">
        <v>1014</v>
      </c>
      <c r="D503" s="6" t="str">
        <f>IFERROR(__xludf.DUMMYFUNCTION("GOOGLETRANSLATE(B503, ""en"", ""hi"")"),"कार्ड")</f>
        <v>कार्ड</v>
      </c>
      <c r="E503" s="6" t="str">
        <f>IFERROR(__xludf.DUMMYFUNCTION("GOOGLETRANSLATE(B503, ""en"", ""kn"")"),"ಕಾರ್ಡ್")</f>
        <v>ಕಾರ್ಡ್</v>
      </c>
      <c r="F503" s="7" t="str">
        <f>IFERROR(__xludf.DUMMYFUNCTION("GOOGLETRANSLATE(B503, ""en"", ""ml"")"),"കാർഡ്")</f>
        <v>കാർഡ്</v>
      </c>
      <c r="G503" s="7" t="str">
        <f>IFERROR(__xludf.DUMMYFUNCTION("GOOGLETRANSLATE(B503, ""en"", ""te"")"),"కార్డ్")</f>
        <v>కార్డ్</v>
      </c>
    </row>
    <row r="504">
      <c r="A504" s="4" t="s">
        <v>1015</v>
      </c>
      <c r="B504" s="5" t="s">
        <v>1016</v>
      </c>
      <c r="C504" s="6" t="s">
        <v>1017</v>
      </c>
      <c r="D504" s="6" t="str">
        <f>IFERROR(__xludf.DUMMYFUNCTION("GOOGLETRANSLATE(B504, ""en"", ""hi"")"),"नकद")</f>
        <v>नकद</v>
      </c>
      <c r="E504" s="6" t="str">
        <f>IFERROR(__xludf.DUMMYFUNCTION("GOOGLETRANSLATE(B504, ""en"", ""kn"")"),"ನಗದು")</f>
        <v>ನಗದು</v>
      </c>
      <c r="F504" s="7" t="str">
        <f>IFERROR(__xludf.DUMMYFUNCTION("GOOGLETRANSLATE(B504, ""en"", ""ml"")"),"പണം")</f>
        <v>പണം</v>
      </c>
      <c r="G504" s="7" t="str">
        <f>IFERROR(__xludf.DUMMYFUNCTION("GOOGLETRANSLATE(B504, ""en"", ""te"")"),"నగదు")</f>
        <v>నగదు</v>
      </c>
    </row>
    <row r="505">
      <c r="A505" s="4" t="s">
        <v>1018</v>
      </c>
      <c r="B505" s="5" t="s">
        <v>1019</v>
      </c>
      <c r="C505" s="6" t="s">
        <v>1020</v>
      </c>
      <c r="D505" s="6" t="str">
        <f>IFERROR(__xludf.DUMMYFUNCTION("GOOGLETRANSLATE(B505, ""en"", ""hi"")"),"भुगतान विधि बदलें")</f>
        <v>भुगतान विधि बदलें</v>
      </c>
      <c r="E505" s="6" t="str">
        <f>IFERROR(__xludf.DUMMYFUNCTION("GOOGLETRANSLATE(B505, ""en"", ""kn"")"),"ಪಾವತಿ ವಿಧಾನವನ್ನು ಬದಲಾಯಿಸಿ")</f>
        <v>ಪಾವತಿ ವಿಧಾನವನ್ನು ಬದಲಾಯಿಸಿ</v>
      </c>
      <c r="F505" s="7" t="str">
        <f>IFERROR(__xludf.DUMMYFUNCTION("GOOGLETRANSLATE(B505, ""en"", ""ml"")"),"പേയ്‌മെന്റ് രീതി മാറ്റുക")</f>
        <v>പേയ്‌മെന്റ് രീതി മാറ്റുക</v>
      </c>
      <c r="G505" s="7" t="str">
        <f>IFERROR(__xludf.DUMMYFUNCTION("GOOGLETRANSLATE(B505, ""en"", ""te"")"),"చెల్లింపు పద్ధతిని మార్చండి")</f>
        <v>చెల్లింపు పద్ధతిని మార్చండి</v>
      </c>
    </row>
    <row r="506">
      <c r="A506" s="4" t="s">
        <v>1021</v>
      </c>
      <c r="B506" s="5" t="s">
        <v>1022</v>
      </c>
      <c r="C506" s="6" t="s">
        <v>1023</v>
      </c>
      <c r="D506" s="6" t="str">
        <f>IFERROR(__xludf.DUMMYFUNCTION("GOOGLETRANSLATE(B506, ""en"", ""hi"")"),"""हमेशा"" या ""ऐप का उपयोग करते समय"" में से कोई एक विकल्प चुनें।")</f>
        <v>"हमेशा" या "ऐप का उपयोग करते समय" में से कोई एक विकल्प चुनें।</v>
      </c>
      <c r="E506" s="6" t="str">
        <f>IFERROR(__xludf.DUMMYFUNCTION("GOOGLETRANSLATE(B506, ""en"", ""kn"")"),"""ಯಾವಾಗಲೂ"" ಅಥವಾ ""ಆ್ಯಪ್ ಬಳಸುವಾಗ"" ಆಯ್ಕೆಮಾಡಿ.")</f>
        <v>"ಯಾವಾಗಲೂ" ಅಥವಾ "ಆ್ಯಪ್ ಬಳಸುವಾಗ" ಆಯ್ಕೆಮಾಡಿ.</v>
      </c>
      <c r="F506" s="7" t="str">
        <f>IFERROR(__xludf.DUMMYFUNCTION("GOOGLETRANSLATE(B506, ""en"", ""ml"")"),"""എല്ലായ്പ്പോഴും"" അല്ലെങ്കിൽ ""ആപ്പ് ഉപയോഗിക്കുമ്പോൾ"" തിരഞ്ഞെടുക്കുക.")</f>
        <v>"എല്ലായ്പ്പോഴും" അല്ലെങ്കിൽ "ആപ്പ് ഉപയോഗിക്കുമ്പോൾ" തിരഞ്ഞെടുക്കുക.</v>
      </c>
      <c r="G506" s="7" t="str">
        <f>IFERROR(__xludf.DUMMYFUNCTION("GOOGLETRANSLATE(B506, ""en"", ""te"")"),"""ఎల్లప్పుడూ"" లేదా ""యాప్‌ను ఉపయోగిస్తున్నప్పుడు"" ఎంచుకోండి")</f>
        <v>"ఎల్లప్పుడూ" లేదా "యాప్‌ను ఉపయోగిస్తున్నప్పుడు" ఎంచుకోండి</v>
      </c>
    </row>
    <row r="507">
      <c r="A507" s="4" t="s">
        <v>1024</v>
      </c>
      <c r="B507" s="5" t="s">
        <v>1025</v>
      </c>
      <c r="C507" s="6" t="s">
        <v>1026</v>
      </c>
      <c r="D507" s="6" t="str">
        <f>IFERROR(__xludf.DUMMYFUNCTION("GOOGLETRANSLATE(B507, ""en"", ""hi"")"),"अपनी भाषा चुनें")</f>
        <v>अपनी भाषा चुनें</v>
      </c>
      <c r="E507" s="6" t="str">
        <f>IFERROR(__xludf.DUMMYFUNCTION("GOOGLETRANSLATE(B507, ""en"", ""kn"")"),"ನಿಮ್ಮ ಭಾಷೆಯನ್ನು ಆರಿಸಿ")</f>
        <v>ನಿಮ್ಮ ಭಾಷೆಯನ್ನು ಆರಿಸಿ</v>
      </c>
      <c r="F507" s="7" t="str">
        <f>IFERROR(__xludf.DUMMYFUNCTION("GOOGLETRANSLATE(B507, ""en"", ""ml"")"),"നിങ്ങളുടെ ഭാഷ തിരഞ്ഞെടുക്കുക")</f>
        <v>നിങ്ങളുടെ ഭാഷ തിരഞ്ഞെടുക്കുക</v>
      </c>
      <c r="G507" s="7" t="str">
        <f>IFERROR(__xludf.DUMMYFUNCTION("GOOGLETRANSLATE(B507, ""en"", ""te"")"),"మీ భాషను ఎంచుకోండి")</f>
        <v>మీ భాషను ఎంచుకోండి</v>
      </c>
    </row>
    <row r="508">
      <c r="A508" s="4" t="s">
        <v>1027</v>
      </c>
      <c r="B508" s="5" t="s">
        <v>1028</v>
      </c>
      <c r="C508" s="6" t="s">
        <v>1029</v>
      </c>
      <c r="D508" s="6" t="str">
        <f>IFERROR(__xludf.DUMMYFUNCTION("GOOGLETRANSLATE(B508, ""en"", ""hi"")"),"स्पष्ट")</f>
        <v>स्पष्ट</v>
      </c>
      <c r="E508" s="6" t="str">
        <f>IFERROR(__xludf.DUMMYFUNCTION("GOOGLETRANSLATE(B508, ""en"", ""kn"")"),"ಸ್ಪಷ್ಟ")</f>
        <v>ಸ್ಪಷ್ಟ</v>
      </c>
      <c r="F508" s="7" t="str">
        <f>IFERROR(__xludf.DUMMYFUNCTION("GOOGLETRANSLATE(B508, ""en"", ""ml"")"),"വ്യക്തം")</f>
        <v>വ്യക്തം</v>
      </c>
      <c r="G508" s="7" t="str">
        <f>IFERROR(__xludf.DUMMYFUNCTION("GOOGLETRANSLATE(B508, ""en"", ""te"")"),"క్లియర్")</f>
        <v>క్లియర్</v>
      </c>
    </row>
    <row r="509">
      <c r="A509" s="4" t="s">
        <v>1030</v>
      </c>
      <c r="B509" s="5" t="s">
        <v>1031</v>
      </c>
      <c r="C509" s="6" t="s">
        <v>1032</v>
      </c>
      <c r="D509" s="6" t="str">
        <f>IFERROR(__xludf.DUMMYFUNCTION("GOOGLETRANSLATE(B509, ""en"", ""hi"")"),"जल्द ही")</f>
        <v>जल्द ही</v>
      </c>
      <c r="E509" s="6" t="str">
        <f>IFERROR(__xludf.DUMMYFUNCTION("GOOGLETRANSLATE(B509, ""en"", ""kn"")"),"ಶೀಘ್ರದಲ್ಲೇ")</f>
        <v>ಶೀಘ್ರದಲ್ಲೇ</v>
      </c>
      <c r="F509" s="7" t="str">
        <f>IFERROR(__xludf.DUMMYFUNCTION("GOOGLETRANSLATE(B509, ""en"", ""ml"")"),"ഉടൻ")</f>
        <v>ഉടൻ</v>
      </c>
      <c r="G509" s="7" t="str">
        <f>IFERROR(__xludf.DUMMYFUNCTION("GOOGLETRANSLATE(B509, ""en"", ""te"")"),"త్వరలో")</f>
        <v>త్వరలో</v>
      </c>
    </row>
    <row r="510">
      <c r="A510" s="4" t="s">
        <v>1033</v>
      </c>
      <c r="B510" s="5" t="s">
        <v>1034</v>
      </c>
      <c r="C510" s="6" t="s">
        <v>1035</v>
      </c>
      <c r="D510" s="6" t="str">
        <f>IFERROR(__xludf.DUMMYFUNCTION("GOOGLETRANSLATE(B510, ""en"", ""hi"")"),"टिप्पणियां (वैकल्पिक)")</f>
        <v>टिप्पणियां (वैकल्पिक)</v>
      </c>
      <c r="E510" s="6" t="str">
        <f>IFERROR(__xludf.DUMMYFUNCTION("GOOGLETRANSLATE(B510, ""en"", ""kn"")"),"ಕಾಮೆಂಟ್‌ಗಳು (ಐಚ್ಛಿಕ)")</f>
        <v>ಕಾಮೆಂಟ್‌ಗಳು (ಐಚ್ಛಿಕ)</v>
      </c>
      <c r="F510" s="7" t="str">
        <f>IFERROR(__xludf.DUMMYFUNCTION("GOOGLETRANSLATE(B510, ""en"", ""ml"")"),"അഭിപ്രായങ്ങൾ (ഓപ്ഷണൽ)")</f>
        <v>അഭിപ്രായങ്ങൾ (ഓപ്ഷണൽ)</v>
      </c>
      <c r="G510" s="7" t="str">
        <f>IFERROR(__xludf.DUMMYFUNCTION("GOOGLETRANSLATE(B510, ""en"", ""te"")"),"వ్యాఖ్యలు (ఐచ్ఛికం)")</f>
        <v>వ్యాఖ్యలు (ఐచ్ఛికం)</v>
      </c>
    </row>
    <row r="511">
      <c r="A511" s="4" t="s">
        <v>1036</v>
      </c>
      <c r="B511" s="5" t="s">
        <v>1037</v>
      </c>
      <c r="C511" s="6" t="s">
        <v>1038</v>
      </c>
      <c r="D511" s="6" t="str">
        <f>IFERROR(__xludf.DUMMYFUNCTION("GOOGLETRANSLATE(B511, ""en"", ""hi"")"),"कंपनी की जानकारी")</f>
        <v>कंपनी की जानकारी</v>
      </c>
      <c r="E511" s="6" t="str">
        <f>IFERROR(__xludf.DUMMYFUNCTION("GOOGLETRANSLATE(B511, ""en"", ""kn"")"),"ಕಂಪನಿ ಮಾಹಿತಿ")</f>
        <v>ಕಂಪನಿ ಮಾಹಿತಿ</v>
      </c>
      <c r="F511" s="7" t="str">
        <f>IFERROR(__xludf.DUMMYFUNCTION("GOOGLETRANSLATE(B511, ""en"", ""ml"")"),"കമ്പനി വിവരങ്ങൾ")</f>
        <v>കമ്പനി വിവരങ്ങൾ</v>
      </c>
      <c r="G511" s="7" t="str">
        <f>IFERROR(__xludf.DUMMYFUNCTION("GOOGLETRANSLATE(B511, ""en"", ""te"")"),"కంపెనీ సమాచారం")</f>
        <v>కంపెనీ సమాచారం</v>
      </c>
    </row>
    <row r="512">
      <c r="A512" s="4" t="s">
        <v>1039</v>
      </c>
      <c r="B512" s="5" t="s">
        <v>1040</v>
      </c>
      <c r="C512" s="6" t="s">
        <v>1041</v>
      </c>
      <c r="D512" s="6" t="str">
        <f>IFERROR(__xludf.DUMMYFUNCTION("GOOGLETRANSLATE(B512, ""en"", ""hi"")"),"पुरा होना।")</f>
        <v>पुरा होना।</v>
      </c>
      <c r="E512" s="6" t="str">
        <f>IFERROR(__xludf.DUMMYFUNCTION("GOOGLETRANSLATE(B512, ""en"", ""kn"")"),"ಪೂರ್ಣಗೊಂಡಿದೆ")</f>
        <v>ಪೂರ್ಣಗೊಂಡಿದೆ</v>
      </c>
      <c r="F512" s="7" t="str">
        <f>IFERROR(__xludf.DUMMYFUNCTION("GOOGLETRANSLATE(B512, ""en"", ""ml"")"),"പൂർത്തിയായി")</f>
        <v>പൂർത്തിയായി</v>
      </c>
      <c r="G512" s="7" t="str">
        <f>IFERROR(__xludf.DUMMYFUNCTION("GOOGLETRANSLATE(B512, ""en"", ""te"")"),"పూర్తయింది")</f>
        <v>పూర్తయింది</v>
      </c>
    </row>
    <row r="513">
      <c r="A513" s="4" t="s">
        <v>1042</v>
      </c>
      <c r="B513" s="5" t="s">
        <v>1043</v>
      </c>
      <c r="C513" s="6" t="s">
        <v>1044</v>
      </c>
      <c r="D513" s="6" t="str">
        <f>IFERROR(__xludf.DUMMYFUNCTION("GOOGLETRANSLATE(B513, ""en"", ""hi"")"),"पुष्टि करना")</f>
        <v>पुष्टि करना</v>
      </c>
      <c r="E513" s="6" t="str">
        <f>IFERROR(__xludf.DUMMYFUNCTION("GOOGLETRANSLATE(B513, ""en"", ""kn"")"),"ದೃಢೀಕರಿಸಿ")</f>
        <v>ದೃಢೀಕರಿಸಿ</v>
      </c>
      <c r="F513" s="7" t="str">
        <f>IFERROR(__xludf.DUMMYFUNCTION("GOOGLETRANSLATE(B513, ""en"", ""ml"")"),"സ്ഥിരീകരിക്കുക")</f>
        <v>സ്ഥിരീകരിക്കുക</v>
      </c>
      <c r="G513" s="7" t="str">
        <f>IFERROR(__xludf.DUMMYFUNCTION("GOOGLETRANSLATE(B513, ""en"", ""te"")"),"నిర్ధారించండి")</f>
        <v>నిర్ధారించండి</v>
      </c>
    </row>
    <row r="514">
      <c r="A514" s="4" t="s">
        <v>1045</v>
      </c>
      <c r="B514" s="5" t="s">
        <v>1046</v>
      </c>
      <c r="C514" s="6" t="s">
        <v>1047</v>
      </c>
      <c r="D514" s="6" t="str">
        <f>IFERROR(__xludf.DUMMYFUNCTION("GOOGLETRANSLATE(B514, ""en"", ""hi"")"),"बुकिंग की पुष्टि करें")</f>
        <v>बुकिंग की पुष्टि करें</v>
      </c>
      <c r="E514" s="6" t="str">
        <f>IFERROR(__xludf.DUMMYFUNCTION("GOOGLETRANSLATE(B514, ""en"", ""kn"")"),"ಬುಕಿಂಗ್ ದೃಢೀಕರಿಸಿ")</f>
        <v>ಬುಕಿಂಗ್ ದೃಢೀಕರಿಸಿ</v>
      </c>
      <c r="F514" s="7" t="str">
        <f>IFERROR(__xludf.DUMMYFUNCTION("GOOGLETRANSLATE(B514, ""en"", ""ml"")"),"ബുക്കിംഗ് സ്ഥിരീകരിക്കുക")</f>
        <v>ബുക്കിംഗ് സ്ഥിരീകരിക്കുക</v>
      </c>
      <c r="G514" s="7" t="str">
        <f>IFERROR(__xludf.DUMMYFUNCTION("GOOGLETRANSLATE(B514, ""en"", ""te"")"),"బుకింగ్‌ను నిర్ధారించండి")</f>
        <v>బుకింగ్‌ను నిర్ధారించండి</v>
      </c>
    </row>
    <row r="515">
      <c r="A515" s="4" t="s">
        <v>1048</v>
      </c>
      <c r="B515" s="5" t="s">
        <v>1049</v>
      </c>
      <c r="C515" s="6" t="s">
        <v>1050</v>
      </c>
      <c r="D515" s="6" t="str">
        <f>IFERROR(__xludf.DUMMYFUNCTION("GOOGLETRANSLATE(B515, ""en"", ""hi"")"),"रद्दीकरण की पुष्टि करें")</f>
        <v>रद्दीकरण की पुष्टि करें</v>
      </c>
      <c r="E515" s="6" t="str">
        <f>IFERROR(__xludf.DUMMYFUNCTION("GOOGLETRANSLATE(B515, ""en"", ""kn"")"),"ರದ್ದತಿಯನ್ನು ದೃಢೀಕರಿಸಿ")</f>
        <v>ರದ್ದತಿಯನ್ನು ದೃಢೀಕರಿಸಿ</v>
      </c>
      <c r="F515" s="7" t="str">
        <f>IFERROR(__xludf.DUMMYFUNCTION("GOOGLETRANSLATE(B515, ""en"", ""ml"")"),"റദ്ദാക്കൽ സ്ഥിരീകരിക്കുക")</f>
        <v>റദ്ദാക്കൽ സ്ഥിരീകരിക്കുക</v>
      </c>
      <c r="G515" s="7" t="str">
        <f>IFERROR(__xludf.DUMMYFUNCTION("GOOGLETRANSLATE(B515, ""en"", ""te"")"),"రద్దును నిర్ధారించండి")</f>
        <v>రద్దును నిర్ధారించండి</v>
      </c>
    </row>
    <row r="516">
      <c r="A516" s="4" t="s">
        <v>1051</v>
      </c>
      <c r="B516" s="5" t="s">
        <v>1052</v>
      </c>
      <c r="C516" s="6" t="s">
        <v>1053</v>
      </c>
      <c r="D516" s="6" t="str">
        <f>IFERROR(__xludf.DUMMYFUNCTION("GOOGLETRANSLATE(B516, ""en"", ""hi"")"),"संपादित मार्ग की पुष्टि करें")</f>
        <v>संपादित मार्ग की पुष्टि करें</v>
      </c>
      <c r="E516" s="6" t="str">
        <f>IFERROR(__xludf.DUMMYFUNCTION("GOOGLETRANSLATE(B516, ""en"", ""kn"")"),"ಸಂಪಾದಿಸಿದ ಮಾರ್ಗವನ್ನು ದೃಢೀಕರಿಸಿ")</f>
        <v>ಸಂಪಾದಿಸಿದ ಮಾರ್ಗವನ್ನು ದೃಢೀಕರಿಸಿ</v>
      </c>
      <c r="F516" s="7" t="str">
        <f>IFERROR(__xludf.DUMMYFUNCTION("GOOGLETRANSLATE(B516, ""en"", ""ml"")"),"എഡിറ്റ് ചെയ്ത റൂട്ട് സ്ഥിരീകരിക്കുക")</f>
        <v>എഡിറ്റ് ചെയ്ത റൂട്ട് സ്ഥിരീകരിക്കുക</v>
      </c>
      <c r="G516" s="7" t="str">
        <f>IFERROR(__xludf.DUMMYFUNCTION("GOOGLETRANSLATE(B516, ""en"", ""te"")"),"సవరించిన మార్గాన్ని నిర్ధారించండి")</f>
        <v>సవరించిన మార్గాన్ని నిర్ధారించండి</v>
      </c>
    </row>
    <row r="517">
      <c r="A517" s="4" t="s">
        <v>1054</v>
      </c>
      <c r="B517" s="5" t="s">
        <v>1055</v>
      </c>
      <c r="C517" s="6" t="s">
        <v>1044</v>
      </c>
      <c r="D517" s="6" t="str">
        <f>IFERROR(__xludf.DUMMYFUNCTION("GOOGLETRANSLATE(B517, ""en"", ""hi"")"),"स्थान की पुष्टि करें")</f>
        <v>स्थान की पुष्टि करें</v>
      </c>
      <c r="E517" s="6" t="str">
        <f>IFERROR(__xludf.DUMMYFUNCTION("GOOGLETRANSLATE(B517, ""en"", ""kn"")"),"ಸ್ಥಳವನ್ನು ದೃಢೀಕರಿಸಿ")</f>
        <v>ಸ್ಥಳವನ್ನು ದೃಢೀಕರಿಸಿ</v>
      </c>
      <c r="F517" s="7" t="str">
        <f>IFERROR(__xludf.DUMMYFUNCTION("GOOGLETRANSLATE(B517, ""en"", ""ml"")"),"സ്ഥലം സ്ഥിരീകരിക്കുക")</f>
        <v>സ്ഥലം സ്ഥിരീകരിക്കുക</v>
      </c>
      <c r="G517" s="7" t="str">
        <f>IFERROR(__xludf.DUMMYFUNCTION("GOOGLETRANSLATE(B517, ""en"", ""te"")"),"స్థానాన్ని నిర్ధారించండి")</f>
        <v>స్థానాన్ని నిర్ధారించండి</v>
      </c>
    </row>
    <row r="518">
      <c r="A518" s="4" t="s">
        <v>1056</v>
      </c>
      <c r="B518" s="5" t="s">
        <v>1057</v>
      </c>
      <c r="C518" s="6"/>
      <c r="D518" s="6" t="str">
        <f>IFERROR(__xludf.DUMMYFUNCTION("GOOGLETRANSLATE(B518, ""en"", ""hi"")"),"भुगतान की पुष्टि करें")</f>
        <v>भुगतान की पुष्टि करें</v>
      </c>
      <c r="E518" s="6" t="str">
        <f>IFERROR(__xludf.DUMMYFUNCTION("GOOGLETRANSLATE(B518, ""en"", ""kn"")"),"ಪಾವತಿಯನ್ನು ದೃಢೀಕರಿಸಿ")</f>
        <v>ಪಾವತಿಯನ್ನು ದೃಢೀಕರಿಸಿ</v>
      </c>
      <c r="F518" s="7" t="str">
        <f>IFERROR(__xludf.DUMMYFUNCTION("GOOGLETRANSLATE(B518, ""en"", ""ml"")"),"പേയ്‌മെന്റ് സ്ഥിരീകരിക്കുക")</f>
        <v>പേയ്‌മെന്റ് സ്ഥിരീകരിക്കുക</v>
      </c>
      <c r="G518" s="7" t="str">
        <f>IFERROR(__xludf.DUMMYFUNCTION("GOOGLETRANSLATE(B518, ""en"", ""te"")"),"చెల్లింపును నిర్ధారించండి")</f>
        <v>చెల్లింపును నిర్ధారించండి</v>
      </c>
    </row>
    <row r="519">
      <c r="A519" s="4" t="s">
        <v>1058</v>
      </c>
      <c r="B519" s="5" t="s">
        <v>1059</v>
      </c>
      <c r="C519" s="6" t="s">
        <v>1060</v>
      </c>
      <c r="D519" s="6" t="str">
        <f>IFERROR(__xludf.DUMMYFUNCTION("GOOGLETRANSLATE(B519, ""en"", ""hi"")"),"भुगतान विधि की पुष्टि करें")</f>
        <v>भुगतान विधि की पुष्टि करें</v>
      </c>
      <c r="E519" s="6" t="str">
        <f>IFERROR(__xludf.DUMMYFUNCTION("GOOGLETRANSLATE(B519, ""en"", ""kn"")"),"ಪಾವತಿ ವಿಧಾನವನ್ನು ದೃಢೀಕರಿಸಿ")</f>
        <v>ಪಾವತಿ ವಿಧಾನವನ್ನು ದೃಢೀಕರಿಸಿ</v>
      </c>
      <c r="F519" s="7" t="str">
        <f>IFERROR(__xludf.DUMMYFUNCTION("GOOGLETRANSLATE(B519, ""en"", ""ml"")"),"പേയ്‌മെന്റ് രീതി സ്ഥിരീകരിക്കുക")</f>
        <v>പേയ്‌മെന്റ് രീതി സ്ഥിരീകരിക്കുക</v>
      </c>
      <c r="G519" s="7" t="str">
        <f>IFERROR(__xludf.DUMMYFUNCTION("GOOGLETRANSLATE(B519, ""en"", ""te"")"),"చెల్లింపు పద్ధతిని నిర్ధారించండి")</f>
        <v>చెల్లింపు పద్ధతిని నిర్ధారించండి</v>
      </c>
    </row>
    <row r="520">
      <c r="A520" s="4" t="s">
        <v>1061</v>
      </c>
      <c r="B520" s="5" t="s">
        <v>1062</v>
      </c>
      <c r="C520" s="6" t="s">
        <v>1063</v>
      </c>
      <c r="D520" s="6" t="str">
        <f>IFERROR(__xludf.DUMMYFUNCTION("GOOGLETRANSLATE(B520, ""en"", ""hi"")"),"सवारी की पुष्टि करें")</f>
        <v>सवारी की पुष्टि करें</v>
      </c>
      <c r="E520" s="6" t="str">
        <f>IFERROR(__xludf.DUMMYFUNCTION("GOOGLETRANSLATE(B520, ""en"", ""kn"")"),"ಸವಾರಿಯನ್ನು ದೃಢೀಕರಿಸಿ")</f>
        <v>ಸವಾರಿಯನ್ನು ದೃಢೀಕರಿಸಿ</v>
      </c>
      <c r="F520" s="7" t="str">
        <f>IFERROR(__xludf.DUMMYFUNCTION("GOOGLETRANSLATE(B520, ""en"", ""ml"")"),"റൈഡ് സ്ഥിരീകരിക്കുക")</f>
        <v>റൈഡ് സ്ഥിരീകരിക്കുക</v>
      </c>
      <c r="G520" s="7" t="str">
        <f>IFERROR(__xludf.DUMMYFUNCTION("GOOGLETRANSLATE(B520, ""en"", ""te"")"),"రైడ్‌ను నిర్ధారించండి")</f>
        <v>రైడ్‌ను నిర్ధారించండి</v>
      </c>
    </row>
    <row r="521">
      <c r="A521" s="4" t="s">
        <v>1064</v>
      </c>
      <c r="B521" s="5" t="s">
        <v>1065</v>
      </c>
      <c r="C521" s="6" t="s">
        <v>1066</v>
      </c>
      <c r="D521" s="6" t="str">
        <f>IFERROR(__xludf.DUMMYFUNCTION("GOOGLETRANSLATE(B521, ""en"", ""hi"")"),"मार्ग की पुष्टि करें")</f>
        <v>मार्ग की पुष्टि करें</v>
      </c>
      <c r="E521" s="6" t="str">
        <f>IFERROR(__xludf.DUMMYFUNCTION("GOOGLETRANSLATE(B521, ""en"", ""kn"")"),"ಮಾರ್ಗವನ್ನು ದೃಢೀಕರಿಸಿ")</f>
        <v>ಮಾರ್ಗವನ್ನು ದೃಢೀಕರಿಸಿ</v>
      </c>
      <c r="F521" s="7" t="str">
        <f>IFERROR(__xludf.DUMMYFUNCTION("GOOGLETRANSLATE(B521, ""en"", ""ml"")"),"വഴി സ്ഥിരീകരിക്കുക")</f>
        <v>വഴി സ്ഥിരീകരിക്കുക</v>
      </c>
      <c r="G521" s="7" t="str">
        <f>IFERROR(__xludf.DUMMYFUNCTION("GOOGLETRANSLATE(B521, ""en"", ""te"")"),"మార్గాన్ని నిర్ధారించండి")</f>
        <v>మార్గాన్ని నిర్ధారించండి</v>
      </c>
    </row>
    <row r="522">
      <c r="A522" s="4" t="s">
        <v>1067</v>
      </c>
      <c r="B522" s="5" t="s">
        <v>1068</v>
      </c>
      <c r="C522" s="6" t="s">
        <v>1069</v>
      </c>
      <c r="D522" s="6" t="str">
        <f>IFERROR(__xludf.DUMMYFUNCTION("GOOGLETRANSLATE(B522, ""en"", ""hi"")"),"पुष्टि हो रही है...")</f>
        <v>पुष्टि हो रही है...</v>
      </c>
      <c r="E522" s="6" t="str">
        <f>IFERROR(__xludf.DUMMYFUNCTION("GOOGLETRANSLATE(B522, ""en"", ""kn"")"),"ದೃಢೀಕರಿಸಲಾಗುತ್ತಿದೆ...")</f>
        <v>ದೃಢೀಕರಿಸಲಾಗುತ್ತಿದೆ...</v>
      </c>
      <c r="F522" s="7" t="str">
        <f>IFERROR(__xludf.DUMMYFUNCTION("GOOGLETRANSLATE(B522, ""en"", ""ml"")"),"സ്ഥിരീകരിക്കുന്നു...")</f>
        <v>സ്ഥിരീകരിക്കുന്നു...</v>
      </c>
      <c r="G522" s="7" t="str">
        <f>IFERROR(__xludf.DUMMYFUNCTION("GOOGLETRANSLATE(B522, ""en"", ""te"")"),"ధృవీకరిస్తోంది...")</f>
        <v>ధృవీకరిస్తోంది...</v>
      </c>
    </row>
    <row r="523">
      <c r="A523" s="4" t="s">
        <v>1070</v>
      </c>
      <c r="B523" s="5" t="s">
        <v>1071</v>
      </c>
      <c r="C523" s="6" t="s">
        <v>1072</v>
      </c>
      <c r="D523" s="6" t="str">
        <f>IFERROR(__xludf.DUMMYFUNCTION("GOOGLETRANSLATE(B523, ""en"", ""hi"")"),"यह संपर्क पहले से ही आपकी सूची में मौजूद है")</f>
        <v>यह संपर्क पहले से ही आपकी सूची में मौजूद है</v>
      </c>
      <c r="E523" s="6" t="str">
        <f>IFERROR(__xludf.DUMMYFUNCTION("GOOGLETRANSLATE(B523, ""en"", ""kn"")"),"ಈ ಸಂಪರ್ಕವು ನಿಮ್ಮ ಪಟ್ಟಿಯಲ್ಲಿ ಈಗಾಗಲೇ ಅಸ್ತಿತ್ವದಲ್ಲಿದೆ.")</f>
        <v>ಈ ಸಂಪರ್ಕವು ನಿಮ್ಮ ಪಟ್ಟಿಯಲ್ಲಿ ಈಗಾಗಲೇ ಅಸ್ತಿತ್ವದಲ್ಲಿದೆ.</v>
      </c>
      <c r="F523" s="7" t="str">
        <f>IFERROR(__xludf.DUMMYFUNCTION("GOOGLETRANSLATE(B523, ""en"", ""ml"")"),"ഈ കോൺടാക്റ്റ് നിങ്ങളുടെ പട്ടികയിൽ നിലവിലുണ്ട്.")</f>
        <v>ഈ കോൺടാക്റ്റ് നിങ്ങളുടെ പട്ടികയിൽ നിലവിലുണ്ട്.</v>
      </c>
      <c r="G523" s="7" t="str">
        <f>IFERROR(__xludf.DUMMYFUNCTION("GOOGLETRANSLATE(B523, ""en"", ""te"")"),"ఈ పరిచయం ఇప్పటికే మీ జాబితాలో ఉంది.")</f>
        <v>ఈ పరిచయం ఇప్పటికే మీ జాబితాలో ఉంది.</v>
      </c>
    </row>
    <row r="524">
      <c r="A524" s="4" t="s">
        <v>1073</v>
      </c>
      <c r="B524" s="5" t="s">
        <v>1074</v>
      </c>
      <c r="C524" s="6" t="s">
        <v>1075</v>
      </c>
      <c r="D524" s="6" t="str">
        <f>IFERROR(__xludf.DUMMYFUNCTION("GOOGLETRANSLATE(B524, ""en"", ""hi"")"),"हमें कॉल करें")</f>
        <v>हमें कॉल करें</v>
      </c>
      <c r="E524" s="6" t="str">
        <f>IFERROR(__xludf.DUMMYFUNCTION("GOOGLETRANSLATE(B524, ""en"", ""kn"")"),"ನಮಗೆ ಕರೆ ಮಾಡಿ")</f>
        <v>ನಮಗೆ ಕರೆ ಮಾಡಿ</v>
      </c>
      <c r="F524" s="7" t="str">
        <f>IFERROR(__xludf.DUMMYFUNCTION("GOOGLETRANSLATE(B524, ""en"", ""ml"")"),"ഞങ്ങളെ വിളിക്കൂ")</f>
        <v>ഞങ്ങളെ വിളിക്കൂ</v>
      </c>
      <c r="G524" s="7" t="str">
        <f>IFERROR(__xludf.DUMMYFUNCTION("GOOGLETRANSLATE(B524, ""en"", ""te"")"),"మాకు కాల్ చేయండి")</f>
        <v>మాకు కాల్ చేయండి</v>
      </c>
    </row>
    <row r="525">
      <c r="A525" s="4" t="s">
        <v>1076</v>
      </c>
      <c r="B525" s="5" t="s">
        <v>1077</v>
      </c>
      <c r="C525" s="6" t="s">
        <v>1078</v>
      </c>
      <c r="D525" s="6" t="str">
        <f>IFERROR(__xludf.DUMMYFUNCTION("GOOGLETRANSLATE(B525, ""en"", ""hi"")"),"हमें ईमेल करें")</f>
        <v>हमें ईमेल करें</v>
      </c>
      <c r="E525" s="6" t="str">
        <f>IFERROR(__xludf.DUMMYFUNCTION("GOOGLETRANSLATE(B525, ""en"", ""kn"")"),"ನಮಗೆ ಇಮೇಲ್ ಮಾಡಿ")</f>
        <v>ನಮಗೆ ಇಮೇಲ್ ಮಾಡಿ</v>
      </c>
      <c r="F525" s="7" t="str">
        <f>IFERROR(__xludf.DUMMYFUNCTION("GOOGLETRANSLATE(B525, ""en"", ""ml"")"),"ഞങ്ങൾക്ക് ഇമെയിൽ അയയ്ക്കുക")</f>
        <v>ഞങ്ങൾക്ക് ഇമെയിൽ അയയ്ക്കുക</v>
      </c>
      <c r="G525" s="7" t="str">
        <f>IFERROR(__xludf.DUMMYFUNCTION("GOOGLETRANSLATE(B525, ""en"", ""te"")"),"మాకు ఇమెయిల్ చేయండి")</f>
        <v>మాకు ఇమెయిల్ చేయండి</v>
      </c>
    </row>
    <row r="526">
      <c r="A526" s="4" t="s">
        <v>1079</v>
      </c>
      <c r="B526" s="5" t="s">
        <v>1080</v>
      </c>
      <c r="C526" s="6" t="s">
        <v>1081</v>
      </c>
      <c r="D526" s="6" t="str">
        <f>IFERROR(__xludf.DUMMYFUNCTION("GOOGLETRANSLATE(B526, ""en"", ""hi"")"),"संपर्क मौजूद है")</f>
        <v>संपर्क मौजूद है</v>
      </c>
      <c r="E526" s="6" t="str">
        <f>IFERROR(__xludf.DUMMYFUNCTION("GOOGLETRANSLATE(B526, ""en"", ""kn"")"),"ಸಂಪರ್ಕ ಅಸ್ತಿತ್ವದಲ್ಲಿದೆ")</f>
        <v>ಸಂಪರ್ಕ ಅಸ್ತಿತ್ವದಲ್ಲಿದೆ</v>
      </c>
      <c r="F526" s="7" t="str">
        <f>IFERROR(__xludf.DUMMYFUNCTION("GOOGLETRANSLATE(B526, ""en"", ""ml"")"),"കോൺടാക്റ്റ് നിലവിലുണ്ട്")</f>
        <v>കോൺടാക്റ്റ് നിലവിലുണ്ട്</v>
      </c>
      <c r="G526" s="7" t="str">
        <f>IFERROR(__xludf.DUMMYFUNCTION("GOOGLETRANSLATE(B526, ""en"", ""te"")"),"పరిచయం ఉంది")</f>
        <v>పరిచయం ఉంది</v>
      </c>
    </row>
    <row r="527">
      <c r="A527" s="4" t="s">
        <v>1082</v>
      </c>
      <c r="B527" s="5" t="s">
        <v>1083</v>
      </c>
      <c r="C527" s="6" t="s">
        <v>1084</v>
      </c>
      <c r="D527" s="6" t="str">
        <f>IFERROR(__xludf.DUMMYFUNCTION("GOOGLETRANSLATE(B527, ""en"", ""hi"")"),"आपके संपर्क व्यक्ति का नाम ड्राइवर के साथ साझा नहीं किया जाएगा।")</f>
        <v>आपके संपर्क व्यक्ति का नाम ड्राइवर के साथ साझा नहीं किया जाएगा।</v>
      </c>
      <c r="E527" s="6" t="str">
        <f>IFERROR(__xludf.DUMMYFUNCTION("GOOGLETRANSLATE(B527, ""en"", ""kn"")"),"ನಿಮ್ಮ ಸಂಪರ್ಕದ ಹೆಸರನ್ನು ಚಾಲಕನೊಂದಿಗೆ ಹಂಚಿಕೊಳ್ಳಲಾಗುವುದಿಲ್ಲ.")</f>
        <v>ನಿಮ್ಮ ಸಂಪರ್ಕದ ಹೆಸರನ್ನು ಚಾಲಕನೊಂದಿಗೆ ಹಂಚಿಕೊಳ್ಳಲಾಗುವುದಿಲ್ಲ.</v>
      </c>
      <c r="F527" s="7" t="str">
        <f>IFERROR(__xludf.DUMMYFUNCTION("GOOGLETRANSLATE(B527, ""en"", ""ml"")"),"നിങ്ങളുടെ കോൺടാക്റ്റിന്റെ പേര് ഡ്രൈവറുമായി പങ്കിടില്ല.")</f>
        <v>നിങ്ങളുടെ കോൺടാക്റ്റിന്റെ പേര് ഡ്രൈവറുമായി പങ്കിടില്ല.</v>
      </c>
      <c r="G527" s="7" t="str">
        <f>IFERROR(__xludf.DUMMYFUNCTION("GOOGLETRANSLATE(B527, ""en"", ""te"")"),"మీ కాంటాక్ట్ పేరు డ్రైవర్‌తో షేర్ చేయబడదు.")</f>
        <v>మీ కాంటాక్ట్ పేరు డ్రైవర్‌తో షేర్ చేయబడదు.</v>
      </c>
    </row>
    <row r="528">
      <c r="A528" s="4" t="s">
        <v>1085</v>
      </c>
      <c r="B528" s="5" t="s">
        <v>1086</v>
      </c>
      <c r="C528" s="6" t="str">
        <f>IFERROR(__xludf.DUMMYFUNCTION("GOOGLETRANSLATE(B528, ""en"", ""ta"")"),"தொடர்பு வெற்றிகரமாக சேமிக்கப்பட்டது")</f>
        <v>தொடர்பு வெற்றிகரமாக சேமிக்கப்பட்டது</v>
      </c>
      <c r="D528" s="6" t="str">
        <f>IFERROR(__xludf.DUMMYFUNCTION("GOOGLETRANSLATE(B528, ""en"", ""hi"")"),"संपर्क सफलतापूर्वक सहेज लिया गया")</f>
        <v>संपर्क सफलतापूर्वक सहेज लिया गया</v>
      </c>
      <c r="E528" s="6" t="str">
        <f>IFERROR(__xludf.DUMMYFUNCTION("GOOGLETRANSLATE(B528, ""en"", ""kn"")"),"ಸಂಪರ್ಕವನ್ನು ಯಶಸ್ವಿಯಾಗಿ ಉಳಿಸಲಾಗಿದೆ")</f>
        <v>ಸಂಪರ್ಕವನ್ನು ಯಶಸ್ವಿಯಾಗಿ ಉಳಿಸಲಾಗಿದೆ</v>
      </c>
      <c r="F528" s="7" t="str">
        <f>IFERROR(__xludf.DUMMYFUNCTION("GOOGLETRANSLATE(B528, ""en"", ""ml"")"),"കോൺടാക്റ്റ് വിജയകരമായി സംരക്ഷിച്ചു")</f>
        <v>കോൺടാക്റ്റ് വിജയകരമായി സംരക്ഷിച്ചു</v>
      </c>
      <c r="G528" s="7" t="str">
        <f>IFERROR(__xludf.DUMMYFUNCTION("GOOGLETRANSLATE(B528, ""en"", ""te"")"),"పరిచయం విజయవంతంగా సేవ్ చేయబడింది")</f>
        <v>పరిచయం విజయవంతంగా సేవ్ చేయబడింది</v>
      </c>
    </row>
    <row r="529">
      <c r="A529" s="4" t="s">
        <v>1087</v>
      </c>
      <c r="B529" s="5" t="s">
        <v>1088</v>
      </c>
      <c r="C529" s="6" t="s">
        <v>1089</v>
      </c>
      <c r="D529" s="6" t="str">
        <f>IFERROR(__xludf.DUMMYFUNCTION("GOOGLETRANSLATE(B529, ""en"", ""hi"")"),"समर्थन से संपर्क करें")</f>
        <v>समर्थन से संपर्क करें</v>
      </c>
      <c r="E529" s="6" t="str">
        <f>IFERROR(__xludf.DUMMYFUNCTION("GOOGLETRANSLATE(B529, ""en"", ""kn"")"),"ಬೆಂಬಲವನ್ನು ಸಂಪರ್ಕಿಸಿ")</f>
        <v>ಬೆಂಬಲವನ್ನು ಸಂಪರ್ಕಿಸಿ</v>
      </c>
      <c r="F529" s="7" t="str">
        <f>IFERROR(__xludf.DUMMYFUNCTION("GOOGLETRANSLATE(B529, ""en"", ""ml"")"),"പിന്തുണയെ ബന്ധപ്പെടുക")</f>
        <v>പിന്തുണയെ ബന്ധപ്പെടുക</v>
      </c>
      <c r="G529" s="7" t="str">
        <f>IFERROR(__xludf.DUMMYFUNCTION("GOOGLETRANSLATE(B529, ""en"", ""te"")"),"మద్దతును సంప్రదించండి")</f>
        <v>మద్దతును సంప్రదించండి</v>
      </c>
    </row>
    <row r="530">
      <c r="A530" s="4" t="s">
        <v>1090</v>
      </c>
      <c r="B530" s="5" t="s">
        <v>1091</v>
      </c>
      <c r="C530" s="6" t="s">
        <v>1092</v>
      </c>
      <c r="D530" s="6" t="str">
        <f>IFERROR(__xludf.DUMMYFUNCTION("GOOGLETRANSLATE(B530, ""en"", ""hi"")"),"जारी रखना")</f>
        <v>जारी रखना</v>
      </c>
      <c r="E530" s="6" t="str">
        <f>IFERROR(__xludf.DUMMYFUNCTION("GOOGLETRANSLATE(B530, ""en"", ""kn"")"),"ಮುಂದುವರಿಸಿ")</f>
        <v>ಮುಂದುವರಿಸಿ</v>
      </c>
      <c r="F530" s="7" t="str">
        <f>IFERROR(__xludf.DUMMYFUNCTION("GOOGLETRANSLATE(B530, ""en"", ""ml"")"),"തുടരുക")</f>
        <v>തുടരുക</v>
      </c>
      <c r="G530" s="7" t="str">
        <f>IFERROR(__xludf.DUMMYFUNCTION("GOOGLETRANSLATE(B530, ""en"", ""te"")"),"కొనసాగించు")</f>
        <v>కొనసాగించు</v>
      </c>
    </row>
    <row r="531">
      <c r="A531" s="4" t="s">
        <v>1093</v>
      </c>
      <c r="B531" s="5" t="s">
        <v>1094</v>
      </c>
      <c r="C531" s="6" t="s">
        <v>1095</v>
      </c>
      <c r="D531" s="6" t="str">
        <f>IFERROR(__xludf.DUMMYFUNCTION("GOOGLETRANSLATE(B531, ""en"", ""hi"")"),"कूपन लागू हो गया")</f>
        <v>कूपन लागू हो गया</v>
      </c>
      <c r="E531" s="6" t="str">
        <f>IFERROR(__xludf.DUMMYFUNCTION("GOOGLETRANSLATE(B531, ""en"", ""kn"")"),"ಕೂಪನ್ ಅನ್ವಯಿಸಲಾಗಿದೆ")</f>
        <v>ಕೂಪನ್ ಅನ್ವಯಿಸಲಾಗಿದೆ</v>
      </c>
      <c r="F531" s="7" t="str">
        <f>IFERROR(__xludf.DUMMYFUNCTION("GOOGLETRANSLATE(B531, ""en"", ""ml"")"),"കൂപ്പൺ പ്രയോഗിച്ചു")</f>
        <v>കൂപ്പൺ പ്രയോഗിച്ചു</v>
      </c>
      <c r="G531" s="7" t="str">
        <f>IFERROR(__xludf.DUMMYFUNCTION("GOOGLETRANSLATE(B531, ""en"", ""te"")"),"కూపన్ వర్తింపజేయబడింది")</f>
        <v>కూపన్ వర్తింపజేయబడింది</v>
      </c>
    </row>
    <row r="532">
      <c r="A532" s="4" t="s">
        <v>1096</v>
      </c>
      <c r="B532" s="5" t="s">
        <v>1097</v>
      </c>
      <c r="C532" s="6" t="s">
        <v>1098</v>
      </c>
      <c r="D532" s="6" t="str">
        <f>IFERROR(__xludf.DUMMYFUNCTION("GOOGLETRANSLATE(B532, ""en"", ""hi"")"),"कूपन")</f>
        <v>कूपन</v>
      </c>
      <c r="E532" s="6" t="str">
        <f>IFERROR(__xludf.DUMMYFUNCTION("GOOGLETRANSLATE(B532, ""en"", ""kn"")"),"ಕೂಪನ್‌ಗಳು")</f>
        <v>ಕೂಪನ್‌ಗಳು</v>
      </c>
      <c r="F532" s="7" t="str">
        <f>IFERROR(__xludf.DUMMYFUNCTION("GOOGLETRANSLATE(B532, ""en"", ""ml"")"),"കൂപ്പണുകൾ")</f>
        <v>കൂപ്പണുകൾ</v>
      </c>
      <c r="G532" s="7" t="str">
        <f>IFERROR(__xludf.DUMMYFUNCTION("GOOGLETRANSLATE(B532, ""en"", ""te"")"),"కూపన్లు")</f>
        <v>కూపన్లు</v>
      </c>
    </row>
    <row r="533">
      <c r="A533" s="4" t="s">
        <v>1099</v>
      </c>
      <c r="B533" s="5" t="s">
        <v>655</v>
      </c>
      <c r="C533" s="6" t="s">
        <v>1100</v>
      </c>
      <c r="D533" s="6" t="str">
        <f>IFERROR(__xludf.DUMMYFUNCTION("GOOGLETRANSLATE(B533, ""en"", ""hi"")"),"अपना पहला सपोर्ट टिकट बनाएं")</f>
        <v>अपना पहला सपोर्ट टिकट बनाएं</v>
      </c>
      <c r="E533" s="6" t="str">
        <f>IFERROR(__xludf.DUMMYFUNCTION("GOOGLETRANSLATE(B533, ""en"", ""kn"")"),"ನಿಮ್ಮ ಮೊದಲ ಬೆಂಬಲ ಟಿಕೆಟ್ ರಚಿಸಿ")</f>
        <v>ನಿಮ್ಮ ಮೊದಲ ಬೆಂಬಲ ಟಿಕೆಟ್ ರಚಿಸಿ</v>
      </c>
      <c r="F533" s="7" t="str">
        <f>IFERROR(__xludf.DUMMYFUNCTION("GOOGLETRANSLATE(B533, ""en"", ""ml"")"),"നിങ്ങളുടെ ആദ്യ പിന്തുണ ടിക്കറ്റ് സൃഷ്ടിക്കുക")</f>
        <v>നിങ്ങളുടെ ആദ്യ പിന്തുണ ടിക്കറ്റ് സൃഷ്ടിക്കുക</v>
      </c>
      <c r="G533" s="7" t="str">
        <f>IFERROR(__xludf.DUMMYFUNCTION("GOOGLETRANSLATE(B533, ""en"", ""te"")"),"మీ మొదటి సపోర్ట్ టికెట్‌ను సృష్టించండి")</f>
        <v>మీ మొదటి సపోర్ట్ టికెట్‌ను సృష్టించండి</v>
      </c>
    </row>
    <row r="534">
      <c r="A534" s="4" t="s">
        <v>1101</v>
      </c>
      <c r="B534" s="5" t="s">
        <v>1102</v>
      </c>
      <c r="C534" s="6" t="s">
        <v>1103</v>
      </c>
      <c r="D534" s="6" t="str">
        <f>IFERROR(__xludf.DUMMYFUNCTION("GOOGLETRANSLATE(B534, ""en"", ""hi"")"),"बनाया था:")</f>
        <v>बनाया था:</v>
      </c>
      <c r="E534" s="6" t="str">
        <f>IFERROR(__xludf.DUMMYFUNCTION("GOOGLETRANSLATE(B534, ""en"", ""kn"")"),"ರಚಿಸಲಾಗಿದೆ:")</f>
        <v>ರಚಿಸಲಾಗಿದೆ:</v>
      </c>
      <c r="F534" s="7" t="str">
        <f>IFERROR(__xludf.DUMMYFUNCTION("GOOGLETRANSLATE(B534, ""en"", ""ml"")"),"സൃഷ്ടിച്ചത്:")</f>
        <v>സൃഷ്ടിച്ചത്:</v>
      </c>
      <c r="G534" s="7" t="str">
        <f>IFERROR(__xludf.DUMMYFUNCTION("GOOGLETRANSLATE(B534, ""en"", ""te"")"),"సృష్టించబడింది:")</f>
        <v>సృష్టించబడింది:</v>
      </c>
    </row>
    <row r="535">
      <c r="A535" s="4" t="s">
        <v>1104</v>
      </c>
      <c r="B535" s="5" t="s">
        <v>1105</v>
      </c>
      <c r="C535" s="6" t="s">
        <v>1106</v>
      </c>
      <c r="D535" s="6" t="str">
        <f>IFERROR(__xludf.DUMMYFUNCTION("GOOGLETRANSLATE(B535, ""en"", ""hi"")"),"वर्तमान स्थान")</f>
        <v>वर्तमान स्थान</v>
      </c>
      <c r="E535" s="6" t="str">
        <f>IFERROR(__xludf.DUMMYFUNCTION("GOOGLETRANSLATE(B535, ""en"", ""kn"")"),"ಪ್ರಸ್ತುತ ಸ್ಥಳ")</f>
        <v>ಪ್ರಸ್ತುತ ಸ್ಥಳ</v>
      </c>
      <c r="F535" s="7" t="str">
        <f>IFERROR(__xludf.DUMMYFUNCTION("GOOGLETRANSLATE(B535, ""en"", ""ml"")"),"നിലവിലെ സ്ഥലം")</f>
        <v>നിലവിലെ സ്ഥലം</v>
      </c>
      <c r="G535" s="7" t="str">
        <f>IFERROR(__xludf.DUMMYFUNCTION("GOOGLETRANSLATE(B535, ""en"", ""te"")"),"ప్రస్తుత స్థానం")</f>
        <v>ప్రస్తుత స్థానం</v>
      </c>
    </row>
    <row r="536">
      <c r="A536" s="4" t="s">
        <v>1107</v>
      </c>
      <c r="B536" s="5" t="s">
        <v>1108</v>
      </c>
      <c r="C536" s="6" t="s">
        <v>1109</v>
      </c>
      <c r="D536" s="6" t="str">
        <f>IFERROR(__xludf.DUMMYFUNCTION("GOOGLETRANSLATE(B536, ""en"", ""hi"")"),"अनुकूलित तिथि")</f>
        <v>अनुकूलित तिथि</v>
      </c>
      <c r="E536" s="6" t="str">
        <f>IFERROR(__xludf.DUMMYFUNCTION("GOOGLETRANSLATE(B536, ""en"", ""kn"")"),"ಕಸ್ಟಮ್ ದಿನಾಂಕ")</f>
        <v>ಕಸ್ಟಮ್ ದಿನಾಂಕ</v>
      </c>
      <c r="F536" s="7" t="str">
        <f>IFERROR(__xludf.DUMMYFUNCTION("GOOGLETRANSLATE(B536, ""en"", ""ml"")"),"ഇഷ്ടാനുസൃത തീയതി")</f>
        <v>ഇഷ്ടാനുസൃത തീയതി</v>
      </c>
      <c r="G536" s="7" t="str">
        <f>IFERROR(__xludf.DUMMYFUNCTION("GOOGLETRANSLATE(B536, ""en"", ""te"")"),"అనుకూల తేదీ")</f>
        <v>అనుకూల తేదీ</v>
      </c>
    </row>
    <row r="537">
      <c r="A537" s="4" t="s">
        <v>1110</v>
      </c>
      <c r="B537" s="5" t="s">
        <v>1111</v>
      </c>
      <c r="C537" s="6" t="s">
        <v>1112</v>
      </c>
      <c r="D537" s="6" t="str">
        <f>IFERROR(__xludf.DUMMYFUNCTION("GOOGLETRANSLATE(B537, ""en"", ""hi"")"),"कस्टम उपनाम")</f>
        <v>कस्टम उपनाम</v>
      </c>
      <c r="E537" s="6" t="str">
        <f>IFERROR(__xludf.DUMMYFUNCTION("GOOGLETRANSLATE(B537, ""en"", ""kn"")"),"ಕಸ್ಟಮ್ ಅಡ್ಡಹೆಸರು")</f>
        <v>ಕಸ್ಟಮ್ ಅಡ್ಡಹೆಸರು</v>
      </c>
      <c r="F537" s="7" t="str">
        <f>IFERROR(__xludf.DUMMYFUNCTION("GOOGLETRANSLATE(B537, ""en"", ""ml"")"),"ഇഷ്ടാനുസൃത വിളിപ്പേര്")</f>
        <v>ഇഷ്ടാനുസൃത വിളിപ്പേര്</v>
      </c>
      <c r="G537" s="7" t="str">
        <f>IFERROR(__xludf.DUMMYFUNCTION("GOOGLETRANSLATE(B537, ""en"", ""te"")"),"అనుకూల మారుపేరు")</f>
        <v>అనుకూల మారుపేరు</v>
      </c>
    </row>
    <row r="538">
      <c r="A538" s="4" t="s">
        <v>1113</v>
      </c>
      <c r="B538" s="5" t="s">
        <v>1114</v>
      </c>
      <c r="C538" s="6" t="s">
        <v>1115</v>
      </c>
      <c r="D538" s="6" t="str">
        <f>IFERROR(__xludf.DUMMYFUNCTION("GOOGLETRANSLATE(B538, ""en"", ""hi"")"),"ग्राहक की जानकारी")</f>
        <v>ग्राहक की जानकारी</v>
      </c>
      <c r="E538" s="6" t="str">
        <f>IFERROR(__xludf.DUMMYFUNCTION("GOOGLETRANSLATE(B538, ""en"", ""kn"")"),"ಗ್ರಾಹಕರ ಮಾಹಿತಿ")</f>
        <v>ಗ್ರಾಹಕರ ಮಾಹಿತಿ</v>
      </c>
      <c r="F538" s="7" t="str">
        <f>IFERROR(__xludf.DUMMYFUNCTION("GOOGLETRANSLATE(B538, ""en"", ""ml"")"),"ഉപഭോക്തൃ വിവരങ്ങൾ")</f>
        <v>ഉപഭോക്തൃ വിവരങ്ങൾ</v>
      </c>
      <c r="G538" s="7" t="str">
        <f>IFERROR(__xludf.DUMMYFUNCTION("GOOGLETRANSLATE(B538, ""en"", ""te"")"),"కస్టమర్ సమాచారం")</f>
        <v>కస్టమర్ సమాచారం</v>
      </c>
    </row>
    <row r="539">
      <c r="A539" s="4" t="s">
        <v>1116</v>
      </c>
      <c r="B539" s="5" t="s">
        <v>1117</v>
      </c>
      <c r="C539" s="6" t="str">
        <f>IFERROR(__xludf.DUMMYFUNCTION("GOOGLETRANSLATE(B539, ""en"", ""ta"")"),"தேதி வரம்பு")</f>
        <v>தேதி வரம்பு</v>
      </c>
      <c r="D539" s="6" t="str">
        <f>IFERROR(__xludf.DUMMYFUNCTION("GOOGLETRANSLATE(B539, ""en"", ""hi"")"),"दिनांक सीमा")</f>
        <v>दिनांक सीमा</v>
      </c>
      <c r="E539" s="6" t="str">
        <f>IFERROR(__xludf.DUMMYFUNCTION("GOOGLETRANSLATE(B539, ""en"", ""kn"")"),"ದಿನಾಂಕ ಶ್ರೇಣಿ")</f>
        <v>ದಿನಾಂಕ ಶ್ರೇಣಿ</v>
      </c>
      <c r="F539" s="7" t="str">
        <f>IFERROR(__xludf.DUMMYFUNCTION("GOOGLETRANSLATE(B539, ""en"", ""ml"")"),"തീയതി പരിധി")</f>
        <v>തീയതി പരിധി</v>
      </c>
      <c r="G539" s="7" t="str">
        <f>IFERROR(__xludf.DUMMYFUNCTION("GOOGLETRANSLATE(B539, ""en"", ""te"")"),"తేదీ పరిధి")</f>
        <v>తేదీ పరిధి</v>
      </c>
    </row>
    <row r="540">
      <c r="A540" s="4" t="s">
        <v>1118</v>
      </c>
      <c r="B540" s="5" t="s">
        <v>1119</v>
      </c>
      <c r="C540" s="6" t="s">
        <v>1120</v>
      </c>
      <c r="D540" s="6" t="str">
        <f>IFERROR(__xludf.DUMMYFUNCTION("GOOGLETRANSLATE(B540, ""en"", ""hi"")"),"दिनांक समय")</f>
        <v>दिनांक समय</v>
      </c>
      <c r="E540" s="6" t="str">
        <f>IFERROR(__xludf.DUMMYFUNCTION("GOOGLETRANSLATE(B540, ""en"", ""kn"")"),"ದಿನಾಂಕ ಮತ್ತು ಸಮಯ")</f>
        <v>ದಿನಾಂಕ ಮತ್ತು ಸಮಯ</v>
      </c>
      <c r="F540" s="7" t="str">
        <f>IFERROR(__xludf.DUMMYFUNCTION("GOOGLETRANSLATE(B540, ""en"", ""ml"")"),"തീയതിയും സമയവും")</f>
        <v>തീയതിയും സമയവും</v>
      </c>
      <c r="G540" s="7" t="str">
        <f>IFERROR(__xludf.DUMMYFUNCTION("GOOGLETRANSLATE(B540, ""en"", ""te"")"),"తేదీ &amp; సమయం")</f>
        <v>తేదీ &amp; సమయం</v>
      </c>
    </row>
    <row r="541">
      <c r="A541" s="4" t="s">
        <v>1121</v>
      </c>
      <c r="B541" s="5" t="s">
        <v>1122</v>
      </c>
      <c r="C541" s="6" t="s">
        <v>1123</v>
      </c>
      <c r="D541" s="6" t="str">
        <f>IFERROR(__xludf.DUMMYFUNCTION("GOOGLETRANSLATE(B541, ""en"", ""hi"")"),"मिटाना")</f>
        <v>मिटाना</v>
      </c>
      <c r="E541" s="6" t="str">
        <f>IFERROR(__xludf.DUMMYFUNCTION("GOOGLETRANSLATE(B541, ""en"", ""kn"")"),"ಅಳಿಸಿ")</f>
        <v>ಅಳಿಸಿ</v>
      </c>
      <c r="F541" s="7" t="str">
        <f>IFERROR(__xludf.DUMMYFUNCTION("GOOGLETRANSLATE(B541, ""en"", ""ml"")"),"ഇല്ലാതാക്കുക")</f>
        <v>ഇല്ലാതാക്കുക</v>
      </c>
      <c r="G541" s="7" t="str">
        <f>IFERROR(__xludf.DUMMYFUNCTION("GOOGLETRANSLATE(B541, ""en"", ""te"")"),"తొలగించు")</f>
        <v>తొలగించు</v>
      </c>
    </row>
    <row r="542">
      <c r="A542" s="4" t="s">
        <v>1124</v>
      </c>
      <c r="B542" s="5" t="s">
        <v>1125</v>
      </c>
      <c r="C542" s="6" t="s">
        <v>1126</v>
      </c>
      <c r="D542" s="6" t="str">
        <f>IFERROR(__xludf.DUMMYFUNCTION("GOOGLETRANSLATE(B542, ""en"", ""hi"")"),"खाता हटाने में विफलता")</f>
        <v>खाता हटाने में विफलता</v>
      </c>
      <c r="E542" s="6" t="str">
        <f>IFERROR(__xludf.DUMMYFUNCTION("GOOGLETRANSLATE(B542, ""en"", ""kn"")"),"ಖಾತೆ ಅಳಿಸುವಿಕೆ ವಿಫಲವಾಗಿದೆ")</f>
        <v>ಖಾತೆ ಅಳಿಸುವಿಕೆ ವಿಫಲವಾಗಿದೆ</v>
      </c>
      <c r="F542" s="7" t="str">
        <f>IFERROR(__xludf.DUMMYFUNCTION("GOOGLETRANSLATE(B542, ""en"", ""ml"")"),"അക്കൗണ്ട് ഇല്ലാതാക്കാനായില്ല")</f>
        <v>അക്കൗണ്ട് ഇല്ലാതാക്കാനായില്ല</v>
      </c>
      <c r="G542" s="7" t="str">
        <f>IFERROR(__xludf.DUMMYFUNCTION("GOOGLETRANSLATE(B542, ""en"", ""te"")"),"ఖాతాను తొలగించడం విఫలమైంది")</f>
        <v>ఖాతాను తొలగించడం విఫలమైంది</v>
      </c>
    </row>
    <row r="543">
      <c r="A543" s="4" t="s">
        <v>1127</v>
      </c>
      <c r="B543" s="5" t="s">
        <v>1128</v>
      </c>
      <c r="C543" s="6" t="s">
        <v>1129</v>
      </c>
      <c r="D543" s="6" t="str">
        <f>IFERROR(__xludf.DUMMYFUNCTION("GOOGLETRANSLATE(B543, ""en"", ""hi"")"),"इस एक्शन को वापस नहीं किया जा सकता")</f>
        <v>इस एक्शन को वापस नहीं किया जा सकता</v>
      </c>
      <c r="E543" s="6" t="str">
        <f>IFERROR(__xludf.DUMMYFUNCTION("GOOGLETRANSLATE(B543, ""en"", ""kn"")"),"ಈ ಕ್ರಿಯೆಯನ್ನು ರದ್ದುಗೊಳಿಸಲು ಸಾಧ್ಯವಿಲ್ಲ.")</f>
        <v>ಈ ಕ್ರಿಯೆಯನ್ನು ರದ್ದುಗೊಳಿಸಲು ಸಾಧ್ಯವಿಲ್ಲ.</v>
      </c>
      <c r="F543" s="7" t="str">
        <f>IFERROR(__xludf.DUMMYFUNCTION("GOOGLETRANSLATE(B543, ""en"", ""ml"")"),"ഈ പ്രവൃത്തി പഴയപടിയാക്കാൻ കഴിയില്ല.")</f>
        <v>ഈ പ്രവൃത്തി പഴയപടിയാക്കാൻ കഴിയില്ല.</v>
      </c>
      <c r="G543" s="7" t="str">
        <f>IFERROR(__xludf.DUMMYFUNCTION("GOOGLETRANSLATE(B543, ""en"", ""te"")"),"ఈ చర్యను రద్దు చేయడం సాధ్యం కాదు.")</f>
        <v>ఈ చర్యను రద్దు చేయడం సాధ్యం కాదు.</v>
      </c>
    </row>
    <row r="544">
      <c r="A544" s="4" t="s">
        <v>1130</v>
      </c>
      <c r="B544" s="5" t="s">
        <v>1131</v>
      </c>
      <c r="C544" s="6" t="s">
        <v>1132</v>
      </c>
      <c r="D544" s="6" t="str">
        <f>IFERROR(__xludf.DUMMYFUNCTION("GOOGLETRANSLATE(B544, ""en"", ""hi"")"),"आपकी राइड हिस्ट्री समेत आपका सारा डेटा हटा दिया जाएगा।")</f>
        <v>आपकी राइड हिस्ट्री समेत आपका सारा डेटा हटा दिया जाएगा।</v>
      </c>
      <c r="E544" s="6" t="str">
        <f>IFERROR(__xludf.DUMMYFUNCTION("GOOGLETRANSLATE(B544, ""en"", ""kn"")"),"ಸವಾರಿ ಇತಿಹಾಸ ಸೇರಿದಂತೆ ನಿಮ್ಮ ಎಲ್ಲಾ ಡೇಟಾವನ್ನು ತೆಗೆದುಹಾಕಲಾಗುತ್ತದೆ.")</f>
        <v>ಸವಾರಿ ಇತಿಹಾಸ ಸೇರಿದಂತೆ ನಿಮ್ಮ ಎಲ್ಲಾ ಡೇಟಾವನ್ನು ತೆಗೆದುಹಾಕಲಾಗುತ್ತದೆ.</v>
      </c>
      <c r="F544" s="7" t="str">
        <f>IFERROR(__xludf.DUMMYFUNCTION("GOOGLETRANSLATE(B544, ""en"", ""ml"")"),"റൈഡ് ചരിത്രം ഉൾപ്പെടെയുള്ള നിങ്ങളുടെ എല്ലാ ഡാറ്റയും നീക്കം ചെയ്യപ്പെടും.")</f>
        <v>റൈഡ് ചരിത്രം ഉൾപ്പെടെയുള്ള നിങ്ങളുടെ എല്ലാ ഡാറ്റയും നീക്കം ചെയ്യപ്പെടും.</v>
      </c>
      <c r="G544" s="7" t="str">
        <f>IFERROR(__xludf.DUMMYFUNCTION("GOOGLETRANSLATE(B544, ""en"", ""te"")"),"రైడ్ చరిత్రతో సహా మీ మొత్తం డేటా తీసివేయబడుతుంది.")</f>
        <v>రైడ్ చరిత్రతో సహా మీ మొత్తం డేటా తీసివేయబడుతుంది.</v>
      </c>
    </row>
    <row r="545">
      <c r="A545" s="4" t="s">
        <v>1133</v>
      </c>
      <c r="B545" s="5" t="s">
        <v>1134</v>
      </c>
      <c r="C545" s="6" t="s">
        <v>1135</v>
      </c>
      <c r="D545" s="6" t="str">
        <f>IFERROR(__xludf.DUMMYFUNCTION("GOOGLETRANSLATE(B545, ""en"", ""hi"")"),"आपका खाता 15 दिनों के बाद स्थायी रूप से हटा दिया जाएगा।")</f>
        <v>आपका खाता 15 दिनों के बाद स्थायी रूप से हटा दिया जाएगा।</v>
      </c>
      <c r="E545" s="6" t="str">
        <f>IFERROR(__xludf.DUMMYFUNCTION("GOOGLETRANSLATE(B545, ""en"", ""kn"")"),"15 ದಿನಗಳ ನಂತರ ನಿಮ್ಮ ಖಾತೆಯನ್ನು ಶಾಶ್ವತವಾಗಿ ಅಳಿಸಲಾಗುತ್ತದೆ.")</f>
        <v>15 ದಿನಗಳ ನಂತರ ನಿಮ್ಮ ಖಾತೆಯನ್ನು ಶಾಶ್ವತವಾಗಿ ಅಳಿಸಲಾಗುತ್ತದೆ.</v>
      </c>
      <c r="F545" s="7" t="str">
        <f>IFERROR(__xludf.DUMMYFUNCTION("GOOGLETRANSLATE(B545, ""en"", ""ml"")"),"15 ദിവസത്തിനുശേഷം നിങ്ങളുടെ അക്കൗണ്ട് ശാശ്വതമായി ഇല്ലാതാക്കപ്പെടും.")</f>
        <v>15 ദിവസത്തിനുശേഷം നിങ്ങളുടെ അക്കൗണ്ട് ശാശ്വതമായി ഇല്ലാതാക്കപ്പെടും.</v>
      </c>
      <c r="G545" s="7" t="str">
        <f>IFERROR(__xludf.DUMMYFUNCTION("GOOGLETRANSLATE(B545, ""en"", ""te"")"),"మీ ఖాతా 15 రోజుల తర్వాత శాశ్వతంగా తొలగించబడుతుంది.")</f>
        <v>మీ ఖాతా 15 రోజుల తర్వాత శాశ్వతంగా తొలగించబడుతుంది.</v>
      </c>
    </row>
    <row r="546">
      <c r="A546" s="4" t="s">
        <v>1136</v>
      </c>
      <c r="B546" s="5" t="s">
        <v>1137</v>
      </c>
      <c r="C546" s="6" t="s">
        <v>1138</v>
      </c>
      <c r="D546" s="6" t="str">
        <f>IFERROR(__xludf.DUMMYFUNCTION("GOOGLETRANSLATE(B546, ""en"", ""hi"")"),"खाता हटाने का कारण दर्ज करें...")</f>
        <v>खाता हटाने का कारण दर्ज करें...</v>
      </c>
      <c r="E546" s="6" t="str">
        <f>IFERROR(__xludf.DUMMYFUNCTION("GOOGLETRANSLATE(B546, ""en"", ""kn"")"),"ಖಾತೆಯನ್ನು ಅಳಿಸಲು ಕಾರಣವನ್ನು ನಮೂದಿಸಿ...")</f>
        <v>ಖಾತೆಯನ್ನು ಅಳಿಸಲು ಕಾರಣವನ್ನು ನಮೂದಿಸಿ...</v>
      </c>
      <c r="F546" s="7" t="str">
        <f>IFERROR(__xludf.DUMMYFUNCTION("GOOGLETRANSLATE(B546, ""en"", ""ml"")"),"അക്കൗണ്ട് ഇല്ലാതാക്കാനുള്ള കാരണം നൽകുക...")</f>
        <v>അക്കൗണ്ട് ഇല്ലാതാക്കാനുള്ള കാരണം നൽകുക...</v>
      </c>
      <c r="G546" s="7" t="str">
        <f>IFERROR(__xludf.DUMMYFUNCTION("GOOGLETRANSLATE(B546, ""en"", ""te"")"),"ఖాతాను తొలగించడానికి గల కారణాన్ని నమోదు చేయండి...")</f>
        <v>ఖాతాను తొలగించడానికి గల కారణాన్ని నమోదు చేయండి...</v>
      </c>
    </row>
    <row r="547">
      <c r="A547" s="4" t="s">
        <v>1139</v>
      </c>
      <c r="B547" s="5" t="s">
        <v>1140</v>
      </c>
      <c r="C547" s="6" t="s">
        <v>1141</v>
      </c>
      <c r="D547" s="6" t="str">
        <f>IFERROR(__xludf.DUMMYFUNCTION("GOOGLETRANSLATE(B547, ""en"", ""hi"")"),"क्या आप इस खाते को हटाने के लिए सुनिश्चित हैं?")</f>
        <v>क्या आप इस खाते को हटाने के लिए सुनिश्चित हैं?</v>
      </c>
      <c r="E547" s="6" t="str">
        <f>IFERROR(__xludf.DUMMYFUNCTION("GOOGLETRANSLATE(B547, ""en"", ""kn"")"),"ನಿಮ್ಮ ಖಾತೆಯನ್ನು ಅಳಿಸಲು ನೀವು ಖಚಿತವಾಗಿ ಬಯಸುವಿರಾ?")</f>
        <v>ನಿಮ್ಮ ಖಾತೆಯನ್ನು ಅಳಿಸಲು ನೀವು ಖಚಿತವಾಗಿ ಬಯಸುವಿರಾ?</v>
      </c>
      <c r="F547" s="7" t="str">
        <f>IFERROR(__xludf.DUMMYFUNCTION("GOOGLETRANSLATE(B547, ""en"", ""ml"")"),"നിങ്ങളുടെ അക്കൗണ്ട് ഇല്ലാതാക്കണമെന്ന് ഉറപ്പാണോ?")</f>
        <v>നിങ്ങളുടെ അക്കൗണ്ട് ഇല്ലാതാക്കണമെന്ന് ഉറപ്പാണോ?</v>
      </c>
      <c r="G547" s="7" t="str">
        <f>IFERROR(__xludf.DUMMYFUNCTION("GOOGLETRANSLATE(B547, ""en"", ""te"")"),"మీరు మీ ఖాతాను తొలగించాలనుకుంటున్నారా?")</f>
        <v>మీరు మీ ఖాతాను తొలగించాలనుకుంటున్నారా?</v>
      </c>
    </row>
    <row r="548">
      <c r="A548" s="4" t="s">
        <v>1142</v>
      </c>
      <c r="B548" s="5" t="s">
        <v>1143</v>
      </c>
      <c r="C548" s="6" t="s">
        <v>1144</v>
      </c>
      <c r="D548" s="6" t="str">
        <f>IFERROR(__xludf.DUMMYFUNCTION("GOOGLETRANSLATE(B548, ""en"", ""hi"")"),"संपर्क हटाएं")</f>
        <v>संपर्क हटाएं</v>
      </c>
      <c r="E548" s="6" t="str">
        <f>IFERROR(__xludf.DUMMYFUNCTION("GOOGLETRANSLATE(B548, ""en"", ""kn"")"),"ಸಂಪರ್ಕವನ್ನು ಅಳಿಸಿ")</f>
        <v>ಸಂಪರ್ಕವನ್ನು ಅಳಿಸಿ</v>
      </c>
      <c r="F548" s="7" t="str">
        <f>IFERROR(__xludf.DUMMYFUNCTION("GOOGLETRANSLATE(B548, ""en"", ""ml"")"),"കോൺടാക്റ്റ് ഇല്ലാതാക്കുക")</f>
        <v>കോൺടാക്റ്റ് ഇല്ലാതാക്കുക</v>
      </c>
      <c r="G548" s="7" t="str">
        <f>IFERROR(__xludf.DUMMYFUNCTION("GOOGLETRANSLATE(B548, ""en"", ""te"")"),"పరిచయాన్ని తొలగించు")</f>
        <v>పరిచయాన్ని తొలగించు</v>
      </c>
    </row>
    <row r="549">
      <c r="A549" s="4" t="s">
        <v>1145</v>
      </c>
      <c r="B549" s="5" t="s">
        <v>1146</v>
      </c>
      <c r="C549" s="6" t="s">
        <v>1147</v>
      </c>
      <c r="D549" s="6" t="str">
        <f>IFERROR(__xludf.DUMMYFUNCTION("GOOGLETRANSLATE(B549, ""en"", ""hi"")"),"क्या आप वाकई इस संपर्क को हटाना चाहते हैं?")</f>
        <v>क्या आप वाकई इस संपर्क को हटाना चाहते हैं?</v>
      </c>
      <c r="E549" s="6" t="str">
        <f>IFERROR(__xludf.DUMMYFUNCTION("GOOGLETRANSLATE(B549, ""en"", ""kn"")"),"ನೀವು ಈ ಸಂಪರ್ಕವನ್ನು ಅಳಿಸಲು ಖಚಿತವಾಗಿ ಬಯಸುವಿರಾ?")</f>
        <v>ನೀವು ಈ ಸಂಪರ್ಕವನ್ನು ಅಳಿಸಲು ಖಚಿತವಾಗಿ ಬಯಸುವಿರಾ?</v>
      </c>
      <c r="F549" s="7" t="str">
        <f>IFERROR(__xludf.DUMMYFUNCTION("GOOGLETRANSLATE(B549, ""en"", ""ml"")"),"ഈ കോൺടാക്റ്റ് ഇല്ലാതാക്കണമെന്ന് നിങ്ങൾക്ക് ഉറപ്പാണോ?")</f>
        <v>ഈ കോൺടാക്റ്റ് ഇല്ലാതാക്കണമെന്ന് നിങ്ങൾക്ക് ഉറപ്പാണോ?</v>
      </c>
      <c r="G549" s="7" t="str">
        <f>IFERROR(__xludf.DUMMYFUNCTION("GOOGLETRANSLATE(B549, ""en"", ""te"")"),"మీరు ఈ పరిచయాన్ని తొలగించాలనుకుంటున్నారా?")</f>
        <v>మీరు ఈ పరిచయాన్ని తొలగించాలనుకుంటున్నారా?</v>
      </c>
    </row>
    <row r="550">
      <c r="A550" s="4" t="s">
        <v>1148</v>
      </c>
      <c r="B550" s="5" t="s">
        <v>1149</v>
      </c>
      <c r="C550" s="6" t="s">
        <v>1150</v>
      </c>
      <c r="D550" s="6" t="str">
        <f>IFERROR(__xludf.DUMMYFUNCTION("GOOGLETRANSLATE(B550, ""en"", ""hi"")"),"स्थान हटाएं")</f>
        <v>स्थान हटाएं</v>
      </c>
      <c r="E550" s="6" t="str">
        <f>IFERROR(__xludf.DUMMYFUNCTION("GOOGLETRANSLATE(B550, ""en"", ""kn"")"),"ಸ್ಥಳವನ್ನು ಅಳಿಸಿ")</f>
        <v>ಸ್ಥಳವನ್ನು ಅಳಿಸಿ</v>
      </c>
      <c r="F550" s="7" t="str">
        <f>IFERROR(__xludf.DUMMYFUNCTION("GOOGLETRANSLATE(B550, ""en"", ""ml"")"),"സ്ഥലം ഇല്ലാതാക്കുക")</f>
        <v>സ്ഥലം ഇല്ലാതാക്കുക</v>
      </c>
      <c r="G550" s="7" t="str">
        <f>IFERROR(__xludf.DUMMYFUNCTION("GOOGLETRANSLATE(B550, ""en"", ""te"")"),"స్థలాన్ని తొలగించు")</f>
        <v>స్థలాన్ని తొలగించు</v>
      </c>
    </row>
    <row r="551">
      <c r="A551" s="4" t="s">
        <v>1151</v>
      </c>
      <c r="B551" s="5" t="s">
        <v>1152</v>
      </c>
      <c r="C551" s="6" t="s">
        <v>1153</v>
      </c>
      <c r="D551" s="6" t="str">
        <f>IFERROR(__xludf.DUMMYFUNCTION("GOOGLETRANSLATE(B551, ""en"", ""hi"")"),"क्या आप वाकई इस जगह को हटाना चाहते हैं?")</f>
        <v>क्या आप वाकई इस जगह को हटाना चाहते हैं?</v>
      </c>
      <c r="E551" s="6" t="str">
        <f>IFERROR(__xludf.DUMMYFUNCTION("GOOGLETRANSLATE(B551, ""en"", ""kn"")"),"ನೀವು ಈ ಸ್ಥಳವನ್ನು ಅಳಿಸಲು ಖಚಿತವಾಗಿ ಬಯಸುವಿರಾ?")</f>
        <v>ನೀವು ಈ ಸ್ಥಳವನ್ನು ಅಳಿಸಲು ಖಚಿತವಾಗಿ ಬಯಸುವಿರಾ?</v>
      </c>
      <c r="F551" s="7" t="str">
        <f>IFERROR(__xludf.DUMMYFUNCTION("GOOGLETRANSLATE(B551, ""en"", ""ml"")"),"ഈ സ്ഥലം ഇല്ലാതാക്കണമെന്ന് നിങ്ങൾക്ക് ഉറപ്പാണോ?")</f>
        <v>ഈ സ്ഥലം ഇല്ലാതാക്കണമെന്ന് നിങ്ങൾക്ക് ഉറപ്പാണോ?</v>
      </c>
      <c r="G551" s="7" t="str">
        <f>IFERROR(__xludf.DUMMYFUNCTION("GOOGLETRANSLATE(B551, ""en"", ""te"")"),"మీరు ఈ స్థలాన్ని ఖచ్చితంగా తొలగించాలనుకుంటున్నారా?")</f>
        <v>మీరు ఈ స్థలాన్ని ఖచ్చితంగా తొలగించాలనుకుంటున్నారా?</v>
      </c>
    </row>
    <row r="552">
      <c r="A552" s="4" t="s">
        <v>1154</v>
      </c>
      <c r="B552" s="5" t="s">
        <v>1155</v>
      </c>
      <c r="C552" s="6" t="s">
        <v>1156</v>
      </c>
      <c r="D552" s="6" t="str">
        <f>IFERROR(__xludf.DUMMYFUNCTION("GOOGLETRANSLATE(B552, ""en"", ""hi"")"),"गंतव्य")</f>
        <v>गंतव्य</v>
      </c>
      <c r="E552" s="6" t="str">
        <f>IFERROR(__xludf.DUMMYFUNCTION("GOOGLETRANSLATE(B552, ""en"", ""kn"")"),"ತಲುಪಬೇಕಾದ ಸ್ಥಳ")</f>
        <v>ತಲುಪಬೇಕಾದ ಸ್ಥಳ</v>
      </c>
      <c r="F552" s="7" t="str">
        <f>IFERROR(__xludf.DUMMYFUNCTION("GOOGLETRANSLATE(B552, ""en"", ""ml"")"),"ലക്ഷ്യസ്ഥാനം")</f>
        <v>ലക്ഷ്യസ്ഥാനം</v>
      </c>
      <c r="G552" s="7" t="str">
        <f>IFERROR(__xludf.DUMMYFUNCTION("GOOGLETRANSLATE(B552, ""en"", ""te"")"),"గమ్యస్థానం")</f>
        <v>గమ్యస్థానం</v>
      </c>
    </row>
    <row r="553">
      <c r="A553" s="4" t="s">
        <v>1157</v>
      </c>
      <c r="B553" s="5" t="s">
        <v>1158</v>
      </c>
      <c r="C553" s="6" t="s">
        <v>1159</v>
      </c>
      <c r="D553" s="6" t="str">
        <f>IFERROR(__xludf.DUMMYFUNCTION("GOOGLETRANSLATE(B553, ""en"", ""hi"")"),"गंतव्य तक पहुँच गए")</f>
        <v>गंतव्य तक पहुँच गए</v>
      </c>
      <c r="E553" s="6" t="str">
        <f>IFERROR(__xludf.DUMMYFUNCTION("GOOGLETRANSLATE(B553, ""en"", ""kn"")"),"ತಲುಪಬೇಕಾದ ಸ್ಥಳ")</f>
        <v>ತಲುಪಬೇಕಾದ ಸ್ಥಳ</v>
      </c>
      <c r="F553" s="7" t="str">
        <f>IFERROR(__xludf.DUMMYFUNCTION("GOOGLETRANSLATE(B553, ""en"", ""ml"")"),"ലക്ഷ്യസ്ഥാനം എത്തി")</f>
        <v>ലക്ഷ്യസ്ഥാനം എത്തി</v>
      </c>
      <c r="G553" s="7" t="str">
        <f>IFERROR(__xludf.DUMMYFUNCTION("GOOGLETRANSLATE(B553, ""en"", ""te"")"),"గమ్యస్థానం చేరుకుంది")</f>
        <v>గమ్యస్థానం చేరుకుంది</v>
      </c>
    </row>
    <row r="554">
      <c r="A554" s="4" t="s">
        <v>1160</v>
      </c>
      <c r="B554" s="5" t="s">
        <v>1161</v>
      </c>
      <c r="C554" s="6" t="s">
        <v>1162</v>
      </c>
      <c r="D554" s="6" t="str">
        <f>IFERROR(__xludf.DUMMYFUNCTION("GOOGLETRANSLATE(B554, ""en"", ""hi"")"),"छूट")</f>
        <v>छूट</v>
      </c>
      <c r="E554" s="6" t="str">
        <f>IFERROR(__xludf.DUMMYFUNCTION("GOOGLETRANSLATE(B554, ""en"", ""kn"")"),"ರಿಯಾಯಿತಿ")</f>
        <v>ರಿಯಾಯಿತಿ</v>
      </c>
      <c r="F554" s="7" t="str">
        <f>IFERROR(__xludf.DUMMYFUNCTION("GOOGLETRANSLATE(B554, ""en"", ""ml"")"),"കിഴിവ്")</f>
        <v>കിഴിവ്</v>
      </c>
      <c r="G554" s="7" t="str">
        <f>IFERROR(__xludf.DUMMYFUNCTION("GOOGLETRANSLATE(B554, ""en"", ""te"")"),"డిస్కౌంట్")</f>
        <v>డిస్కౌంట్</v>
      </c>
    </row>
    <row r="555">
      <c r="A555" s="4" t="s">
        <v>1163</v>
      </c>
      <c r="B555" s="5" t="s">
        <v>1164</v>
      </c>
      <c r="C555" s="6" t="s">
        <v>1165</v>
      </c>
      <c r="D555" s="6" t="str">
        <f>IFERROR(__xludf.DUMMYFUNCTION("GOOGLETRANSLATE(B555, ""en"", ""hi"")"),"नकार देना")</f>
        <v>नकार देना</v>
      </c>
      <c r="E555" s="6" t="str">
        <f>IFERROR(__xludf.DUMMYFUNCTION("GOOGLETRANSLATE(B555, ""en"", ""kn"")"),"ವಜಾಗೊಳಿಸಿ")</f>
        <v>ವಜಾಗೊಳಿಸಿ</v>
      </c>
      <c r="F555" s="7" t="str">
        <f>IFERROR(__xludf.DUMMYFUNCTION("GOOGLETRANSLATE(B555, ""en"", ""ml"")"),"നിരസിക്കുക")</f>
        <v>നിരസിക്കുക</v>
      </c>
      <c r="G555" s="7" t="str">
        <f>IFERROR(__xludf.DUMMYFUNCTION("GOOGLETRANSLATE(B555, ""en"", ""te"")"),"తీసివేయి")</f>
        <v>తీసివేయి</v>
      </c>
    </row>
    <row r="556">
      <c r="A556" s="4" t="s">
        <v>1166</v>
      </c>
      <c r="B556" s="5" t="s">
        <v>1167</v>
      </c>
      <c r="C556" s="6" t="s">
        <v>1168</v>
      </c>
      <c r="D556" s="6" t="str">
        <f>IFERROR(__xludf.DUMMYFUNCTION("GOOGLETRANSLATE(B556, ""en"", ""hi"")"),"दूरी")</f>
        <v>दूरी</v>
      </c>
      <c r="E556" s="6" t="str">
        <f>IFERROR(__xludf.DUMMYFUNCTION("GOOGLETRANSLATE(B556, ""en"", ""kn"")"),"ದೂರ")</f>
        <v>ದೂರ</v>
      </c>
      <c r="F556" s="7" t="str">
        <f>IFERROR(__xludf.DUMMYFUNCTION("GOOGLETRANSLATE(B556, ""en"", ""ml"")"),"ദൂരം")</f>
        <v>ദൂരം</v>
      </c>
      <c r="G556" s="7" t="str">
        <f>IFERROR(__xludf.DUMMYFUNCTION("GOOGLETRANSLATE(B556, ""en"", ""te"")"),"దూరం")</f>
        <v>దూరం</v>
      </c>
    </row>
    <row r="557">
      <c r="A557" s="4" t="s">
        <v>1169</v>
      </c>
      <c r="B557" s="5" t="s">
        <v>1170</v>
      </c>
      <c r="C557" s="6" t="s">
        <v>1171</v>
      </c>
      <c r="D557" s="6" t="str">
        <f>IFERROR(__xludf.DUMMYFUNCTION("GOOGLETRANSLATE(B557, ""en"", ""hi"")"),"दूरी किराया")</f>
        <v>दूरी किराया</v>
      </c>
      <c r="E557" s="6" t="str">
        <f>IFERROR(__xludf.DUMMYFUNCTION("GOOGLETRANSLATE(B557, ""en"", ""kn"")"),"ದೂರ ಪ್ರಯಾಣ ದರ")</f>
        <v>ದೂರ ಪ್ರಯಾಣ ದರ</v>
      </c>
      <c r="F557" s="7" t="str">
        <f>IFERROR(__xludf.DUMMYFUNCTION("GOOGLETRANSLATE(B557, ""en"", ""ml"")"),"ദൂര നിരക്ക്")</f>
        <v>ദൂര നിരക്ക്</v>
      </c>
      <c r="G557" s="7" t="str">
        <f>IFERROR(__xludf.DUMMYFUNCTION("GOOGLETRANSLATE(B557, ""en"", ""te"")"),"దూర ఛార్జీ")</f>
        <v>దూర ఛార్జీ</v>
      </c>
    </row>
    <row r="558">
      <c r="A558" s="4" t="s">
        <v>1172</v>
      </c>
      <c r="B558" s="5" t="s">
        <v>1173</v>
      </c>
      <c r="C558" s="6" t="s">
        <v>1174</v>
      </c>
      <c r="D558" s="6" t="str">
        <f>IFERROR(__xludf.DUMMYFUNCTION("GOOGLETRANSLATE(B558, ""en"", ""hi"")"),"दूरी सीमा पार हो गई")</f>
        <v>दूरी सीमा पार हो गई</v>
      </c>
      <c r="E558" s="6" t="str">
        <f>IFERROR(__xludf.DUMMYFUNCTION("GOOGLETRANSLATE(B558, ""en"", ""kn"")"),"ದೂರದ ಮಿತಿ ಮೀರಿದೆ")</f>
        <v>ದೂರದ ಮಿತಿ ಮೀರಿದೆ</v>
      </c>
      <c r="F558" s="7" t="str">
        <f>IFERROR(__xludf.DUMMYFUNCTION("GOOGLETRANSLATE(B558, ""en"", ""ml"")"),"ദൂരപരിധി കവിഞ്ഞു")</f>
        <v>ദൂരപരിധി കവിഞ്ഞു</v>
      </c>
      <c r="G558" s="7" t="str">
        <f>IFERROR(__xludf.DUMMYFUNCTION("GOOGLETRANSLATE(B558, ""en"", ""te"")"),"దూర పరిమితి మించిపోయింది")</f>
        <v>దూర పరిమితి మించిపోయింది</v>
      </c>
    </row>
    <row r="559">
      <c r="A559" s="4" t="s">
        <v>1175</v>
      </c>
      <c r="B559" s="5" t="s">
        <v>1176</v>
      </c>
      <c r="C559" s="6" t="s">
        <v>875</v>
      </c>
      <c r="D559" s="6" t="str">
        <f>IFERROR(__xludf.DUMMYFUNCTION("GOOGLETRANSLATE(B559, ""en"", ""hi"")"),"अलग हुए")</f>
        <v>अलग हुए</v>
      </c>
      <c r="E559" s="6" t="str">
        <f>IFERROR(__xludf.DUMMYFUNCTION("GOOGLETRANSLATE(B559, ""en"", ""kn"")"),"ಡೈವರ್ಜ್ಡ್")</f>
        <v>ಡೈವರ್ಜ್ಡ್</v>
      </c>
      <c r="F559" s="7" t="str">
        <f>IFERROR(__xludf.DUMMYFUNCTION("GOOGLETRANSLATE(B559, ""en"", ""ml"")"),"വ്യതിചലിച്ചു")</f>
        <v>വ്യതിചലിച്ചു</v>
      </c>
      <c r="G559" s="7" t="str">
        <f>IFERROR(__xludf.DUMMYFUNCTION("GOOGLETRANSLATE(B559, ""en"", ""te"")"),"డైవర్జ్డ్")</f>
        <v>డైవర్జ్డ్</v>
      </c>
    </row>
    <row r="560">
      <c r="A560" s="4" t="s">
        <v>1177</v>
      </c>
      <c r="B560" s="5" t="s">
        <v>1178</v>
      </c>
      <c r="C560" s="6" t="s">
        <v>1179</v>
      </c>
      <c r="D560" s="6" t="str">
        <f>IFERROR(__xludf.DUMMYFUNCTION("GOOGLETRANSLATE(B560, ""en"", ""hi"")"),"इनवॉइस डाउनलोड करें")</f>
        <v>इनवॉइस डाउनलोड करें</v>
      </c>
      <c r="E560" s="6" t="str">
        <f>IFERROR(__xludf.DUMMYFUNCTION("GOOGLETRANSLATE(B560, ""en"", ""kn"")"),"ಇನ್‌ವಾಯ್ಸ್ ಡೌನ್‌ಲೋಡ್ ಮಾಡಿ")</f>
        <v>ಇನ್‌ವಾಯ್ಸ್ ಡೌನ್‌ಲೋಡ್ ಮಾಡಿ</v>
      </c>
      <c r="F560" s="7" t="str">
        <f>IFERROR(__xludf.DUMMYFUNCTION("GOOGLETRANSLATE(B560, ""en"", ""ml"")"),"ഇൻവോയ്സ് ഡൗൺലോഡ് ചെയ്യുക")</f>
        <v>ഇൻവോയ്സ് ഡൗൺലോഡ് ചെയ്യുക</v>
      </c>
      <c r="G560" s="7" t="str">
        <f>IFERROR(__xludf.DUMMYFUNCTION("GOOGLETRANSLATE(B560, ""en"", ""te"")"),"ఇన్‌వాయిస్‌ని డౌన్‌లోడ్ చేసుకోండి")</f>
        <v>ఇన్‌వాయిస్‌ని డౌన్‌లోడ్ చేసుకోండి</v>
      </c>
    </row>
    <row r="561">
      <c r="A561" s="4" t="s">
        <v>1180</v>
      </c>
      <c r="B561" s="5" t="s">
        <v>1181</v>
      </c>
      <c r="C561" s="6" t="s">
        <v>1182</v>
      </c>
      <c r="D561" s="6" t="str">
        <f>IFERROR(__xludf.DUMMYFUNCTION("GOOGLETRANSLATE(B561, ""en"", ""hi"")"),"पीडीएफ डाउनलोड करें")</f>
        <v>पीडीएफ डाउनलोड करें</v>
      </c>
      <c r="E561" s="6" t="str">
        <f>IFERROR(__xludf.DUMMYFUNCTION("GOOGLETRANSLATE(B561, ""en"", ""kn"")"),"PDF ಡೌನ್‌ಲೋಡ್ ಮಾಡಿ")</f>
        <v>PDF ಡೌನ್‌ಲೋಡ್ ಮಾಡಿ</v>
      </c>
      <c r="F561" s="7" t="str">
        <f>IFERROR(__xludf.DUMMYFUNCTION("GOOGLETRANSLATE(B561, ""en"", ""ml"")"),"PDF ഡൗൺലോഡ് ചെയ്യുക")</f>
        <v>PDF ഡൗൺലോഡ് ചെയ്യുക</v>
      </c>
      <c r="G561" s="7" t="str">
        <f>IFERROR(__xludf.DUMMYFUNCTION("GOOGLETRANSLATE(B561, ""en"", ""te"")"),"PDF డౌన్లోడ్")</f>
        <v>PDF డౌన్లోడ్</v>
      </c>
    </row>
    <row r="562">
      <c r="A562" s="4" t="s">
        <v>1183</v>
      </c>
      <c r="B562" s="5" t="s">
        <v>1184</v>
      </c>
      <c r="C562" s="6" t="s">
        <v>1185</v>
      </c>
      <c r="D562" s="6" t="str">
        <f>IFERROR(__xludf.DUMMYFUNCTION("GOOGLETRANSLATE(B562, ""en"", ""hi"")"),"नम्मा ऊरु टैक्सी की सवारी पाने और पैसे कमाने के लिए VMtracker ड्राइवर ऐप डाउनलोड करें। ड्राइवर के रूप में अपना पंजीकरण पूरा करें और आज ही कमाई शुरू करें।")</f>
        <v>नम्मा ऊरु टैक्सी की सवारी पाने और पैसे कमाने के लिए VMtracker ड्राइवर ऐप डाउनलोड करें। ड्राइवर के रूप में अपना पंजीकरण पूरा करें और आज ही कमाई शुरू करें।</v>
      </c>
      <c r="E562" s="6" t="str">
        <f>IFERROR(__xludf.DUMMYFUNCTION("GOOGLETRANSLATE(B562, ""en"", ""kn"")"),"ನಮ್ಮ ಊರು ಟ್ಯಾಕ್ಸಿ ಸವಾರಿಗಳನ್ನು ಪಡೆಯಲು ಮತ್ತು ಹಣ ಸಂಪಾದಿಸಲು VMtracker ಡ್ರೈವರ್ ಅಪ್ಲಿಕೇಶನ್ ಡೌನ್‌ಲೋಡ್ ಮಾಡಿ. ಚಾಲಕರಾಗಿ ನಿಮ್ಮ ನೋಂದಣಿಯನ್ನು ಪೂರ್ಣಗೊಳಿಸಿ ಮತ್ತು ಇಂದೇ ಗಳಿಸಲು ಪ್ರಾರಂಭಿಸಿ.")</f>
        <v>ನಮ್ಮ ಊರು ಟ್ಯಾಕ್ಸಿ ಸವಾರಿಗಳನ್ನು ಪಡೆಯಲು ಮತ್ತು ಹಣ ಸಂಪಾದಿಸಲು VMtracker ಡ್ರೈವರ್ ಅಪ್ಲಿಕೇಶನ್ ಡೌನ್‌ಲೋಡ್ ಮಾಡಿ. ಚಾಲಕರಾಗಿ ನಿಮ್ಮ ನೋಂದಣಿಯನ್ನು ಪೂರ್ಣಗೊಳಿಸಿ ಮತ್ತು ಇಂದೇ ಗಳಿಸಲು ಪ್ರಾರಂಭಿಸಿ.</v>
      </c>
      <c r="F562" s="7" t="str">
        <f>IFERROR(__xludf.DUMMYFUNCTION("GOOGLETRANSLATE(B562, ""en"", ""ml"")"),"നമ്മ ഊരു ടാക്സി റൈഡുകൾ നേടാനും പണം സമ്പാദിക്കാനും VMtracker ഡ്രൈവർ ആപ്പ് ഡൗൺലോഡ് ചെയ്യുക. ഡ്രൈവർ എന്ന നിലയിൽ നിങ്ങളുടെ രജിസ്ട്രേഷൻ പൂർത്തിയാക്കി ഇന്ന് തന്നെ സമ്പാദിക്കാൻ തുടങ്ങൂ.")</f>
        <v>നമ്മ ഊരു ടാക്സി റൈഡുകൾ നേടാനും പണം സമ്പാദിക്കാനും VMtracker ഡ്രൈവർ ആപ്പ് ഡൗൺലോഡ് ചെയ്യുക. ഡ്രൈവർ എന്ന നിലയിൽ നിങ്ങളുടെ രജിസ്ട്രേഷൻ പൂർത്തിയാക്കി ഇന്ന് തന്നെ സമ്പാദിക്കാൻ തുടങ്ങൂ.</v>
      </c>
      <c r="G562" s="7" t="str">
        <f>IFERROR(__xludf.DUMMYFUNCTION("GOOGLETRANSLATE(B562, ""en"", ""te"")"),"నమ్మ ఊరు టాక్సీ రైడ్‌లు పొందడానికి మరియు డబ్బు సంపాదించడానికి VMtracker డ్రైవర్ యాప్‌ను డౌన్‌లోడ్ చేసుకోండి. డ్రైవర్‌గా మీ రిజిస్ట్రేషన్‌ను పూర్తి చేసి ఈరోజే సంపాదించడం ప్రారంభించండి.")</f>
        <v>నమ్మ ఊరు టాక్సీ రైడ్‌లు పొందడానికి మరియు డబ్బు సంపాదించడానికి VMtracker డ్రైవర్ యాప్‌ను డౌన్‌లోడ్ చేసుకోండి. డ్రైవర్‌గా మీ రిజిస్ట్రేషన్‌ను పూర్తి చేసి ఈరోజే సంపాదించడం ప్రారంభించండి.</v>
      </c>
    </row>
    <row r="563">
      <c r="A563" s="4" t="s">
        <v>1186</v>
      </c>
      <c r="B563" s="5" t="s">
        <v>1187</v>
      </c>
      <c r="C563" s="6" t="s">
        <v>1188</v>
      </c>
      <c r="D563" s="6" t="str">
        <f>IFERROR(__xludf.DUMMYFUNCTION("GOOGLETRANSLATE(B563, ""en"", ""hi"")"),"VMtracker के साथ ड्राइव करें")</f>
        <v>VMtracker के साथ ड्राइव करें</v>
      </c>
      <c r="E563" s="6" t="str">
        <f>IFERROR(__xludf.DUMMYFUNCTION("GOOGLETRANSLATE(B563, ""en"", ""kn"")"),"VMtracker ನೊಂದಿಗೆ ಡ್ರೈವ್ ಮಾಡಿ")</f>
        <v>VMtracker ನೊಂದಿಗೆ ಡ್ರೈವ್ ಮಾಡಿ</v>
      </c>
      <c r="F563" s="7" t="str">
        <f>IFERROR(__xludf.DUMMYFUNCTION("GOOGLETRANSLATE(B563, ""en"", ""ml"")"),"VMtracker ഉപയോഗിച്ച് ഡ്രൈവ് ചെയ്യുക")</f>
        <v>VMtracker ഉപയോഗിച്ച് ഡ്രൈവ് ചെയ്യുക</v>
      </c>
      <c r="G563" s="7" t="str">
        <f>IFERROR(__xludf.DUMMYFUNCTION("GOOGLETRANSLATE(B563, ""en"", ""te"")"),"VMtracker తో డ్రైవ్ చేయండి")</f>
        <v>VMtracker తో డ్రైవ్ చేయండి</v>
      </c>
    </row>
    <row r="564">
      <c r="A564" s="4" t="s">
        <v>1189</v>
      </c>
      <c r="B564" s="5" t="s">
        <v>1190</v>
      </c>
      <c r="C564" s="6" t="s">
        <v>1191</v>
      </c>
      <c r="D564" s="6" t="str">
        <f>IFERROR(__xludf.DUMMYFUNCTION("GOOGLETRANSLATE(B564, ""en"", ""hi"")"),"VMtracker ड्राइवर ऐप डाउनलोड करें")</f>
        <v>VMtracker ड्राइवर ऐप डाउनलोड करें</v>
      </c>
      <c r="E564" s="6" t="str">
        <f>IFERROR(__xludf.DUMMYFUNCTION("GOOGLETRANSLATE(B564, ""en"", ""kn"")"),"VMtracker ಡ್ರೈವರ್ ಅಪ್ಲಿಕೇಶನ್ ಡೌನ್‌ಲೋಡ್ ಮಾಡಿ")</f>
        <v>VMtracker ಡ್ರೈವರ್ ಅಪ್ಲಿಕೇಶನ್ ಡೌನ್‌ಲೋಡ್ ಮಾಡಿ</v>
      </c>
      <c r="F564" s="7" t="str">
        <f>IFERROR(__xludf.DUMMYFUNCTION("GOOGLETRANSLATE(B564, ""en"", ""ml"")"),"VMtracker ഡ്രൈവർ ആപ്പ് ഡൗൺലോഡ് ചെയ്യുക")</f>
        <v>VMtracker ഡ്രൈവർ ആപ്പ് ഡൗൺലോഡ് ചെയ്യുക</v>
      </c>
      <c r="G564" s="7" t="str">
        <f>IFERROR(__xludf.DUMMYFUNCTION("GOOGLETRANSLATE(B564, ""en"", ""te"")"),"VMtracker డ్రైవర్ యాప్‌ను డౌన్‌లోడ్ చేసుకోండి")</f>
        <v>VMtracker డ్రైవర్ యాప్‌ను డౌన్‌లోడ్ చేసుకోండి</v>
      </c>
    </row>
    <row r="565">
      <c r="A565" s="4" t="s">
        <v>1192</v>
      </c>
      <c r="B565" s="5" t="s">
        <v>1193</v>
      </c>
      <c r="C565" s="6" t="s">
        <v>1194</v>
      </c>
      <c r="D565" s="6" t="str">
        <f>IFERROR(__xludf.DUMMYFUNCTION("GOOGLETRANSLATE(B565, ""en"", ""hi"")"),"हमसे संपर्क करें पर जाएं")</f>
        <v>हमसे संपर्क करें पर जाएं</v>
      </c>
      <c r="E565" s="6" t="str">
        <f>IFERROR(__xludf.DUMMYFUNCTION("GOOGLETRANSLATE(B565, ""en"", ""kn"")"),"ನಮ್ಮನ್ನು ಸಂಪರ್ಕಿಸಿ ವಿಭಾಗಕ್ಕೆ ಹೋಗಿ")</f>
        <v>ನಮ್ಮನ್ನು ಸಂಪರ್ಕಿಸಿ ವಿಭಾಗಕ್ಕೆ ಹೋಗಿ</v>
      </c>
      <c r="F565" s="7" t="str">
        <f>IFERROR(__xludf.DUMMYFUNCTION("GOOGLETRANSLATE(B565, ""en"", ""ml"")"),"ഞങ്ങളെ ബന്ധപ്പെടുക എന്നതിലേക്ക് പോകുക")</f>
        <v>ഞങ്ങളെ ബന്ധപ്പെടുക എന്നതിലേക്ക് പോകുക</v>
      </c>
      <c r="G565" s="7" t="str">
        <f>IFERROR(__xludf.DUMMYFUNCTION("GOOGLETRANSLATE(B565, ""en"", ""te"")"),"మమ్మల్ని సంప్రదించండి కు వెళ్ళండి")</f>
        <v>మమ్మల్ని సంప్రదించండి కు వెళ్ళండి</v>
      </c>
    </row>
    <row r="566">
      <c r="A566" s="4" t="s">
        <v>1195</v>
      </c>
      <c r="B566" s="5" t="s">
        <v>1196</v>
      </c>
      <c r="C566" s="6" t="s">
        <v>1197</v>
      </c>
      <c r="D566" s="6" t="str">
        <f>IFERROR(__xludf.DUMMYFUNCTION("GOOGLETRANSLATE(B566, ""en"", ""hi"")"),"हम आपकी मदद के लिए यहाँ हैं। आप हमसे कभी भी संपर्क कर सकते हैं।")</f>
        <v>हम आपकी मदद के लिए यहाँ हैं। आप हमसे कभी भी संपर्क कर सकते हैं।</v>
      </c>
      <c r="E566" s="6" t="str">
        <f>IFERROR(__xludf.DUMMYFUNCTION("GOOGLETRANSLATE(B566, ""en"", ""kn"")"),"ನಿಮಗೆ ಸಹಾಯ ಮಾಡಲು ನಾವು ಇಲ್ಲಿದ್ದೇವೆ. ಯಾವುದೇ ಸಮಯದಲ್ಲಿ ನಮ್ಮನ್ನು ಸಂಪರ್ಕಿಸಿ.")</f>
        <v>ನಿಮಗೆ ಸಹಾಯ ಮಾಡಲು ನಾವು ಇಲ್ಲಿದ್ದೇವೆ. ಯಾವುದೇ ಸಮಯದಲ್ಲಿ ನಮ್ಮನ್ನು ಸಂಪರ್ಕಿಸಿ.</v>
      </c>
      <c r="F566" s="7" t="str">
        <f>IFERROR(__xludf.DUMMYFUNCTION("GOOGLETRANSLATE(B566, ""en"", ""ml"")"),"സഹായിക്കാൻ ഞങ്ങൾ ഇവിടെയുണ്ട്. ഏത് സമയത്തും ഞങ്ങളെ ബന്ധപ്പെടുക.")</f>
        <v>സഹായിക്കാൻ ഞങ്ങൾ ഇവിടെയുണ്ട്. ഏത് സമയത്തും ഞങ്ങളെ ബന്ധപ്പെടുക.</v>
      </c>
      <c r="G566" s="7" t="str">
        <f>IFERROR(__xludf.DUMMYFUNCTION("GOOGLETRANSLATE(B566, ""en"", ""te"")"),"మీకు సహాయం చేయడానికి మేము ఇక్కడ ఉన్నాము. ఎప్పుడైనా మమ్మల్ని సంప్రదించండి.")</f>
        <v>మీకు సహాయం చేయడానికి మేము ఇక్కడ ఉన్నాము. ఎప్పుడైనా మమ్మల్ని సంప్రదించండి.</v>
      </c>
    </row>
    <row r="567">
      <c r="A567" s="4" t="s">
        <v>1198</v>
      </c>
      <c r="B567" s="5" t="s">
        <v>1199</v>
      </c>
      <c r="C567" s="6" t="s">
        <v>1200</v>
      </c>
      <c r="D567" s="6" t="str">
        <f>IFERROR(__xludf.DUMMYFUNCTION("GOOGLETRANSLATE(B567, ""en"", ""hi"")"),"क्या आपको कोई शंका या समस्या है?")</f>
        <v>क्या आपको कोई शंका या समस्या है?</v>
      </c>
      <c r="E567" s="6" t="str">
        <f>IFERROR(__xludf.DUMMYFUNCTION("GOOGLETRANSLATE(B567, ""en"", ""kn"")"),"ಯಾವುದೇ ಅನುಮಾನಗಳು ಅಥವಾ ಸಮಸ್ಯೆಗಳಿವೆಯೇ?")</f>
        <v>ಯಾವುದೇ ಅನುಮಾನಗಳು ಅಥವಾ ಸಮಸ್ಯೆಗಳಿವೆಯೇ?</v>
      </c>
      <c r="F567" s="7" t="str">
        <f>IFERROR(__xludf.DUMMYFUNCTION("GOOGLETRANSLATE(B567, ""en"", ""ml"")"),"എന്തെങ്കിലും സംശയങ്ങളോ പ്രശ്നങ്ങളോ ഉണ്ടോ?")</f>
        <v>എന്തെങ്കിലും സംശയങ്ങളോ പ്രശ്നങ്ങളോ ഉണ്ടോ?</v>
      </c>
      <c r="G567" s="7" t="str">
        <f>IFERROR(__xludf.DUMMYFUNCTION("GOOGLETRANSLATE(B567, ""en"", ""te"")"),"ఏవైనా సందేహాలు లేదా సమస్యలు ఉన్నాయా?")</f>
        <v>ఏవైనా సందేహాలు లేదా సమస్యలు ఉన్నాయా?</v>
      </c>
    </row>
    <row r="568">
      <c r="A568" s="4" t="s">
        <v>1201</v>
      </c>
      <c r="B568" s="5" t="s">
        <v>1202</v>
      </c>
      <c r="C568" s="6" t="s">
        <v>1203</v>
      </c>
      <c r="D568" s="6" t="str">
        <f>IFERROR(__xludf.DUMMYFUNCTION("GOOGLETRANSLATE(B568, ""en"", ""hi"")"),"ड्राइवर कैसे बनें")</f>
        <v>ड्राइवर कैसे बनें</v>
      </c>
      <c r="E568" s="6" t="str">
        <f>IFERROR(__xludf.DUMMYFUNCTION("GOOGLETRANSLATE(B568, ""en"", ""kn"")"),"ಚಾಲಕರಾಗುವುದು ಹೇಗೆ")</f>
        <v>ಚಾಲಕರಾಗುವುದು ಹೇಗೆ</v>
      </c>
      <c r="F568" s="7" t="str">
        <f>IFERROR(__xludf.DUMMYFUNCTION("GOOGLETRANSLATE(B568, ""en"", ""ml"")"),"എങ്ങനെ ഒരു ഡ്രൈവർ ആകാം")</f>
        <v>എങ്ങനെ ഒരു ഡ്രൈവർ ആകാം</v>
      </c>
      <c r="G568" s="7" t="str">
        <f>IFERROR(__xludf.DUMMYFUNCTION("GOOGLETRANSLATE(B568, ""en"", ""te"")"),"డ్రైవర్‌గా ఎలా మారాలి")</f>
        <v>డ్రైవర్‌గా ఎలా మారాలి</v>
      </c>
    </row>
    <row r="569">
      <c r="A569" s="4" t="s">
        <v>1204</v>
      </c>
      <c r="B569" s="5" t="s">
        <v>1205</v>
      </c>
      <c r="C569" s="6" t="s">
        <v>1206</v>
      </c>
      <c r="D569" s="6" t="str">
        <f>IFERROR(__xludf.DUMMYFUNCTION("GOOGLETRANSLATE(B569, ""en"", ""hi"")"),"प्ले स्टोर में खोलें")</f>
        <v>प्ले स्टोर में खोलें</v>
      </c>
      <c r="E569" s="6" t="str">
        <f>IFERROR(__xludf.DUMMYFUNCTION("GOOGLETRANSLATE(B569, ""en"", ""kn"")"),"ಪ್ಲೇ ಸ್ಟೋರ್‌ನಲ್ಲಿ ತೆರೆಯಿರಿ")</f>
        <v>ಪ್ಲೇ ಸ್ಟೋರ್‌ನಲ್ಲಿ ತೆರೆಯಿರಿ</v>
      </c>
      <c r="F569" s="7" t="str">
        <f>IFERROR(__xludf.DUMMYFUNCTION("GOOGLETRANSLATE(B569, ""en"", ""ml"")"),"പ്ലേ സ്റ്റോറിൽ തുറക്കുക")</f>
        <v>പ്ലേ സ്റ്റോറിൽ തുറക്കുക</v>
      </c>
      <c r="G569" s="7" t="str">
        <f>IFERROR(__xludf.DUMMYFUNCTION("GOOGLETRANSLATE(B569, ""en"", ""te"")"),"ప్లే స్టోర్‌లో తెరవండి")</f>
        <v>ప్లే స్టోర్‌లో తెరవండి</v>
      </c>
    </row>
    <row r="570">
      <c r="A570" s="4" t="s">
        <v>1207</v>
      </c>
      <c r="B570" s="5" t="s">
        <v>1208</v>
      </c>
      <c r="C570" s="6" t="s">
        <v>1209</v>
      </c>
      <c r="D570" s="6" t="str">
        <f>IFERROR(__xludf.DUMMYFUNCTION("GOOGLETRANSLATE(B570, ""en"", ""hi"")"),"लाइसेंस, वाहन संबंधी कागजात और पहचान पत्र जमा करें।")</f>
        <v>लाइसेंस, वाहन संबंधी कागजात और पहचान पत्र जमा करें।</v>
      </c>
      <c r="E570" s="6" t="str">
        <f>IFERROR(__xludf.DUMMYFUNCTION("GOOGLETRANSLATE(B570, ""en"", ""kn"")"),"ಪರವಾನಗಿ, ವಾಹನ ದಾಖಲೆಗಳು ಮತ್ತು ಗುರುತಿನ ಪುರಾವೆಗಳನ್ನು ಸಲ್ಲಿಸಿ.")</f>
        <v>ಪರವಾನಗಿ, ವಾಹನ ದಾಖಲೆಗಳು ಮತ್ತು ಗುರುತಿನ ಪುರಾವೆಗಳನ್ನು ಸಲ್ಲಿಸಿ.</v>
      </c>
      <c r="F570" s="7" t="str">
        <f>IFERROR(__xludf.DUMMYFUNCTION("GOOGLETRANSLATE(B570, ""en"", ""ml"")"),"ലൈസൻസ്, വാഹന രേഖകൾ, തിരിച്ചറിയൽ രേഖ എന്നിവ സമർപ്പിക്കുക.")</f>
        <v>ലൈസൻസ്, വാഹന രേഖകൾ, തിരിച്ചറിയൽ രേഖ എന്നിവ സമർപ്പിക്കുക.</v>
      </c>
      <c r="G570" s="7" t="str">
        <f>IFERROR(__xludf.DUMMYFUNCTION("GOOGLETRANSLATE(B570, ""en"", ""te"")"),"లైసెన్స్, వాహన పత్రాలు మరియు గుర్తింపు రుజువును సమర్పించండి.")</f>
        <v>లైసెన్స్, వాహన పత్రాలు మరియు గుర్తింపు రుజువును సమర్పించండి.</v>
      </c>
    </row>
    <row r="571">
      <c r="A571" s="4" t="s">
        <v>1210</v>
      </c>
      <c r="B571" s="5" t="s">
        <v>1211</v>
      </c>
      <c r="C571" s="6" t="s">
        <v>1212</v>
      </c>
      <c r="D571" s="6" t="str">
        <f>IFERROR(__xludf.DUMMYFUNCTION("GOOGLETRANSLATE(B571, ""en"", ""hi"")"),"दस्तावेज़ अपलोड करें")</f>
        <v>दस्तावेज़ अपलोड करें</v>
      </c>
      <c r="E571" s="6" t="str">
        <f>IFERROR(__xludf.DUMMYFUNCTION("GOOGLETRANSLATE(B571, ""en"", ""kn"")"),"ದಾಖಲೆಗಳನ್ನು ಅಪ್‌ಲೋಡ್ ಮಾಡಿ")</f>
        <v>ದಾಖಲೆಗಳನ್ನು ಅಪ್‌ಲೋಡ್ ಮಾಡಿ</v>
      </c>
      <c r="F571" s="7" t="str">
        <f>IFERROR(__xludf.DUMMYFUNCTION("GOOGLETRANSLATE(B571, ""en"", ""ml"")"),"പ്രമാണങ്ങൾ അപ്‌ലോഡ് ചെയ്യുക")</f>
        <v>പ്രമാണങ്ങൾ അപ്‌ലോഡ് ചെയ്യുക</v>
      </c>
      <c r="G571" s="7" t="str">
        <f>IFERROR(__xludf.DUMMYFUNCTION("GOOGLETRANSLATE(B571, ""en"", ""te"")"),"పత్రాలను అప్‌లోడ్ చేయండి")</f>
        <v>పత్రాలను అప్‌లోడ్ చేయండి</v>
      </c>
    </row>
    <row r="572">
      <c r="A572" s="4" t="s">
        <v>1213</v>
      </c>
      <c r="B572" s="5" t="s">
        <v>1214</v>
      </c>
      <c r="C572" s="6" t="s">
        <v>1215</v>
      </c>
      <c r="D572" s="6" t="str">
        <f>IFERROR(__xludf.DUMMYFUNCTION("GOOGLETRANSLATE(B572, ""en"", ""hi"")"),"वीएम ट्रैकर ऐप डाउनलोड करें और बुनियादी जानकारी के साथ अपना ड्राइवर प्रोफाइल बनाएं।")</f>
        <v>वीएम ट्रैकर ऐप डाउनलोड करें और बुनियादी जानकारी के साथ अपना ड्राइवर प्रोफाइल बनाएं।</v>
      </c>
      <c r="E572" s="6" t="str">
        <f>IFERROR(__xludf.DUMMYFUNCTION("GOOGLETRANSLATE(B572, ""en"", ""kn"")"),"VM ಟ್ರ್ಯಾಕರ್ ಅಪ್ಲಿಕೇಶನ್ ಡೌನ್‌ಲೋಡ್ ಮಾಡಿ ಮತ್ತು ಮೂಲ ಮಾಹಿತಿಯೊಂದಿಗೆ ನಿಮ್ಮ ಚಾಲಕ ಪ್ರೊಫೈಲ್ ಅನ್ನು ರಚಿಸಿ.")</f>
        <v>VM ಟ್ರ್ಯಾಕರ್ ಅಪ್ಲಿಕೇಶನ್ ಡೌನ್‌ಲೋಡ್ ಮಾಡಿ ಮತ್ತು ಮೂಲ ಮಾಹಿತಿಯೊಂದಿಗೆ ನಿಮ್ಮ ಚಾಲಕ ಪ್ರೊಫೈಲ್ ಅನ್ನು ರಚಿಸಿ.</v>
      </c>
      <c r="F572" s="7" t="str">
        <f>IFERROR(__xludf.DUMMYFUNCTION("GOOGLETRANSLATE(B572, ""en"", ""ml"")"),"VM ട്രാക്കർ ആപ്പ് ഡൗൺലോഡ് ചെയ്ത് അടിസ്ഥാന വിവരങ്ങൾ ഉപയോഗിച്ച് നിങ്ങളുടെ ഡ്രൈവർ പ്രൊഫൈൽ സൃഷ്ടിക്കുക.")</f>
        <v>VM ട്രാക്കർ ആപ്പ് ഡൗൺലോഡ് ചെയ്ത് അടിസ്ഥാന വിവരങ്ങൾ ഉപയോഗിച്ച് നിങ്ങളുടെ ഡ്രൈവർ പ്രൊഫൈൽ സൃഷ്ടിക്കുക.</v>
      </c>
      <c r="G572" s="7" t="str">
        <f>IFERROR(__xludf.DUMMYFUNCTION("GOOGLETRANSLATE(B572, ""en"", ""te"")"),"VM ట్రాకర్ యాప్‌ను డౌన్‌లోడ్ చేసుకోండి మరియు ప్రాథమిక సమాచారంతో మీ డ్రైవర్ ప్రొఫైల్‌ను సృష్టించండి.")</f>
        <v>VM ట్రాకర్ యాప్‌ను డౌన్‌లోడ్ చేసుకోండి మరియు ప్రాథమిక సమాచారంతో మీ డ్రైవర్ ప్రొఫైల్‌ను సృష్టించండి.</v>
      </c>
    </row>
    <row r="573">
      <c r="A573" s="4" t="s">
        <v>1216</v>
      </c>
      <c r="B573" s="5" t="s">
        <v>1217</v>
      </c>
      <c r="C573" s="6" t="s">
        <v>1218</v>
      </c>
      <c r="D573" s="6" t="str">
        <f>IFERROR(__xludf.DUMMYFUNCTION("GOOGLETRANSLATE(B573, ""en"", ""hi"")"),"साइन अप करें")</f>
        <v>साइन अप करें</v>
      </c>
      <c r="E573" s="6" t="str">
        <f>IFERROR(__xludf.DUMMYFUNCTION("GOOGLETRANSLATE(B573, ""en"", ""kn"")"),"ಸೈನ್ ಅಪ್")</f>
        <v>ಸೈನ್ ಅಪ್</v>
      </c>
      <c r="F573" s="7" t="str">
        <f>IFERROR(__xludf.DUMMYFUNCTION("GOOGLETRANSLATE(B573, ""en"", ""ml"")"),"സൈൻ അപ്പ് ചെയ്യുക")</f>
        <v>സൈൻ അപ്പ് ചെയ്യുക</v>
      </c>
      <c r="G573" s="7" t="str">
        <f>IFERROR(__xludf.DUMMYFUNCTION("GOOGLETRANSLATE(B573, ""en"", ""te"")"),"చేరడం")</f>
        <v>చేరడం</v>
      </c>
    </row>
    <row r="574">
      <c r="A574" s="4" t="s">
        <v>1219</v>
      </c>
      <c r="B574" s="5" t="s">
        <v>1220</v>
      </c>
      <c r="C574" s="6" t="s">
        <v>1221</v>
      </c>
      <c r="D574" s="6" t="str">
        <f>IFERROR(__xludf.DUMMYFUNCTION("GOOGLETRANSLATE(B574, ""en"", ""hi"")"),"ऑनलाइन जाएं और पैसे कमाने के लिए राइड रिक्वेस्ट स्वीकार करें।")</f>
        <v>ऑनलाइन जाएं और पैसे कमाने के लिए राइड रिक्वेस्ट स्वीकार करें।</v>
      </c>
      <c r="E574" s="6" t="str">
        <f>IFERROR(__xludf.DUMMYFUNCTION("GOOGLETRANSLATE(B574, ""en"", ""kn"")"),"ಆನ್‌ಲೈನ್‌ಗೆ ಹೋಗಿ ಮತ್ತು ಗಳಿಸಲು ಸವಾರಿ ವಿನಂತಿಗಳನ್ನು ಸ್ವೀಕರಿಸಿ.")</f>
        <v>ಆನ್‌ಲೈನ್‌ಗೆ ಹೋಗಿ ಮತ್ತು ಗಳಿಸಲು ಸವಾರಿ ವಿನಂತಿಗಳನ್ನು ಸ್ವೀಕರಿಸಿ.</v>
      </c>
      <c r="F574" s="7" t="str">
        <f>IFERROR(__xludf.DUMMYFUNCTION("GOOGLETRANSLATE(B574, ""en"", ""ml"")"),"ഓൺലൈനിൽ പോയി റൈഡ് അഭ്യർത്ഥനകൾ സ്വീകരിച്ച് പണം സമ്പാദിക്കൂ.")</f>
        <v>ഓൺലൈനിൽ പോയി റൈഡ് അഭ്യർത്ഥനകൾ സ്വീകരിച്ച് പണം സമ്പാദിക്കൂ.</v>
      </c>
      <c r="G574" s="7" t="str">
        <f>IFERROR(__xludf.DUMMYFUNCTION("GOOGLETRANSLATE(B574, ""en"", ""te"")"),"ఆన్‌లైన్‌లోకి వెళ్లి రైడ్ అభ్యర్థనలను అంగీకరించి సంపాదించండి.")</f>
        <v>ఆన్‌లైన్‌లోకి వెళ్లి రైడ్ అభ్యర్థనలను అంగీకరించి సంపాదించండి.</v>
      </c>
    </row>
    <row r="575">
      <c r="A575" s="4" t="s">
        <v>1222</v>
      </c>
      <c r="B575" s="5" t="s">
        <v>1223</v>
      </c>
      <c r="C575" s="6" t="s">
        <v>1224</v>
      </c>
      <c r="D575" s="6" t="str">
        <f>IFERROR(__xludf.DUMMYFUNCTION("GOOGLETRANSLATE(B575, ""en"", ""hi"")"),"कमाई शुरू करें")</f>
        <v>कमाई शुरू करें</v>
      </c>
      <c r="E575" s="6" t="str">
        <f>IFERROR(__xludf.DUMMYFUNCTION("GOOGLETRANSLATE(B575, ""en"", ""kn"")"),"ಗಳಿಸಲು ಪ್ರಾರಂಭಿಸಿ")</f>
        <v>ಗಳಿಸಲು ಪ್ರಾರಂಭಿಸಿ</v>
      </c>
      <c r="F575" s="7" t="str">
        <f>IFERROR(__xludf.DUMMYFUNCTION("GOOGLETRANSLATE(B575, ""en"", ""ml"")"),"സമ്പാദിക്കാൻ തുടങ്ങൂ")</f>
        <v>സമ്പാദിക്കാൻ തുടങ്ങൂ</v>
      </c>
      <c r="G575" s="7" t="str">
        <f>IFERROR(__xludf.DUMMYFUNCTION("GOOGLETRANSLATE(B575, ""en"", ""te"")"),"సంపాదించడం ప్రారంభించండి")</f>
        <v>సంపాదించడం ప్రారంభించండి</v>
      </c>
    </row>
    <row r="576">
      <c r="A576" s="4" t="s">
        <v>1225</v>
      </c>
      <c r="B576" s="5" t="s">
        <v>1226</v>
      </c>
      <c r="C576" s="6" t="s">
        <v>1227</v>
      </c>
      <c r="D576" s="6" t="str">
        <f>IFERROR(__xludf.DUMMYFUNCTION("GOOGLETRANSLATE(B576, ""en"", ""hi"")"),"हम आपके विवरणों की समीक्षा करते हैं और आपके खाते का सत्यापन करते हैं।")</f>
        <v>हम आपके विवरणों की समीक्षा करते हैं और आपके खाते का सत्यापन करते हैं।</v>
      </c>
      <c r="E576" s="6" t="str">
        <f>IFERROR(__xludf.DUMMYFUNCTION("GOOGLETRANSLATE(B576, ""en"", ""kn"")"),"ನಾವು ನಿಮ್ಮ ವಿವರಗಳನ್ನು ಪರಿಶೀಲಿಸುತ್ತೇವೆ ಮತ್ತು ನಿಮ್ಮ ಖಾತೆಯನ್ನು ಪರಿಶೀಲಿಸುತ್ತೇವೆ.")</f>
        <v>ನಾವು ನಿಮ್ಮ ವಿವರಗಳನ್ನು ಪರಿಶೀಲಿಸುತ್ತೇವೆ ಮತ್ತು ನಿಮ್ಮ ಖಾತೆಯನ್ನು ಪರಿಶೀಲಿಸುತ್ತೇವೆ.</v>
      </c>
      <c r="F576" s="7" t="str">
        <f>IFERROR(__xludf.DUMMYFUNCTION("GOOGLETRANSLATE(B576, ""en"", ""ml"")"),"ഞങ്ങൾ നിങ്ങളുടെ വിശദാംശങ്ങൾ പരിശോധിച്ച് അക്കൗണ്ട് പരിശോധിച്ചുറപ്പിക്കുന്നു.")</f>
        <v>ഞങ്ങൾ നിങ്ങളുടെ വിശദാംശങ്ങൾ പരിശോധിച്ച് അക്കൗണ്ട് പരിശോധിച്ചുറപ്പിക്കുന്നു.</v>
      </c>
      <c r="G576" s="7" t="str">
        <f>IFERROR(__xludf.DUMMYFUNCTION("GOOGLETRANSLATE(B576, ""en"", ""te"")"),"మేము మీ వివరాలను సమీక్షించి, మీ ఖాతాను ధృవీకరిస్తాము.")</f>
        <v>మేము మీ వివరాలను సమీక్షించి, మీ ఖాతాను ధృవీకరిస్తాము.</v>
      </c>
    </row>
    <row r="577">
      <c r="A577" s="4" t="s">
        <v>1228</v>
      </c>
      <c r="B577" s="5" t="s">
        <v>1229</v>
      </c>
      <c r="C577" s="6" t="s">
        <v>1230</v>
      </c>
      <c r="D577" s="6" t="str">
        <f>IFERROR(__xludf.DUMMYFUNCTION("GOOGLETRANSLATE(B577, ""en"", ""hi"")"),"सत्यापन प्राप्त करें")</f>
        <v>सत्यापन प्राप्त करें</v>
      </c>
      <c r="E577" s="6" t="str">
        <f>IFERROR(__xludf.DUMMYFUNCTION("GOOGLETRANSLATE(B577, ""en"", ""kn"")"),"ಪರಿಶೀಲನೆ ಪಡೆಯಿರಿ")</f>
        <v>ಪರಿಶೀಲನೆ ಪಡೆಯಿರಿ</v>
      </c>
      <c r="F577" s="7" t="str">
        <f>IFERROR(__xludf.DUMMYFUNCTION("GOOGLETRANSLATE(B577, ""en"", ""ml"")"),"പരിശോധിച്ചുറപ്പിക്കുക")</f>
        <v>പരിശോധിച്ചുറപ്പിക്കുക</v>
      </c>
      <c r="G577" s="7" t="str">
        <f>IFERROR(__xludf.DUMMYFUNCTION("GOOGLETRANSLATE(B577, ""en"", ""te"")"),"ధృవీకరించండి")</f>
        <v>ధృవీకరించండి</v>
      </c>
    </row>
    <row r="578">
      <c r="A578" s="4" t="s">
        <v>1231</v>
      </c>
      <c r="B578" s="5" t="s">
        <v>1232</v>
      </c>
      <c r="C578" s="6" t="s">
        <v>1233</v>
      </c>
      <c r="D578" s="6" t="str">
        <f>IFERROR(__xludf.DUMMYFUNCTION("GOOGLETRANSLATE(B578, ""en"", ""hi"")"),"ड्राइवर हमें क्यों चुनते हैं?")</f>
        <v>ड्राइवर हमें क्यों चुनते हैं?</v>
      </c>
      <c r="E578" s="6" t="str">
        <f>IFERROR(__xludf.DUMMYFUNCTION("GOOGLETRANSLATE(B578, ""en"", ""kn"")"),"ಚಾಲಕರು ನಮ್ಮನ್ನು ಏಕೆ ಆರಿಸಿಕೊಳ್ಳುತ್ತಾರೆ")</f>
        <v>ಚಾಲಕರು ನಮ್ಮನ್ನು ಏಕೆ ಆರಿಸಿಕೊಳ್ಳುತ್ತಾರೆ</v>
      </c>
      <c r="F578" s="7" t="str">
        <f>IFERROR(__xludf.DUMMYFUNCTION("GOOGLETRANSLATE(B578, ""en"", ""ml"")"),"ഡ്രൈവർമാർ ഞങ്ങളെ തിരഞ്ഞെടുക്കുന്നത് എന്തുകൊണ്ട്?")</f>
        <v>ഡ്രൈവർമാർ ഞങ്ങളെ തിരഞ്ഞെടുക്കുന്നത് എന്തുകൊണ്ട്?</v>
      </c>
      <c r="G578" s="7" t="str">
        <f>IFERROR(__xludf.DUMMYFUNCTION("GOOGLETRANSLATE(B578, ""en"", ""te"")"),"డ్రైవర్లు మమ్మల్ని ఎందుకు ఎంచుకుంటారు")</f>
        <v>డ్రైవర్లు మమ్మల్ని ఎందుకు ఎంచుకుంటారు</v>
      </c>
    </row>
    <row r="579">
      <c r="A579" s="4" t="s">
        <v>1234</v>
      </c>
      <c r="B579" s="5" t="s">
        <v>1235</v>
      </c>
      <c r="C579" s="6" t="s">
        <v>1236</v>
      </c>
      <c r="D579" s="6" t="str">
        <f>IFERROR(__xludf.DUMMYFUNCTION("GOOGLETRANSLATE(B579, ""en"", ""hi"")"),"ड्राइवर खाता संख्या नहीं मिली")</f>
        <v>ड्राइवर खाता संख्या नहीं मिली</v>
      </c>
      <c r="E579" s="6" t="str">
        <f>IFERROR(__xludf.DUMMYFUNCTION("GOOGLETRANSLATE(B579, ""en"", ""kn"")"),"ಚಾಲಕ ಖಾತೆ ಸಂಖ್ಯೆ ಕಂಡುಬಂದಿಲ್ಲ.")</f>
        <v>ಚಾಲಕ ಖಾತೆ ಸಂಖ್ಯೆ ಕಂಡುಬಂದಿಲ್ಲ.</v>
      </c>
      <c r="F579" s="7" t="str">
        <f>IFERROR(__xludf.DUMMYFUNCTION("GOOGLETRANSLATE(B579, ""en"", ""ml"")"),"ഡ്രൈവർ അക്കൗണ്ട് നമ്പർ കണ്ടെത്തിയില്ല.")</f>
        <v>ഡ്രൈവർ അക്കൗണ്ട് നമ്പർ കണ്ടെത്തിയില്ല.</v>
      </c>
      <c r="G579" s="7" t="str">
        <f>IFERROR(__xludf.DUMMYFUNCTION("GOOGLETRANSLATE(B579, ""en"", ""te"")"),"డ్రైవర్ ఖాతా నంబర్ కనుగొనబడలేదు")</f>
        <v>డ్రైవర్ ఖాతా నంబర్ కనుగొనబడలేదు</v>
      </c>
    </row>
    <row r="580">
      <c r="A580" s="4" t="s">
        <v>1237</v>
      </c>
      <c r="B580" s="5" t="s">
        <v>1238</v>
      </c>
      <c r="C580" s="6" t="s">
        <v>1239</v>
      </c>
      <c r="D580" s="6" t="str">
        <f>IFERROR(__xludf.DUMMYFUNCTION("GOOGLETRANSLATE(B580, ""en"", ""hi"")"),"ड्राइवर का आगमन")</f>
        <v>ड्राइवर का आगमन</v>
      </c>
      <c r="E580" s="6" t="str">
        <f>IFERROR(__xludf.DUMMYFUNCTION("GOOGLETRANSLATE(B580, ""en"", ""kn"")"),"ಚಾಲಕ ಆಗಮನ")</f>
        <v>ಚಾಲಕ ಆಗಮನ</v>
      </c>
      <c r="F580" s="7" t="str">
        <f>IFERROR(__xludf.DUMMYFUNCTION("GOOGLETRANSLATE(B580, ""en"", ""ml"")"),"ഡ്രൈവർ വരവ്")</f>
        <v>ഡ്രൈവർ വരവ്</v>
      </c>
      <c r="G580" s="7" t="str">
        <f>IFERROR(__xludf.DUMMYFUNCTION("GOOGLETRANSLATE(B580, ""en"", ""te"")"),"డ్రైవర్ రాక")</f>
        <v>డ్రైవర్ రాక</v>
      </c>
    </row>
    <row r="581">
      <c r="A581" s="4" t="s">
        <v>1240</v>
      </c>
      <c r="B581" s="5" t="s">
        <v>1241</v>
      </c>
      <c r="C581" s="6" t="s">
        <v>1242</v>
      </c>
      <c r="D581" s="6" t="str">
        <f>IFERROR(__xludf.DUMMYFUNCTION("GOOGLETRANSLATE(B581, ""en"", ""hi"")"),"ड्राइवर आ रहा है")</f>
        <v>ड्राइवर आ रहा है</v>
      </c>
      <c r="E581" s="6" t="str">
        <f>IFERROR(__xludf.DUMMYFUNCTION("GOOGLETRANSLATE(B581, ""en"", ""kn"")"),"ಚಾಲಕ ಆಗಮಿಸುತ್ತಿದ್ದಾರೆ")</f>
        <v>ಚಾಲಕ ಆಗಮಿಸುತ್ತಿದ್ದಾರೆ</v>
      </c>
      <c r="F581" s="7" t="str">
        <f>IFERROR(__xludf.DUMMYFUNCTION("GOOGLETRANSLATE(B581, ""en"", ""ml"")"),"ഡ്രൈവർ എത്തിച്ചേരുന്നു")</f>
        <v>ഡ്രൈവർ എത്തിച്ചേരുന്നു</v>
      </c>
      <c r="G581" s="7" t="str">
        <f>IFERROR(__xludf.DUMMYFUNCTION("GOOGLETRANSLATE(B581, ""en"", ""te"")"),"డ్రైవర్ వస్తున్నాడు")</f>
        <v>డ్రైవర్ వస్తున్నాడు</v>
      </c>
    </row>
    <row r="582">
      <c r="A582" s="4" t="s">
        <v>1243</v>
      </c>
      <c r="B582" s="5" t="s">
        <v>1244</v>
      </c>
      <c r="C582" s="6" t="s">
        <v>1245</v>
      </c>
      <c r="D582" s="6" t="str">
        <f>IFERROR(__xludf.DUMMYFUNCTION("GOOGLETRANSLATE(B582, ""en"", ""hi"")"),"ड्राइवर से कैंसिल करने को कहा गया")</f>
        <v>ड्राइवर से कैंसिल करने को कहा गया</v>
      </c>
      <c r="E582" s="6" t="str">
        <f>IFERROR(__xludf.DUMMYFUNCTION("GOOGLETRANSLATE(B582, ""en"", ""kn"")"),"ಚಾಲಕನಿಗೆ ರದ್ದುಗೊಳಿಸಲು ಕೇಳಲಾಗಿದೆ")</f>
        <v>ಚಾಲಕನಿಗೆ ರದ್ದುಗೊಳಿಸಲು ಕೇಳಲಾಗಿದೆ</v>
      </c>
      <c r="F582" s="7" t="str">
        <f>IFERROR(__xludf.DUMMYFUNCTION("GOOGLETRANSLATE(B582, ""en"", ""ml"")"),"ഡ്രൈവർ റദ്ദാക്കാൻ ആവശ്യപ്പെട്ടു")</f>
        <v>ഡ്രൈവർ റദ്ദാക്കാൻ ആവശ്യപ്പെട്ടു</v>
      </c>
      <c r="G582" s="7" t="str">
        <f>IFERROR(__xludf.DUMMYFUNCTION("GOOGLETRANSLATE(B582, ""en"", ""te"")"),"డ్రైవర్‌ను రద్దు చేయమని అడిగారు")</f>
        <v>డ్రైవర్‌ను రద్దు చేయమని అడిగారు</v>
      </c>
    </row>
    <row r="583">
      <c r="A583" s="4" t="s">
        <v>1246</v>
      </c>
      <c r="B583" s="5" t="s">
        <v>1247</v>
      </c>
      <c r="C583" s="6" t="s">
        <v>1248</v>
      </c>
      <c r="D583" s="6" t="str">
        <f>IFERROR(__xludf.DUMMYFUNCTION("GOOGLETRANSLATE(B583, ""en"", ""hi"")"),"ड्राइवर नियुक्त किया गया")</f>
        <v>ड्राइवर नियुक्त किया गया</v>
      </c>
      <c r="E583" s="6" t="str">
        <f>IFERROR(__xludf.DUMMYFUNCTION("GOOGLETRANSLATE(B583, ""en"", ""kn"")"),"ಚಾಲಕನನ್ನು ನಿಯೋಜಿಸಲಾಗಿದೆ")</f>
        <v>ಚಾಲಕನನ್ನು ನಿಯೋಜಿಸಲಾಗಿದೆ</v>
      </c>
      <c r="F583" s="7" t="str">
        <f>IFERROR(__xludf.DUMMYFUNCTION("GOOGLETRANSLATE(B583, ""en"", ""ml"")"),"ഡ്രൈവർ നിയമിച്ചു")</f>
        <v>ഡ്രൈവർ നിയമിച്ചു</v>
      </c>
      <c r="G583" s="7" t="str">
        <f>IFERROR(__xludf.DUMMYFUNCTION("GOOGLETRANSLATE(B583, ""en"", ""te"")"),"డ్రైవర్ కేటాయించబడ్డాడు")</f>
        <v>డ్రైవర్ కేటాయించబడ్డాడు</v>
      </c>
    </row>
    <row r="584">
      <c r="A584" s="4" t="s">
        <v>1249</v>
      </c>
      <c r="B584" s="5" t="s">
        <v>1250</v>
      </c>
      <c r="C584" s="6" t="s">
        <v>1251</v>
      </c>
      <c r="D584" s="6" t="str">
        <f>IFERROR(__xludf.DUMMYFUNCTION("GOOGLETRANSLATE(B584, ""en"", ""hi"")"),"ड्राइवर की जानकारी")</f>
        <v>ड्राइवर की जानकारी</v>
      </c>
      <c r="E584" s="6" t="str">
        <f>IFERROR(__xludf.DUMMYFUNCTION("GOOGLETRANSLATE(B584, ""en"", ""kn"")"),"ಚಾಲಕ ಮಾಹಿತಿ")</f>
        <v>ಚಾಲಕ ಮಾಹಿತಿ</v>
      </c>
      <c r="F584" s="7" t="str">
        <f>IFERROR(__xludf.DUMMYFUNCTION("GOOGLETRANSLATE(B584, ""en"", ""ml"")"),"ഡ്രൈവർ വിവരങ്ങൾ")</f>
        <v>ഡ്രൈവർ വിവരങ്ങൾ</v>
      </c>
      <c r="G584" s="7" t="str">
        <f>IFERROR(__xludf.DUMMYFUNCTION("GOOGLETRANSLATE(B584, ""en"", ""te"")"),"డ్రైవర్ సమాచారం")</f>
        <v>డ్రైవర్ సమాచారం</v>
      </c>
    </row>
    <row r="585">
      <c r="A585" s="4" t="s">
        <v>1252</v>
      </c>
      <c r="B585" s="5" t="s">
        <v>1253</v>
      </c>
      <c r="C585" s="6" t="s">
        <v>1254</v>
      </c>
      <c r="D585" s="6" t="str">
        <f>IFERROR(__xludf.DUMMYFUNCTION("GOOGLETRANSLATE(B585, ""en"", ""hi"")"),"ड्राइवर असभ्य या गैर-पेशेवर है।")</f>
        <v>ड्राइवर असभ्य या गैर-पेशेवर है।</v>
      </c>
      <c r="E585" s="6" t="str">
        <f>IFERROR(__xludf.DUMMYFUNCTION("GOOGLETRANSLATE(B585, ""en"", ""kn"")"),"ಚಾಲಕ ಅಸಭ್ಯ ಅಥವಾ ವೃತ್ತಿಪರವಲ್ಲದವನು.")</f>
        <v>ಚಾಲಕ ಅಸಭ್ಯ ಅಥವಾ ವೃತ್ತಿಪರವಲ್ಲದವನು.</v>
      </c>
      <c r="F585" s="7" t="str">
        <f>IFERROR(__xludf.DUMMYFUNCTION("GOOGLETRANSLATE(B585, ""en"", ""ml"")"),"ഡ്രൈവർ പരുഷമായി പെരുമാറുന്നു അല്ലെങ്കിൽ പ്രൊഫഷണലല്ല.")</f>
        <v>ഡ്രൈവർ പരുഷമായി പെരുമാറുന്നു അല്ലെങ്കിൽ പ്രൊഫഷണലല്ല.</v>
      </c>
      <c r="G585" s="7" t="str">
        <f>IFERROR(__xludf.DUMMYFUNCTION("GOOGLETRANSLATE(B585, ""en"", ""te"")"),"డ్రైవర్ దురుసుగా లేదా అనైతికంగా ఉంటాడు")</f>
        <v>డ్రైవర్ దురుసుగా లేదా అనైతికంగా ఉంటాడు</v>
      </c>
    </row>
    <row r="586">
      <c r="A586" s="4" t="s">
        <v>1255</v>
      </c>
      <c r="B586" s="5" t="s">
        <v>1256</v>
      </c>
      <c r="C586" s="6" t="s">
        <v>1257</v>
      </c>
      <c r="D586" s="6" t="str">
        <f>IFERROR(__xludf.DUMMYFUNCTION("GOOGLETRANSLATE(B586, ""en"", ""hi"")"),"ड्राइवर को बहुत देर लग रही है")</f>
        <v>ड्राइवर को बहुत देर लग रही है</v>
      </c>
      <c r="E586" s="6" t="str">
        <f>IFERROR(__xludf.DUMMYFUNCTION("GOOGLETRANSLATE(B586, ""en"", ""kn"")"),"ಚಾಲಕ ತುಂಬಾ ಸಮಯ ತೆಗೆದುಕೊಳ್ಳುತ್ತಿದ್ದಾನೆ.")</f>
        <v>ಚಾಲಕ ತುಂಬಾ ಸಮಯ ತೆಗೆದುಕೊಳ್ಳುತ್ತಿದ್ದಾನೆ.</v>
      </c>
      <c r="F586" s="7" t="str">
        <f>IFERROR(__xludf.DUMMYFUNCTION("GOOGLETRANSLATE(B586, ""en"", ""ml"")"),"ഡ്രൈവർ വളരെ സമയമെടുക്കുന്നു")</f>
        <v>ഡ്രൈവർ വളരെ സമയമെടുക്കുന്നു</v>
      </c>
      <c r="G586" s="7" t="str">
        <f>IFERROR(__xludf.DUMMYFUNCTION("GOOGLETRANSLATE(B586, ""en"", ""te"")"),"డ్రైవర్ చాలా సమయం తీసుకుంటున్నాడు")</f>
        <v>డ్రైవర్ చాలా సమయం తీసుకుంటున్నాడు</v>
      </c>
    </row>
    <row r="587">
      <c r="A587" s="4" t="s">
        <v>1258</v>
      </c>
      <c r="B587" s="5" t="s">
        <v>1259</v>
      </c>
      <c r="C587" s="6" t="s">
        <v>1260</v>
      </c>
      <c r="D587" s="6" t="str">
        <f>IFERROR(__xludf.DUMMYFUNCTION("GOOGLETRANSLATE(B587, ""en"", ""hi"")"),"ड्राइवर नहीं मिला")</f>
        <v>ड्राइवर नहीं मिला</v>
      </c>
      <c r="E587" s="6" t="str">
        <f>IFERROR(__xludf.DUMMYFUNCTION("GOOGLETRANSLATE(B587, ""en"", ""kn"")"),"ಚಾಲಕ ಕಂಡುಬಂದಿಲ್ಲ")</f>
        <v>ಚಾಲಕ ಕಂಡುಬಂದಿಲ್ಲ</v>
      </c>
      <c r="F587" s="7" t="str">
        <f>IFERROR(__xludf.DUMMYFUNCTION("GOOGLETRANSLATE(B587, ""en"", ""ml"")"),"ഡ്രൈവർ കണ്ടെത്തിയില്ല")</f>
        <v>ഡ്രൈവർ കണ്ടെത്തിയില്ല</v>
      </c>
      <c r="G587" s="7" t="str">
        <f>IFERROR(__xludf.DUMMYFUNCTION("GOOGLETRANSLATE(B587, ""en"", ""te"")"),"డ్రైవర్ కనుగొనబడలేదు")</f>
        <v>డ్రైవర్ కనుగొనబడలేదు</v>
      </c>
    </row>
    <row r="588">
      <c r="A588" s="4" t="s">
        <v>1261</v>
      </c>
      <c r="B588" s="5" t="s">
        <v>1262</v>
      </c>
      <c r="C588" s="6" t="s">
        <v>1263</v>
      </c>
      <c r="D588" s="6" t="str">
        <f>IFERROR(__xludf.DUMMYFUNCTION("GOOGLETRANSLATE(B588, ""en"", ""hi"")"),"ड्राइवर जवाब नहीं दे रहा है")</f>
        <v>ड्राइवर जवाब नहीं दे रहा है</v>
      </c>
      <c r="E588" s="6" t="str">
        <f>IFERROR(__xludf.DUMMYFUNCTION("GOOGLETRANSLATE(B588, ""en"", ""kn"")"),"ಚಾಲಕ ಪ್ರತಿಕ್ರಿಯಿಸುತ್ತಿಲ್ಲ")</f>
        <v>ಚಾಲಕ ಪ್ರತಿಕ್ರಿಯಿಸುತ್ತಿಲ್ಲ</v>
      </c>
      <c r="F588" s="7" t="str">
        <f>IFERROR(__xludf.DUMMYFUNCTION("GOOGLETRANSLATE(B588, ""en"", ""ml"")"),"ഡ്രൈവർ പ്രതികരിക്കുന്നില്ല.")</f>
        <v>ഡ്രൈവർ പ്രതികരിക്കുന്നില്ല.</v>
      </c>
      <c r="G588" s="7" t="str">
        <f>IFERROR(__xludf.DUMMYFUNCTION("GOOGLETRANSLATE(B588, ""en"", ""te"")"),"డ్రైవర్ స్పందించడం లేదు")</f>
        <v>డ్రైవర్ స్పందించడం లేదు</v>
      </c>
    </row>
    <row r="589">
      <c r="A589" s="4" t="s">
        <v>1264</v>
      </c>
      <c r="B589" s="5" t="s">
        <v>1265</v>
      </c>
      <c r="C589" s="6" t="s">
        <v>1266</v>
      </c>
      <c r="D589" s="6" t="str">
        <f>IFERROR(__xludf.DUMMYFUNCTION("GOOGLETRANSLATE(B589, ""en"", ""hi"")"),"ड्राइवर के प्रतीक्षा समय")</f>
        <v>ड्राइवर के प्रतीक्षा समय</v>
      </c>
      <c r="E589" s="6" t="str">
        <f>IFERROR(__xludf.DUMMYFUNCTION("GOOGLETRANSLATE(B589, ""en"", ""kn"")"),"ಚಾಲಕ ಕಾಯುವ ಸಮಯ")</f>
        <v>ಚಾಲಕ ಕಾಯುವ ಸಮಯ</v>
      </c>
      <c r="F589" s="7" t="str">
        <f>IFERROR(__xludf.DUMMYFUNCTION("GOOGLETRANSLATE(B589, ""en"", ""ml"")"),"ഡ്രൈവർ കാത്തിരിപ്പ് സമയം")</f>
        <v>ഡ്രൈവർ കാത്തിരിപ്പ് സമയം</v>
      </c>
      <c r="G589" s="7" t="str">
        <f>IFERROR(__xludf.DUMMYFUNCTION("GOOGLETRANSLATE(B589, ""en"", ""te"")"),"డ్రైవర్ వేచి ఉండే సమయం")</f>
        <v>డ్రైవర్ వేచి ఉండే సమయం</v>
      </c>
    </row>
    <row r="590">
      <c r="A590" s="4" t="s">
        <v>1267</v>
      </c>
      <c r="B590" s="5" t="s">
        <v>1268</v>
      </c>
      <c r="C590" s="6" t="s">
        <v>1269</v>
      </c>
      <c r="D590" s="6" t="str">
        <f>IFERROR(__xludf.DUMMYFUNCTION("GOOGLETRANSLATE(B590, ""en"", ""hi"")"),"बूँद")</f>
        <v>बूँद</v>
      </c>
      <c r="E590" s="6" t="str">
        <f>IFERROR(__xludf.DUMMYFUNCTION("GOOGLETRANSLATE(B590, ""en"", ""kn"")"),"ಡ್ರಾಪ್")</f>
        <v>ಡ್ರಾಪ್</v>
      </c>
      <c r="F590" s="7" t="str">
        <f>IFERROR(__xludf.DUMMYFUNCTION("GOOGLETRANSLATE(B590, ""en"", ""ml"")"),"ഡ്രോപ്പ് ചെയ്യുക")</f>
        <v>ഡ്രോപ്പ് ചെയ്യുക</v>
      </c>
      <c r="G590" s="7" t="str">
        <f>IFERROR(__xludf.DUMMYFUNCTION("GOOGLETRANSLATE(B590, ""en"", ""te"")"),"డ్రాప్")</f>
        <v>డ్రాప్</v>
      </c>
    </row>
    <row r="591">
      <c r="A591" s="4" t="s">
        <v>1270</v>
      </c>
      <c r="B591" s="5" t="s">
        <v>1271</v>
      </c>
      <c r="C591" s="6" t="s">
        <v>1272</v>
      </c>
      <c r="D591" s="6" t="str">
        <f>IFERROR(__xludf.DUMMYFUNCTION("GOOGLETRANSLATE(B591, ""en"", ""hi"")"),"ड्रॉप बिंदु")</f>
        <v>ड्रॉप बिंदु</v>
      </c>
      <c r="E591" s="6" t="str">
        <f>IFERROR(__xludf.DUMMYFUNCTION("GOOGLETRANSLATE(B591, ""en"", ""kn"")"),"ಡ್ರಾಪ್ ಪಾಯಿಂಟ್")</f>
        <v>ಡ್ರಾಪ್ ಪಾಯಿಂಟ್</v>
      </c>
      <c r="F591" s="7" t="str">
        <f>IFERROR(__xludf.DUMMYFUNCTION("GOOGLETRANSLATE(B591, ""en"", ""ml"")"),"ഡ്രോപ്പ് പോയിന്റ്")</f>
        <v>ഡ്രോപ്പ് പോയിന്റ്</v>
      </c>
      <c r="G591" s="7" t="str">
        <f>IFERROR(__xludf.DUMMYFUNCTION("GOOGLETRANSLATE(B591, ""en"", ""te"")"),"డ్రాప్ పాయింట్")</f>
        <v>డ్రాప్ పాయింట్</v>
      </c>
    </row>
    <row r="592">
      <c r="A592" s="16" t="s">
        <v>1273</v>
      </c>
      <c r="B592" s="5" t="s">
        <v>1274</v>
      </c>
      <c r="C592" s="6" t="s">
        <v>1275</v>
      </c>
      <c r="D592" s="6" t="str">
        <f>IFERROR(__xludf.DUMMYFUNCTION("GOOGLETRANSLATE(B592, ""en"", ""hi"")"),"सामान उतारने का स्थान")</f>
        <v>सामान उतारने का स्थान</v>
      </c>
      <c r="E592" s="6" t="str">
        <f>IFERROR(__xludf.DUMMYFUNCTION("GOOGLETRANSLATE(B592, ""en"", ""kn"")"),"ಡ್ರಾಪ್ ಆಫ್ ಸ್ಥಳ")</f>
        <v>ಡ್ರಾಪ್ ಆಫ್ ಸ್ಥಳ</v>
      </c>
      <c r="F592" s="7" t="str">
        <f>IFERROR(__xludf.DUMMYFUNCTION("GOOGLETRANSLATE(B592, ""en"", ""ml"")"),"ഡ്രോപ്പ് ഓഫ് ലൊക്കേഷൻ")</f>
        <v>ഡ്രോപ്പ് ഓഫ് ലൊക്കേഷൻ</v>
      </c>
      <c r="G592" s="7" t="str">
        <f>IFERROR(__xludf.DUMMYFUNCTION("GOOGLETRANSLATE(B592, ""en"", ""te"")"),"డ్రాప్ ఆఫ్ లొకేషన్")</f>
        <v>డ్రాప్ ఆఫ్ లొకేషన్</v>
      </c>
    </row>
    <row r="593">
      <c r="A593" s="4" t="s">
        <v>1276</v>
      </c>
      <c r="B593" s="5" t="s">
        <v>1277</v>
      </c>
      <c r="C593" s="6" t="s">
        <v>1278</v>
      </c>
      <c r="D593" s="6" t="str">
        <f>IFERROR(__xludf.DUMMYFUNCTION("GOOGLETRANSLATE(B593, ""en"", ""hi"")"),"अवधि")</f>
        <v>अवधि</v>
      </c>
      <c r="E593" s="6" t="str">
        <f>IFERROR(__xludf.DUMMYFUNCTION("GOOGLETRANSLATE(B593, ""en"", ""kn"")"),"ಅವಧಿ")</f>
        <v>ಅವಧಿ</v>
      </c>
      <c r="F593" s="7" t="str">
        <f>IFERROR(__xludf.DUMMYFUNCTION("GOOGLETRANSLATE(B593, ""en"", ""ml"")"),"ദൈർഘ്യം")</f>
        <v>ദൈർഘ്യം</v>
      </c>
      <c r="G593" s="7" t="str">
        <f>IFERROR(__xludf.DUMMYFUNCTION("GOOGLETRANSLATE(B593, ""en"", ""te"")"),"వ్యవధి")</f>
        <v>వ్యవధి</v>
      </c>
    </row>
    <row r="594">
      <c r="A594" s="4" t="s">
        <v>1279</v>
      </c>
      <c r="B594" s="5" t="s">
        <v>1280</v>
      </c>
      <c r="C594" s="6" t="s">
        <v>1281</v>
      </c>
      <c r="D594" s="6" t="str">
        <f>IFERROR(__xludf.DUMMYFUNCTION("GOOGLETRANSLATE(B594, ""en"", ""hi"")"),"संपादन करना")</f>
        <v>संपादन करना</v>
      </c>
      <c r="E594" s="6" t="str">
        <f>IFERROR(__xludf.DUMMYFUNCTION("GOOGLETRANSLATE(B594, ""en"", ""kn"")"),"ಸಂಪಾದಿಸಿ")</f>
        <v>ಸಂಪಾದಿಸಿ</v>
      </c>
      <c r="F594" s="7" t="str">
        <f>IFERROR(__xludf.DUMMYFUNCTION("GOOGLETRANSLATE(B594, ""en"", ""ml"")"),"എഡിറ്റ് ചെയ്യുക")</f>
        <v>എഡിറ്റ് ചെയ്യുക</v>
      </c>
      <c r="G594" s="7" t="str">
        <f>IFERROR(__xludf.DUMMYFUNCTION("GOOGLETRANSLATE(B594, ""en"", ""te"")"),"సవరించు")</f>
        <v>సవరించు</v>
      </c>
    </row>
    <row r="595">
      <c r="A595" s="4" t="s">
        <v>1282</v>
      </c>
      <c r="B595" s="5" t="s">
        <v>1283</v>
      </c>
      <c r="C595" s="6" t="s">
        <v>1284</v>
      </c>
      <c r="D595" s="6" t="str">
        <f>IFERROR(__xludf.DUMMYFUNCTION("GOOGLETRANSLATE(B595, ""en"", ""hi"")"),"पिकअप स्थान संपादित करें")</f>
        <v>पिकअप स्थान संपादित करें</v>
      </c>
      <c r="E595" s="6" t="str">
        <f>IFERROR(__xludf.DUMMYFUNCTION("GOOGLETRANSLATE(B595, ""en"", ""kn"")"),"ಪಿಕಪ್ ಸ್ಥಳವನ್ನು ಸಂಪಾದಿಸಿ")</f>
        <v>ಪಿಕಪ್ ಸ್ಥಳವನ್ನು ಸಂಪಾದಿಸಿ</v>
      </c>
      <c r="F595" s="7" t="str">
        <f>IFERROR(__xludf.DUMMYFUNCTION("GOOGLETRANSLATE(B595, ""en"", ""ml"")"),"പിക്കപ്പ് ലൊക്കേഷൻ എഡിറ്റ് ചെയ്യുക")</f>
        <v>പിക്കപ്പ് ലൊക്കേഷൻ എഡിറ്റ് ചെയ്യുക</v>
      </c>
      <c r="G595" s="7" t="str">
        <f>IFERROR(__xludf.DUMMYFUNCTION("GOOGLETRANSLATE(B595, ""en"", ""te"")"),"పికప్ స్థానాన్ని సవరించు")</f>
        <v>పికప్ స్థానాన్ని సవరించు</v>
      </c>
    </row>
    <row r="596">
      <c r="A596" s="4" t="s">
        <v>1285</v>
      </c>
      <c r="B596" s="5" t="s">
        <v>1286</v>
      </c>
      <c r="C596" s="6" t="s">
        <v>1287</v>
      </c>
      <c r="D596" s="6" t="str">
        <f>IFERROR(__xludf.DUMMYFUNCTION("GOOGLETRANSLATE(B596, ""en"", ""hi"")"),"स्थान संपादित करें")</f>
        <v>स्थान संपादित करें</v>
      </c>
      <c r="E596" s="6" t="str">
        <f>IFERROR(__xludf.DUMMYFUNCTION("GOOGLETRANSLATE(B596, ""en"", ""kn"")"),"ಸ್ಥಳವನ್ನು ಸಂಪಾದಿಸಿ")</f>
        <v>ಸ್ಥಳವನ್ನು ಸಂಪಾದಿಸಿ</v>
      </c>
      <c r="F596" s="7" t="str">
        <f>IFERROR(__xludf.DUMMYFUNCTION("GOOGLETRANSLATE(B596, ""en"", ""ml"")"),"സ്ഥലം എഡിറ്റ് ചെയ്യുക")</f>
        <v>സ്ഥലം എഡിറ്റ് ചെയ്യുക</v>
      </c>
      <c r="G596" s="7" t="str">
        <f>IFERROR(__xludf.DUMMYFUNCTION("GOOGLETRANSLATE(B596, ""en"", ""te"")"),"స్థలాన్ని సవరించు")</f>
        <v>స్థలాన్ని సవరించు</v>
      </c>
    </row>
    <row r="597">
      <c r="A597" s="4" t="s">
        <v>1288</v>
      </c>
      <c r="B597" s="5" t="s">
        <v>1289</v>
      </c>
      <c r="C597" s="6" t="s">
        <v>1290</v>
      </c>
      <c r="D597" s="6" t="str">
        <f>IFERROR(__xludf.DUMMYFUNCTION("GOOGLETRANSLATE(B597, ""en"", ""hi"")"),"स्थानों को संपादित करें")</f>
        <v>स्थानों को संपादित करें</v>
      </c>
      <c r="E597" s="6" t="str">
        <f>IFERROR(__xludf.DUMMYFUNCTION("GOOGLETRANSLATE(B597, ""en"", ""kn"")"),"ಸ್ಥಳಗಳನ್ನು ಸಂಪಾದಿಸಿ")</f>
        <v>ಸ್ಥಳಗಳನ್ನು ಸಂಪಾದಿಸಿ</v>
      </c>
      <c r="F597" s="7" t="str">
        <f>IFERROR(__xludf.DUMMYFUNCTION("GOOGLETRANSLATE(B597, ""en"", ""ml"")"),"സ്ഥലങ്ങൾ എഡിറ്റ് ചെയ്യുക")</f>
        <v>സ്ഥലങ്ങൾ എഡിറ്റ് ചെയ്യുക</v>
      </c>
      <c r="G597" s="7" t="str">
        <f>IFERROR(__xludf.DUMMYFUNCTION("GOOGLETRANSLATE(B597, ""en"", ""te"")"),"స్థలాలను సవరించు")</f>
        <v>స్థలాలను సవరించు</v>
      </c>
    </row>
    <row r="598">
      <c r="A598" s="4" t="s">
        <v>1291</v>
      </c>
      <c r="B598" s="5" t="s">
        <v>1292</v>
      </c>
      <c r="C598" s="6" t="s">
        <v>1293</v>
      </c>
      <c r="D598" s="6" t="str">
        <f>IFERROR(__xludf.DUMMYFUNCTION("GOOGLETRANSLATE(B598, ""en"", ""hi"")"),"संशोधित मार्ग {maxDistance} किमी की अधिकतम अनुमत दूरी से अधिक है। कृपया अपने ठहरावों को समायोजित करें।")</f>
        <v>संशोधित मार्ग {maxDistance} किमी की अधिकतम अनुमत दूरी से अधिक है। कृपया अपने ठहरावों को समायोजित करें।</v>
      </c>
      <c r="E598" s="6" t="str">
        <f>IFERROR(__xludf.DUMMYFUNCTION("GOOGLETRANSLATE(B598, ""en"", ""kn"")"),"ಸಂಪಾದಿಸಲಾದ ಮಾರ್ಗವು ಅನುಮತಿಸಲಾದ ಗರಿಷ್ಠ ದೂರ {maxDistance} ಕಿಮೀ ಮೀರಿದೆ. ದಯವಿಟ್ಟು ನಿಮ್ಮ ನಿಲ್ದಾಣಗಳನ್ನು ಹೊಂದಿಸಿ.")</f>
        <v>ಸಂಪಾದಿಸಲಾದ ಮಾರ್ಗವು ಅನುಮತಿಸಲಾದ ಗರಿಷ್ಠ ದೂರ {maxDistance} ಕಿಮೀ ಮೀರಿದೆ. ದಯವಿಟ್ಟು ನಿಮ್ಮ ನಿಲ್ದಾಣಗಳನ್ನು ಹೊಂದಿಸಿ.</v>
      </c>
      <c r="F598" s="7" t="str">
        <f>IFERROR(__xludf.DUMMYFUNCTION("GOOGLETRANSLATE(B598, ""en"", ""ml"")"),"എഡിറ്റ് ചെയ്ത റൂട്ട് അനുവദനീയമായ പരമാവധി ദൂരമായ {maxDistance} കിലോമീറ്ററിൽ കൂടുതലാണ്. നിങ്ങളുടെ സ്റ്റോപ്പുകൾ ക്രമീകരിക്കുക.")</f>
        <v>എഡിറ്റ് ചെയ്ത റൂട്ട് അനുവദനീയമായ പരമാവധി ദൂരമായ {maxDistance} കിലോമീറ്ററിൽ കൂടുതലാണ്. നിങ്ങളുടെ സ്റ്റോപ്പുകൾ ക്രമീകരിക്കുക.</v>
      </c>
      <c r="G598" s="7" t="str">
        <f>IFERROR(__xludf.DUMMYFUNCTION("GOOGLETRANSLATE(B598, ""en"", ""te"")"),"సవరించిన మార్గం గరిష్టంగా అనుమతించబడిన {maxDistance} కి.మీ దూరాన్ని మించిపోయింది. దయచేసి మీ స్టాప్‌లను సర్దుబాటు చేయండి.")</f>
        <v>సవరించిన మార్గం గరిష్టంగా అనుమతించబడిన {maxDistance} కి.మీ దూరాన్ని మించిపోయింది. దయచేసి మీ స్టాప్‌లను సర్దుబాటు చేయండి.</v>
      </c>
    </row>
    <row r="599">
      <c r="A599" s="4" t="s">
        <v>1294</v>
      </c>
      <c r="B599" s="5" t="s">
        <v>1295</v>
      </c>
      <c r="C599" s="6" t="s">
        <v>1296</v>
      </c>
      <c r="D599" s="6" t="str">
        <f>IFERROR(__xludf.DUMMYFUNCTION("GOOGLETRANSLATE(B599, ""en"", ""hi"")"),"मेल पता")</f>
        <v>मेल पता</v>
      </c>
      <c r="E599" s="6" t="str">
        <f>IFERROR(__xludf.DUMMYFUNCTION("GOOGLETRANSLATE(B599, ""en"", ""kn"")"),"ಇಮೇಲ್ ವಿಳಾಸ")</f>
        <v>ಇಮೇಲ್ ವಿಳಾಸ</v>
      </c>
      <c r="F599" s="7" t="str">
        <f>IFERROR(__xludf.DUMMYFUNCTION("GOOGLETRANSLATE(B599, ""en"", ""ml"")"),"ഇമെയിൽ വിലാസം")</f>
        <v>ഇമെയിൽ വിലാസം</v>
      </c>
      <c r="G599" s="7" t="str">
        <f>IFERROR(__xludf.DUMMYFUNCTION("GOOGLETRANSLATE(B599, ""en"", ""te"")"),"ఇమెయిల్ చిరునామా")</f>
        <v>ఇమెయిల్ చిరునామా</v>
      </c>
    </row>
    <row r="600">
      <c r="A600" s="4" t="s">
        <v>1297</v>
      </c>
      <c r="B600" s="5" t="s">
        <v>1298</v>
      </c>
      <c r="C600" s="6" t="s">
        <v>1299</v>
      </c>
      <c r="D600" s="6" t="str">
        <f>IFERROR(__xludf.DUMMYFUNCTION("GOOGLETRANSLATE(B600, ""en"", ""hi"")"),"ईमेल इनवॉइस")</f>
        <v>ईमेल इनवॉइस</v>
      </c>
      <c r="E600" s="6" t="str">
        <f>IFERROR(__xludf.DUMMYFUNCTION("GOOGLETRANSLATE(B600, ""en"", ""kn"")"),"ಇಮೇಲ್ ಇನ್‌ವಾಯ್ಸ್")</f>
        <v>ಇಮೇಲ್ ಇನ್‌ವಾಯ್ಸ್</v>
      </c>
      <c r="F600" s="7" t="str">
        <f>IFERROR(__xludf.DUMMYFUNCTION("GOOGLETRANSLATE(B600, ""en"", ""ml"")"),"ഇമെയിൽ ഇൻവോയ്സ്")</f>
        <v>ഇമെയിൽ ഇൻവോയ്സ്</v>
      </c>
      <c r="G600" s="7" t="str">
        <f>IFERROR(__xludf.DUMMYFUNCTION("GOOGLETRANSLATE(B600, ""en"", ""te"")"),"ఇమెయిల్ ఇన్‌వాయిస్")</f>
        <v>ఇమెయిల్ ఇన్‌వాయిస్</v>
      </c>
    </row>
    <row r="601">
      <c r="A601" s="4" t="s">
        <v>1300</v>
      </c>
      <c r="B601" s="5" t="s">
        <v>1301</v>
      </c>
      <c r="C601" s="6" t="s">
        <v>1302</v>
      </c>
      <c r="D601" s="6" t="str">
        <f>IFERROR(__xludf.DUMMYFUNCTION("GOOGLETRANSLATE(B601, ""en"", ""hi"")"),"ईमेल रसीद")</f>
        <v>ईमेल रसीद</v>
      </c>
      <c r="E601" s="6" t="str">
        <f>IFERROR(__xludf.DUMMYFUNCTION("GOOGLETRANSLATE(B601, ""en"", ""kn"")"),"ಇಮೇಲ್ ರಶೀದಿ")</f>
        <v>ಇಮೇಲ್ ರಶೀದಿ</v>
      </c>
      <c r="F601" s="7" t="str">
        <f>IFERROR(__xludf.DUMMYFUNCTION("GOOGLETRANSLATE(B601, ""en"", ""ml"")"),"ഇമെയിൽ രസീത്")</f>
        <v>ഇമെയിൽ രസീത്</v>
      </c>
      <c r="G601" s="7" t="str">
        <f>IFERROR(__xludf.DUMMYFUNCTION("GOOGLETRANSLATE(B601, ""en"", ""te"")"),"ఇమెయిల్ రసీదు")</f>
        <v>ఇమెయిల్ రసీదు</v>
      </c>
    </row>
    <row r="602">
      <c r="A602" s="4" t="s">
        <v>1303</v>
      </c>
      <c r="B602" s="5" t="s">
        <v>1304</v>
      </c>
      <c r="C602" s="6" t="s">
        <v>1305</v>
      </c>
      <c r="D602" s="6" t="str">
        <f>IFERROR(__xludf.DUMMYFUNCTION("GOOGLETRANSLATE(B602, ""en"", ""hi"")"),"आपातकालीन संपर्क जोड़ें")</f>
        <v>आपातकालीन संपर्क जोड़ें</v>
      </c>
      <c r="E602" s="6" t="str">
        <f>IFERROR(__xludf.DUMMYFUNCTION("GOOGLETRANSLATE(B602, ""en"", ""kn"")"),"ತುರ್ತು ಸಂಪರ್ಕವನ್ನು ಸೇರಿಸಿ")</f>
        <v>ತುರ್ತು ಸಂಪರ್ಕವನ್ನು ಸೇರಿಸಿ</v>
      </c>
      <c r="F602" s="7" t="str">
        <f>IFERROR(__xludf.DUMMYFUNCTION("GOOGLETRANSLATE(B602, ""en"", ""ml"")"),"അടിയന്തര കോൺടാക്റ്റ് ചേർക്കുക")</f>
        <v>അടിയന്തര കോൺടാക്റ്റ് ചേർക്കുക</v>
      </c>
      <c r="G602" s="7" t="str">
        <f>IFERROR(__xludf.DUMMYFUNCTION("GOOGLETRANSLATE(B602, ""en"", ""te"")"),"అత్యవసర పరిచయాన్ని జోడించండి")</f>
        <v>అత్యవసర పరిచయాన్ని జోడించండి</v>
      </c>
    </row>
    <row r="603">
      <c r="A603" s="4" t="s">
        <v>1306</v>
      </c>
      <c r="B603" s="5" t="s">
        <v>1043</v>
      </c>
      <c r="C603" s="6" t="s">
        <v>1307</v>
      </c>
      <c r="D603" s="6" t="str">
        <f>IFERROR(__xludf.DUMMYFUNCTION("GOOGLETRANSLATE(B603, ""en"", ""hi"")"),"पुष्टि करना")</f>
        <v>पुष्टि करना</v>
      </c>
      <c r="E603" s="6" t="str">
        <f>IFERROR(__xludf.DUMMYFUNCTION("GOOGLETRANSLATE(B603, ""en"", ""kn"")"),"ದೃಢೀಕರಿಸಿ")</f>
        <v>ದೃಢೀಕರಿಸಿ</v>
      </c>
      <c r="F603" s="7" t="str">
        <f>IFERROR(__xludf.DUMMYFUNCTION("GOOGLETRANSLATE(B603, ""en"", ""ml"")"),"സ്ഥിരീകരിക്കുക")</f>
        <v>സ്ഥിരീകരിക്കുക</v>
      </c>
      <c r="G603" s="7" t="str">
        <f>IFERROR(__xludf.DUMMYFUNCTION("GOOGLETRANSLATE(B603, ""en"", ""te"")"),"నిర్ధారించండి")</f>
        <v>నిర్ధారించండి</v>
      </c>
    </row>
    <row r="604">
      <c r="A604" s="4" t="s">
        <v>1308</v>
      </c>
      <c r="B604" s="5" t="s">
        <v>1309</v>
      </c>
      <c r="C604" s="6" t="s">
        <v>1305</v>
      </c>
      <c r="D604" s="6" t="str">
        <f>IFERROR(__xludf.DUMMYFUNCTION("GOOGLETRANSLATE(B604, ""en"", ""hi"")"),"आपातकालीन संपर्क जोड़ें")</f>
        <v>आपातकालीन संपर्क जोड़ें</v>
      </c>
      <c r="E604" s="6" t="str">
        <f>IFERROR(__xludf.DUMMYFUNCTION("GOOGLETRANSLATE(B604, ""en"", ""kn"")"),"ತುರ್ತು ಸಂಪರ್ಕವನ್ನು ಸೇರಿಸಿ")</f>
        <v>ತುರ್ತು ಸಂಪರ್ಕವನ್ನು ಸೇರಿಸಿ</v>
      </c>
      <c r="F604" s="7" t="str">
        <f>IFERROR(__xludf.DUMMYFUNCTION("GOOGLETRANSLATE(B604, ""en"", ""ml"")"),"അടിയന്തര കോൺടാക്റ്റ് ചേർക്കുക")</f>
        <v>അടിയന്തര കോൺടാക്റ്റ് ചേർക്കുക</v>
      </c>
      <c r="G604" s="7" t="str">
        <f>IFERROR(__xludf.DUMMYFUNCTION("GOOGLETRANSLATE(B604, ""en"", ""te"")"),"అత్యవసర పరిచయాన్ని జోడించండి")</f>
        <v>అత్యవసర పరిచయాన్ని జోడించండి</v>
      </c>
    </row>
    <row r="605">
      <c r="A605" s="4" t="s">
        <v>1310</v>
      </c>
      <c r="B605" s="5" t="s">
        <v>1311</v>
      </c>
      <c r="C605" s="6" t="s">
        <v>1312</v>
      </c>
      <c r="D605" s="6" t="str">
        <f>IFERROR(__xludf.DUMMYFUNCTION("GOOGLETRANSLATE(B605, ""en"", ""hi"")"),"अपने रिकॉर्ड में एक विश्वसनीय संपर्क रखकर अधिक सुरक्षित रहें।")</f>
        <v>अपने रिकॉर्ड में एक विश्वसनीय संपर्क रखकर अधिक सुरक्षित रहें।</v>
      </c>
      <c r="E605" s="6" t="str">
        <f>IFERROR(__xludf.DUMMYFUNCTION("GOOGLETRANSLATE(B605, ""en"", ""kn"")"),"ಫೈಲ್‌ನಲ್ಲಿ ವಿಶ್ವಾಸಾರ್ಹ ಸಂಪರ್ಕವಿದ್ದರೆ ಸುರಕ್ಷಿತವಾಗಿರಿ")</f>
        <v>ಫೈಲ್‌ನಲ್ಲಿ ವಿಶ್ವಾಸಾರ್ಹ ಸಂಪರ್ಕವಿದ್ದರೆ ಸುರಕ್ಷಿತವಾಗಿರಿ</v>
      </c>
      <c r="F605" s="7" t="str">
        <f>IFERROR(__xludf.DUMMYFUNCTION("GOOGLETRANSLATE(B605, ""en"", ""ml"")"),"വിശ്വസനീയമായ ഒരു കോൺടാക്റ്റ് ഫയലിൽ ഉണ്ടെങ്കിൽ കൂടുതൽ സുരക്ഷിതരായിരിക്കുക")</f>
        <v>വിശ്വസനീയമായ ഒരു കോൺടാക്റ്റ് ഫയലിൽ ഉണ്ടെങ്കിൽ കൂടുതൽ സുരക്ഷിതരായിരിക്കുക</v>
      </c>
      <c r="G605" s="7" t="str">
        <f>IFERROR(__xludf.DUMMYFUNCTION("GOOGLETRANSLATE(B605, ""en"", ""te"")"),"ఫైల్‌లో విశ్వసనీయ పరిచయంతో సురక్షితంగా ఉండండి")</f>
        <v>ఫైల్‌లో విశ్వసనీయ పరిచయంతో సురక్షితంగా ఉండండి</v>
      </c>
    </row>
    <row r="606">
      <c r="A606" s="4" t="s">
        <v>1313</v>
      </c>
      <c r="B606" s="5" t="s">
        <v>1314</v>
      </c>
      <c r="C606" s="6" t="s">
        <v>1315</v>
      </c>
      <c r="D606" s="6" t="str">
        <f>IFERROR(__xludf.DUMMYFUNCTION("GOOGLETRANSLATE(B606, ""en"", ""hi"")"),"आपात स्थिति में त्वरित सहायता")</f>
        <v>आपात स्थिति में त्वरित सहायता</v>
      </c>
      <c r="E606" s="6" t="str">
        <f>IFERROR(__xludf.DUMMYFUNCTION("GOOGLETRANSLATE(B606, ""en"", ""kn"")"),"ತುರ್ತು ಸಂದರ್ಭಗಳಲ್ಲಿ ತ್ವರಿತ ಸಹಾಯ")</f>
        <v>ತುರ್ತು ಸಂದರ್ಭಗಳಲ್ಲಿ ತ್ವರಿತ ಸಹಾಯ</v>
      </c>
      <c r="F606" s="7" t="str">
        <f>IFERROR(__xludf.DUMMYFUNCTION("GOOGLETRANSLATE(B606, ""en"", ""ml"")"),"അടിയന്തര സാഹചര്യങ്ങളിൽ വേഗത്തിലുള്ള സഹായം")</f>
        <v>അടിയന്തര സാഹചര്യങ്ങളിൽ വേഗത്തിലുള്ള സഹായം</v>
      </c>
      <c r="G606" s="7" t="str">
        <f>IFERROR(__xludf.DUMMYFUNCTION("GOOGLETRANSLATE(B606, ""en"", ""te"")"),"అత్యవసర పరిస్థితుల్లో త్వరిత సహాయం")</f>
        <v>అత్యవసర పరిస్థితుల్లో త్వరిత సహాయం</v>
      </c>
    </row>
    <row r="607">
      <c r="A607" s="4" t="s">
        <v>1316</v>
      </c>
      <c r="B607" s="12" t="s">
        <v>1317</v>
      </c>
      <c r="C607" s="6" t="s">
        <v>1318</v>
      </c>
      <c r="D607" s="6" t="str">
        <f>IFERROR(__xludf.DUMMYFUNCTION("GOOGLETRANSLATE(B607, ""en"", ""hi"")"),"आप मेनू इमरजेंसी कॉन्टैक्ट से कभी भी संपर्कों को प्रबंधित कर सकते हैं।")</f>
        <v>आप मेनू इमरजेंसी कॉन्टैक्ट से कभी भी संपर्कों को प्रबंधित कर सकते हैं।</v>
      </c>
      <c r="E607" s="6" t="str">
        <f>IFERROR(__xludf.DUMMYFUNCTION("GOOGLETRANSLATE(B607, ""en"", ""kn"")"),"ನೀವು ಯಾವುದೇ ಸಮಯದಲ್ಲಿ ಸಂಪರ್ಕಗಳನ್ನು ಮೆನು ತುರ್ತು ಸಂಪರ್ಕದಿಂದ ನಿರ್ವಹಿಸಬಹುದು.")</f>
        <v>ನೀವು ಯಾವುದೇ ಸಮಯದಲ್ಲಿ ಸಂಪರ್ಕಗಳನ್ನು ಮೆನು ತುರ್ತು ಸಂಪರ್ಕದಿಂದ ನಿರ್ವಹಿಸಬಹುದು.</v>
      </c>
      <c r="F607" s="7" t="str">
        <f>IFERROR(__xludf.DUMMYFUNCTION("GOOGLETRANSLATE(B607, ""en"", ""ml"")"),"മെനു എമർജൻസി കോൺടാക്റ്റിൽ നിന്ന് നിങ്ങൾക്ക് എപ്പോൾ വേണമെങ്കിലും കോൺടാക്റ്റുകൾ കൈകാര്യം ചെയ്യാൻ കഴിയും.")</f>
        <v>മെനു എമർജൻസി കോൺടാക്റ്റിൽ നിന്ന് നിങ്ങൾക്ക് എപ്പോൾ വേണമെങ്കിലും കോൺടാക്റ്റുകൾ കൈകാര്യം ചെയ്യാൻ കഴിയും.</v>
      </c>
      <c r="G607" s="7" t="str">
        <f>IFERROR(__xludf.DUMMYFUNCTION("GOOGLETRANSLATE(B607, ""en"", ""te"")"),"మీరు మెనూ ఎమర్జెన్సీ కాంటాక్ట్ నుండి ఎప్పుడైనా కాంటాక్ట్‌లను నిర్వహించవచ్చు")</f>
        <v>మీరు మెనూ ఎమర్జెన్సీ కాంటాక్ట్ నుండి ఎప్పుడైనా కాంటాక్ట్‌లను నిర్వహించవచ్చు</v>
      </c>
    </row>
    <row r="608">
      <c r="A608" s="4" t="s">
        <v>1319</v>
      </c>
      <c r="B608" s="5" t="s">
        <v>68</v>
      </c>
      <c r="C608" s="6" t="s">
        <v>1320</v>
      </c>
      <c r="D608" s="6" t="str">
        <f>IFERROR(__xludf.DUMMYFUNCTION("GOOGLETRANSLATE(B608, ""en"", ""hi"")"),"रद्द करना")</f>
        <v>रद्द करना</v>
      </c>
      <c r="E608" s="6" t="str">
        <f>IFERROR(__xludf.DUMMYFUNCTION("GOOGLETRANSLATE(B608, ""en"", ""kn"")"),"ರದ್ದುಮಾಡಿ")</f>
        <v>ರದ್ದುಮಾಡಿ</v>
      </c>
      <c r="F608" s="7" t="str">
        <f>IFERROR(__xludf.DUMMYFUNCTION("GOOGLETRANSLATE(B608, ""en"", ""ml"")"),"റദ്ദാക്കുക")</f>
        <v>റദ്ദാക്കുക</v>
      </c>
      <c r="G608" s="7" t="str">
        <f>IFERROR(__xludf.DUMMYFUNCTION("GOOGLETRANSLATE(B608, ""en"", ""te"")"),"రద్దు చేయి")</f>
        <v>రద్దు చేయి</v>
      </c>
    </row>
    <row r="609">
      <c r="A609" s="4" t="s">
        <v>1321</v>
      </c>
      <c r="B609" s="5" t="s">
        <v>1322</v>
      </c>
      <c r="C609" s="6" t="str">
        <f>IFERROR(__xludf.DUMMYFUNCTION("GOOGLETRANSLATE(B609, ""en"", ""ta"")"),"அவசரகால தொடர்பைச் சேர்க்கவும்")</f>
        <v>அவசரகால தொடர்பைச் சேர்க்கவும்</v>
      </c>
      <c r="D609" s="6" t="str">
        <f>IFERROR(__xludf.DUMMYFUNCTION("GOOGLETRANSLATE(B609, ""en"", ""hi"")"),"आपातकालीन संपर्क जोड़ें")</f>
        <v>आपातकालीन संपर्क जोड़ें</v>
      </c>
      <c r="E609" s="6" t="str">
        <f>IFERROR(__xludf.DUMMYFUNCTION("GOOGLETRANSLATE(B609, ""en"", ""kn"")"),"ತುರ್ತು ಸಂಪರ್ಕವನ್ನು ಸೇರಿಸಿ")</f>
        <v>ತುರ್ತು ಸಂಪರ್ಕವನ್ನು ಸೇರಿಸಿ</v>
      </c>
      <c r="F609" s="7" t="str">
        <f>IFERROR(__xludf.DUMMYFUNCTION("GOOGLETRANSLATE(B609, ""en"", ""ml"")"),"ഒരു അടിയന്തര കോൺടാക്റ്റ് ചേർക്കുക")</f>
        <v>ഒരു അടിയന്തര കോൺടാക്റ്റ് ചേർക്കുക</v>
      </c>
      <c r="G609" s="7" t="str">
        <f>IFERROR(__xludf.DUMMYFUNCTION("GOOGLETRANSLATE(B609, ""en"", ""te"")"),"అత్యవసర పరిచయాన్ని జోడించండి")</f>
        <v>అత్యవసర పరిచయాన్ని జోడించండి</v>
      </c>
    </row>
    <row r="610">
      <c r="A610" s="4" t="s">
        <v>1323</v>
      </c>
      <c r="B610" s="5" t="s">
        <v>1324</v>
      </c>
      <c r="C610" s="6" t="s">
        <v>1325</v>
      </c>
      <c r="D610" s="6" t="str">
        <f>IFERROR(__xludf.DUMMYFUNCTION("GOOGLETRANSLATE(B610, ""en"", ""hi"")"),"आपातकालीन संपर्क")</f>
        <v>आपातकालीन संपर्क</v>
      </c>
      <c r="E610" s="6" t="str">
        <f>IFERROR(__xludf.DUMMYFUNCTION("GOOGLETRANSLATE(B610, ""en"", ""kn"")"),"ತುರ್ತು ಸಂಪರ್ಕಗಳು")</f>
        <v>ತುರ್ತು ಸಂಪರ್ಕಗಳು</v>
      </c>
      <c r="F610" s="7" t="str">
        <f>IFERROR(__xludf.DUMMYFUNCTION("GOOGLETRANSLATE(B610, ""en"", ""ml"")"),"അടിയന്തര കോൺടാക്റ്റുകൾ")</f>
        <v>അടിയന്തര കോൺടാക്റ്റുകൾ</v>
      </c>
      <c r="G610" s="7" t="str">
        <f>IFERROR(__xludf.DUMMYFUNCTION("GOOGLETRANSLATE(B610, ""en"", ""te"")"),"అత్యవసర పరిచయాలు")</f>
        <v>అత్యవసర పరిచయాలు</v>
      </c>
    </row>
    <row r="611">
      <c r="A611" s="4" t="s">
        <v>1326</v>
      </c>
      <c r="B611" s="5" t="s">
        <v>1122</v>
      </c>
      <c r="C611" s="6" t="s">
        <v>1327</v>
      </c>
      <c r="D611" s="6" t="str">
        <f>IFERROR(__xludf.DUMMYFUNCTION("GOOGLETRANSLATE(B611, ""en"", ""hi"")"),"मिटाना")</f>
        <v>मिटाना</v>
      </c>
      <c r="E611" s="6" t="str">
        <f>IFERROR(__xludf.DUMMYFUNCTION("GOOGLETRANSLATE(B611, ""en"", ""kn"")"),"ಅಳಿಸಿ")</f>
        <v>ಅಳಿಸಿ</v>
      </c>
      <c r="F611" s="7" t="str">
        <f>IFERROR(__xludf.DUMMYFUNCTION("GOOGLETRANSLATE(B611, ""en"", ""ml"")"),"ഇല്ലാതാക്കുക")</f>
        <v>ഇല്ലാതാക്കുക</v>
      </c>
      <c r="G611" s="7" t="str">
        <f>IFERROR(__xludf.DUMMYFUNCTION("GOOGLETRANSLATE(B611, ""en"", ""te"")"),"తొలగించు")</f>
        <v>తొలగించు</v>
      </c>
    </row>
    <row r="612">
      <c r="A612" s="4" t="s">
        <v>1328</v>
      </c>
      <c r="B612" s="5" t="s">
        <v>1329</v>
      </c>
      <c r="C612" s="6" t="s">
        <v>1330</v>
      </c>
      <c r="D612" s="6" t="str">
        <f>IFERROR(__xludf.DUMMYFUNCTION("GOOGLETRANSLATE(B612, ""en"", ""hi"")"),"किसी विश्वसनीय व्यक्ति का नाम जोड़ें जिसे आपातकालीन स्थिति में सूचित किया जा सके। इससे हमें यात्रा के दौरान आपकी सुरक्षा सुनिश्चित करने में मदद मिलेगी।")</f>
        <v>किसी विश्वसनीय व्यक्ति का नाम जोड़ें जिसे आपातकालीन स्थिति में सूचित किया जा सके। इससे हमें यात्रा के दौरान आपकी सुरक्षा सुनिश्चित करने में मदद मिलेगी।</v>
      </c>
      <c r="E612" s="6" t="str">
        <f>IFERROR(__xludf.DUMMYFUNCTION("GOOGLETRANSLATE(B612, ""en"", ""kn"")"),"ತುರ್ತು ಸಂದರ್ಭದಲ್ಲಿ ತಿಳಿಸಬಹುದಾದ ವಿಶ್ವಾಸಾರ್ಹ ಸಂಪರ್ಕ ವ್ಯಕ್ತಿಯನ್ನು ಸೇರಿಸಿ. ಇದು ಸವಾರಿಗಳ ಸಮಯದಲ್ಲಿ ನಿಮ್ಮನ್ನು ಸುರಕ್ಷಿತವಾಗಿರಿಸಲು ನಮಗೆ ಸಹಾಯ ಮಾಡುತ್ತದೆ.")</f>
        <v>ತುರ್ತು ಸಂದರ್ಭದಲ್ಲಿ ತಿಳಿಸಬಹುದಾದ ವಿಶ್ವಾಸಾರ್ಹ ಸಂಪರ್ಕ ವ್ಯಕ್ತಿಯನ್ನು ಸೇರಿಸಿ. ಇದು ಸವಾರಿಗಳ ಸಮಯದಲ್ಲಿ ನಿಮ್ಮನ್ನು ಸುರಕ್ಷಿತವಾಗಿರಿಸಲು ನಮಗೆ ಸಹಾಯ ಮಾಡುತ್ತದೆ.</v>
      </c>
      <c r="F612" s="7" t="str">
        <f>IFERROR(__xludf.DUMMYFUNCTION("GOOGLETRANSLATE(B612, ""en"", ""ml"")"),"അടിയന്തര സാഹചര്യങ്ങളിൽ അറിയിക്കാൻ കഴിയുന്ന ഒരു വിശ്വസ്ത കോൺടാക്റ്റിനെ ചേർക്കുക. യാത്രകളിൽ നിങ്ങളെ സുരക്ഷിതമായി നിലനിർത്താൻ ഇത് ഞങ്ങളെ സഹായിക്കുന്നു.")</f>
        <v>അടിയന്തര സാഹചര്യങ്ങളിൽ അറിയിക്കാൻ കഴിയുന്ന ഒരു വിശ്വസ്ത കോൺടാക്റ്റിനെ ചേർക്കുക. യാത്രകളിൽ നിങ്ങളെ സുരക്ഷിതമായി നിലനിർത്താൻ ഇത് ഞങ്ങളെ സഹായിക്കുന്നു.</v>
      </c>
      <c r="G612" s="7" t="str">
        <f>IFERROR(__xludf.DUMMYFUNCTION("GOOGLETRANSLATE(B612, ""en"", ""te"")"),"అత్యవసర పరిస్థితుల్లో తెలియజేయగల విశ్వసనీయ పరిచయాన్ని జోడించండి. ఇది ప్రయాణాల సమయంలో మిమ్మల్ని సురక్షితంగా ఉంచడంలో మాకు సహాయపడుతుంది.")</f>
        <v>అత్యవసర పరిస్థితుల్లో తెలియజేయగల విశ్వసనీయ పరిచయాన్ని జోడించండి. ఇది ప్రయాణాల సమయంలో మిమ్మల్ని సురక్షితంగా ఉంచడంలో మాకు సహాయపడుతుంది.</v>
      </c>
    </row>
    <row r="613">
      <c r="A613" s="4" t="s">
        <v>1331</v>
      </c>
      <c r="B613" s="5" t="s">
        <v>1332</v>
      </c>
      <c r="C613" s="6" t="s">
        <v>1333</v>
      </c>
      <c r="D613" s="6" t="str">
        <f>IFERROR(__xludf.DUMMYFUNCTION("GOOGLETRANSLATE(B613, ""en"", ""hi"")"),"संपर्कों को संपादित करें")</f>
        <v>संपर्कों को संपादित करें</v>
      </c>
      <c r="E613" s="6" t="str">
        <f>IFERROR(__xludf.DUMMYFUNCTION("GOOGLETRANSLATE(B613, ""en"", ""kn"")"),"ಸಂಪರ್ಕಗಳನ್ನು ಸಂಪಾದಿಸಿ")</f>
        <v>ಸಂಪರ್ಕಗಳನ್ನು ಸಂಪಾದಿಸಿ</v>
      </c>
      <c r="F613" s="7" t="str">
        <f>IFERROR(__xludf.DUMMYFUNCTION("GOOGLETRANSLATE(B613, ""en"", ""ml"")"),"കോൺടാക്റ്റുകൾ എഡിറ്റ് ചെയ്യുക")</f>
        <v>കോൺടാക്റ്റുകൾ എഡിറ്റ് ചെയ്യുക</v>
      </c>
      <c r="G613" s="7" t="str">
        <f>IFERROR(__xludf.DUMMYFUNCTION("GOOGLETRANSLATE(B613, ""en"", ""te"")"),"పరిచయాలను సవరించు")</f>
        <v>పరిచయాలను సవరించు</v>
      </c>
    </row>
    <row r="614">
      <c r="A614" s="4" t="s">
        <v>1334</v>
      </c>
      <c r="B614" s="5" t="s">
        <v>1335</v>
      </c>
      <c r="C614" s="6" t="s">
        <v>1336</v>
      </c>
      <c r="D614" s="6" t="str">
        <f>IFERROR(__xludf.DUMMYFUNCTION("GOOGLETRANSLATE(B614, ""en"", ""hi"")"),"आपातकालीन संपर्क")</f>
        <v>आपातकालीन संपर्क</v>
      </c>
      <c r="E614" s="6" t="str">
        <f>IFERROR(__xludf.DUMMYFUNCTION("GOOGLETRANSLATE(B614, ""en"", ""kn"")"),"ತುರ್ತು ಸಂಪರ್ಕ")</f>
        <v>ತುರ್ತು ಸಂಪರ್ಕ</v>
      </c>
      <c r="F614" s="7" t="str">
        <f>IFERROR(__xludf.DUMMYFUNCTION("GOOGLETRANSLATE(B614, ""en"", ""ml"")"),"അടിയന്തര കോൺടാക്റ്റ്")</f>
        <v>അടിയന്തര കോൺടാക്റ്റ്</v>
      </c>
      <c r="G614" s="7" t="str">
        <f>IFERROR(__xludf.DUMMYFUNCTION("GOOGLETRANSLATE(B614, ""en"", ""te"")"),"అత్యవసర సంప్రదింపు సమాచారం")</f>
        <v>అత్యవసర సంప్రదింపు సమాచారం</v>
      </c>
    </row>
    <row r="615">
      <c r="A615" s="4" t="s">
        <v>1337</v>
      </c>
      <c r="B615" s="5" t="s">
        <v>1338</v>
      </c>
      <c r="C615" s="6" t="s">
        <v>1339</v>
      </c>
      <c r="D615" s="6" t="str">
        <f>IFERROR(__xludf.DUMMYFUNCTION("GOOGLETRANSLATE(B615, ""en"", ""hi"")"),"किसी विश्वसनीय व्यक्ति का नाम जोड़ें जिसे आपातकालीन स्थिति में सूचित किया जा सके।")</f>
        <v>किसी विश्वसनीय व्यक्ति का नाम जोड़ें जिसे आपातकालीन स्थिति में सूचित किया जा सके।</v>
      </c>
      <c r="E615" s="6" t="str">
        <f>IFERROR(__xludf.DUMMYFUNCTION("GOOGLETRANSLATE(B615, ""en"", ""kn"")"),"ತುರ್ತು ಸಂದರ್ಭದಲ್ಲಿ ತಿಳಿಸಬಹುದಾದ ವಿಶ್ವಾಸಾರ್ಹ ಸಂಪರ್ಕ ವ್ಯಕ್ತಿಯನ್ನು ಸೇರಿಸಿ.")</f>
        <v>ತುರ್ತು ಸಂದರ್ಭದಲ್ಲಿ ತಿಳಿಸಬಹುದಾದ ವಿಶ್ವಾಸಾರ್ಹ ಸಂಪರ್ಕ ವ್ಯಕ್ತಿಯನ್ನು ಸೇರಿಸಿ.</v>
      </c>
      <c r="F615" s="7" t="str">
        <f>IFERROR(__xludf.DUMMYFUNCTION("GOOGLETRANSLATE(B615, ""en"", ""ml"")"),"അടിയന്തര സാഹചര്യത്തിൽ അറിയിക്കാൻ കഴിയുന്ന ഒരു വിശ്വസ്ത കോൺടാക്റ്റിനെ ചേർക്കുക.")</f>
        <v>അടിയന്തര സാഹചര്യത്തിൽ അറിയിക്കാൻ കഴിയുന്ന ഒരു വിശ്വസ്ത കോൺടാക്റ്റിനെ ചേർക്കുക.</v>
      </c>
      <c r="G615" s="7" t="str">
        <f>IFERROR(__xludf.DUMMYFUNCTION("GOOGLETRANSLATE(B615, ""en"", ""te"")"),"అత్యవసర పరిస్థితుల్లో తెలియజేయగల విశ్వసనీయ పరిచయాన్ని జోడించండి.")</f>
        <v>అత్యవసర పరిస్థితుల్లో తెలియజేయగల విశ్వసనీయ పరిచయాన్ని జోడించండి.</v>
      </c>
    </row>
    <row r="616">
      <c r="A616" s="4" t="s">
        <v>1340</v>
      </c>
      <c r="B616" s="5" t="s">
        <v>1341</v>
      </c>
      <c r="C616" s="6" t="s">
        <v>1342</v>
      </c>
      <c r="D616" s="6" t="str">
        <f>IFERROR(__xludf.DUMMYFUNCTION("GOOGLETRANSLATE(B616, ""en"", ""hi"")"),"कोई आपातकालीन संपर्क नहीं")</f>
        <v>कोई आपातकालीन संपर्क नहीं</v>
      </c>
      <c r="E616" s="6" t="str">
        <f>IFERROR(__xludf.DUMMYFUNCTION("GOOGLETRANSLATE(B616, ""en"", ""kn"")"),"ತುರ್ತು ಸಂಪರ್ಕವಿಲ್ಲ")</f>
        <v>ತುರ್ತು ಸಂಪರ್ಕವಿಲ್ಲ</v>
      </c>
      <c r="F616" s="7" t="str">
        <f>IFERROR(__xludf.DUMMYFUNCTION("GOOGLETRANSLATE(B616, ""en"", ""ml"")"),"അടിയന്തര കോൺടാക്റ്റ് ഇല്ല")</f>
        <v>അടിയന്തര കോൺടാക്റ്റ് ഇല്ല</v>
      </c>
      <c r="G616" s="7" t="str">
        <f>IFERROR(__xludf.DUMMYFUNCTION("GOOGLETRANSLATE(B616, ""en"", ""te"")"),"అత్యవసర సంప్రదింపులు లేవు")</f>
        <v>అత్యవసర సంప్రదింపులు లేవు</v>
      </c>
    </row>
    <row r="617">
      <c r="A617" s="4" t="s">
        <v>1343</v>
      </c>
      <c r="B617" s="5" t="s">
        <v>1344</v>
      </c>
      <c r="C617" s="6" t="s">
        <v>1345</v>
      </c>
      <c r="D617" s="6" t="str">
        <f>IFERROR(__xludf.DUMMYFUNCTION("GOOGLETRANSLATE(B617, ""en"", ""hi"")"),"{count} संपर्कों की अधिकतम संख्या तक पहुंचा गया")</f>
        <v>{count} संपर्कों की अधिकतम संख्या तक पहुंचा गया</v>
      </c>
      <c r="E617" s="6" t="str">
        <f>IFERROR(__xludf.DUMMYFUNCTION("GOOGLETRANSLATE(B617, ""en"", ""kn"")"),"ಗರಿಷ್ಠ {count} ಸಂಪರ್ಕಗಳನ್ನು ತಲುಪಲಾಗಿದೆ")</f>
        <v>ಗರಿಷ್ಠ {count} ಸಂಪರ್ಕಗಳನ್ನು ತಲುಪಲಾಗಿದೆ</v>
      </c>
      <c r="F617" s="7" t="str">
        <f>IFERROR(__xludf.DUMMYFUNCTION("GOOGLETRANSLATE(B617, ""en"", ""ml"")"),"പരമാവധി {count} കോൺടാക്റ്റുകളെത്തി")</f>
        <v>പരമാവധി {count} കോൺടാക്റ്റുകളെത്തി</v>
      </c>
      <c r="G617" s="7" t="str">
        <f>IFERROR(__xludf.DUMMYFUNCTION("GOOGLETRANSLATE(B617, ""en"", ""te"")"),"గరిష్టంగా {count} పరిచయాల సంఖ్యను చేరుకున్నారు")</f>
        <v>గరిష్టంగా {count} పరిచయాల సంఖ్యను చేరుకున్నారు</v>
      </c>
    </row>
    <row r="618">
      <c r="A618" s="4" t="s">
        <v>1346</v>
      </c>
      <c r="B618" s="5" t="s">
        <v>1347</v>
      </c>
      <c r="C618" s="6" t="s">
        <v>1348</v>
      </c>
      <c r="D618" s="6" t="str">
        <f>IFERROR(__xludf.DUMMYFUNCTION("GOOGLETRANSLATE(B618, ""en"", ""hi"")"),"चयनितों की अधिकतम संख्या {count} है")</f>
        <v>चयनितों की अधिकतम संख्या {count} है</v>
      </c>
      <c r="E618" s="6" t="str">
        <f>IFERROR(__xludf.DUMMYFUNCTION("GOOGLETRANSLATE(B618, ""en"", ""kn"")"),"ಗರಿಷ್ಠ {count} ಆಯ್ಕೆ ಮಾಡಲಾಗಿದೆ")</f>
        <v>ಗರಿಷ್ಠ {count} ಆಯ್ಕೆ ಮಾಡಲಾಗಿದೆ</v>
      </c>
      <c r="F618" s="7" t="str">
        <f>IFERROR(__xludf.DUMMYFUNCTION("GOOGLETRANSLATE(B618, ""en"", ""ml"")"),"പരമാവധി {count} തിരഞ്ഞെടുത്തു")</f>
        <v>പരമാവധി {count} തിരഞ്ഞെടുത്തു</v>
      </c>
      <c r="G618" s="7" t="str">
        <f>IFERROR(__xludf.DUMMYFUNCTION("GOOGLETRANSLATE(B618, ""en"", ""te"")"),"గరిష్టంగా {count} ఎంచుకోబడింది")</f>
        <v>గరిష్టంగా {count} ఎంచుకోబడింది</v>
      </c>
    </row>
    <row r="619">
      <c r="A619" s="4" t="s">
        <v>1349</v>
      </c>
      <c r="B619" s="5" t="s">
        <v>1350</v>
      </c>
      <c r="C619" s="6" t="s">
        <v>1351</v>
      </c>
      <c r="D619" s="6" t="str">
        <f>IFERROR(__xludf.DUMMYFUNCTION("GOOGLETRANSLATE(B619, ""en"", ""hi"")"),"नाम हटाना")</f>
        <v>नाम हटाना</v>
      </c>
      <c r="E619" s="6" t="str">
        <f>IFERROR(__xludf.DUMMYFUNCTION("GOOGLETRANSLATE(B619, ""en"", ""kn"")"),"ಸಂಪರ್ಕವನ್ನು ತೆಗೆದುಹಾಕಿ")</f>
        <v>ಸಂಪರ್ಕವನ್ನು ತೆಗೆದುಹಾಕಿ</v>
      </c>
      <c r="F619" s="7" t="str">
        <f>IFERROR(__xludf.DUMMYFUNCTION("GOOGLETRANSLATE(B619, ""en"", ""ml"")"),"കോൺടാക്റ്റ് നീക്കം ചെയ്യുക")</f>
        <v>കോൺടാക്റ്റ് നീക്കം ചെയ്യുക</v>
      </c>
      <c r="G619" s="7" t="str">
        <f>IFERROR(__xludf.DUMMYFUNCTION("GOOGLETRANSLATE(B619, ""en"", ""te"")"),"పరిచయాన్ని తీసివేయండి")</f>
        <v>పరిచయాన్ని తీసివేయండి</v>
      </c>
    </row>
    <row r="620">
      <c r="A620" s="4" t="s">
        <v>1352</v>
      </c>
      <c r="B620" s="5" t="s">
        <v>1353</v>
      </c>
      <c r="C620" s="6" t="s">
        <v>1354</v>
      </c>
      <c r="D620" s="6" t="str">
        <f>IFERROR(__xludf.DUMMYFUNCTION("GOOGLETRANSLATE(B620, ""en"", ""hi"")"),"क्या आप वाकई इस संपर्क को हटाना चाहते हैं?")</f>
        <v>क्या आप वाकई इस संपर्क को हटाना चाहते हैं?</v>
      </c>
      <c r="E620" s="6" t="str">
        <f>IFERROR(__xludf.DUMMYFUNCTION("GOOGLETRANSLATE(B620, ""en"", ""kn"")"),"ನೀವು ಈ ಸಂಪರ್ಕವನ್ನು ತೆಗೆದುಹಾಕಲು ಖಚಿತವಾಗಿ ಬಯಸುವಿರಾ?")</f>
        <v>ನೀವು ಈ ಸಂಪರ್ಕವನ್ನು ತೆಗೆದುಹಾಕಲು ಖಚಿತವಾಗಿ ಬಯಸುವಿರಾ?</v>
      </c>
      <c r="F620" s="7" t="str">
        <f>IFERROR(__xludf.DUMMYFUNCTION("GOOGLETRANSLATE(B620, ""en"", ""ml"")"),"ഈ കോൺടാക്റ്റ് നീക്കം ചെയ്യണമെന്ന് നിങ്ങൾക്ക് ഉറപ്പാണോ?")</f>
        <v>ഈ കോൺടാക്റ്റ് നീക്കം ചെയ്യണമെന്ന് നിങ്ങൾക്ക് ഉറപ്പാണോ?</v>
      </c>
      <c r="G620" s="7" t="str">
        <f>IFERROR(__xludf.DUMMYFUNCTION("GOOGLETRANSLATE(B620, ""en"", ""te"")"),"మీరు ఈ పరిచయాన్ని ఖచ్చితంగా తొలగించాలనుకుంటున్నారా?")</f>
        <v>మీరు ఈ పరిచయాన్ని ఖచ్చితంగా తొలగించాలనుకుంటున్నారా?</v>
      </c>
    </row>
    <row r="621">
      <c r="A621" s="4" t="s">
        <v>1355</v>
      </c>
      <c r="B621" s="5" t="s">
        <v>1356</v>
      </c>
      <c r="C621" s="6" t="s">
        <v>1357</v>
      </c>
      <c r="D621" s="6" t="str">
        <f>IFERROR(__xludf.DUMMYFUNCTION("GOOGLETRANSLATE(B621, ""en"", ""hi"")"),"नाम या संख्या से खोजें")</f>
        <v>नाम या संख्या से खोजें</v>
      </c>
      <c r="E621" s="6" t="str">
        <f>IFERROR(__xludf.DUMMYFUNCTION("GOOGLETRANSLATE(B621, ""en"", ""kn"")"),"ಹೆಸರು ಅಥವಾ ಸಂಖ್ಯೆಯ ಮೂಲಕ ಹುಡುಕಿ")</f>
        <v>ಹೆಸರು ಅಥವಾ ಸಂಖ್ಯೆಯ ಮೂಲಕ ಹುಡುಕಿ</v>
      </c>
      <c r="F621" s="7" t="str">
        <f>IFERROR(__xludf.DUMMYFUNCTION("GOOGLETRANSLATE(B621, ""en"", ""ml"")"),"പേരോ നമ്പറോ ഉപയോഗിച്ച് തിരയുക")</f>
        <v>പേരോ നമ്പറോ ഉപയോഗിച്ച് തിരയുക</v>
      </c>
      <c r="G621" s="7" t="str">
        <f>IFERROR(__xludf.DUMMYFUNCTION("GOOGLETRANSLATE(B621, ""en"", ""te"")"),"పేరు లేదా నంబర్ ద్వారా శోధించండి")</f>
        <v>పేరు లేదా నంబర్ ద్వారా శోధించండి</v>
      </c>
    </row>
    <row r="622">
      <c r="A622" s="4" t="s">
        <v>1358</v>
      </c>
      <c r="B622" s="5" t="s">
        <v>1359</v>
      </c>
      <c r="C622" s="6" t="s">
        <v>1360</v>
      </c>
      <c r="D622" s="6" t="str">
        <f>IFERROR(__xludf.DUMMYFUNCTION("GOOGLETRANSLATE(B622, ""en"", ""hi"")"),"संपर्कों का चयन करें")</f>
        <v>संपर्कों का चयन करें</v>
      </c>
      <c r="E622" s="6" t="str">
        <f>IFERROR(__xludf.DUMMYFUNCTION("GOOGLETRANSLATE(B622, ""en"", ""kn"")"),"ಸಂಪರ್ಕಗಳನ್ನು ಆಯ್ಕೆಮಾಡಿ")</f>
        <v>ಸಂಪರ್ಕಗಳನ್ನು ಆಯ್ಕೆಮಾಡಿ</v>
      </c>
      <c r="F622" s="7" t="str">
        <f>IFERROR(__xludf.DUMMYFUNCTION("GOOGLETRANSLATE(B622, ""en"", ""ml"")"),"കോൺടാക്റ്റുകൾ തിരഞ്ഞെടുക്കുക")</f>
        <v>കോൺടാക്റ്റുകൾ തിരഞ്ഞെടുക്കുക</v>
      </c>
      <c r="G622" s="7" t="str">
        <f>IFERROR(__xludf.DUMMYFUNCTION("GOOGLETRANSLATE(B622, ""en"", ""te"")"),"పరిచయాలను ఎంచుకోండి")</f>
        <v>పరిచయాలను ఎంచుకోండి</v>
      </c>
    </row>
    <row r="623">
      <c r="A623" s="4" t="s">
        <v>1361</v>
      </c>
      <c r="B623" s="5" t="s">
        <v>1362</v>
      </c>
      <c r="C623" s="6" t="s">
        <v>1363</v>
      </c>
      <c r="D623" s="6" t="str">
        <f>IFERROR(__xludf.DUMMYFUNCTION("GOOGLETRANSLATE(B623, ""en"", ""hi"")"),"अधिकतम {count} संपर्कों का चयन करें")</f>
        <v>अधिकतम {count} संपर्कों का चयन करें</v>
      </c>
      <c r="E623" s="6" t="str">
        <f>IFERROR(__xludf.DUMMYFUNCTION("GOOGLETRANSLATE(B623, ""en"", ""kn"")"),"{count} ಸಂಪರ್ಕಗಳವರೆಗೆ ಆಯ್ಕೆಮಾಡಿ")</f>
        <v>{count} ಸಂಪರ್ಕಗಳವರೆಗೆ ಆಯ್ಕೆಮಾಡಿ</v>
      </c>
      <c r="F623" s="7" t="str">
        <f>IFERROR(__xludf.DUMMYFUNCTION("GOOGLETRANSLATE(B623, ""en"", ""ml"")"),"{count} കോൺടാക്റ്റുകൾ വരെ തിരഞ്ഞെടുക്കുക")</f>
        <v>{count} കോൺടാക്റ്റുകൾ വരെ തിരഞ്ഞെടുക്കുക</v>
      </c>
      <c r="G623" s="7" t="str">
        <f>IFERROR(__xludf.DUMMYFUNCTION("GOOGLETRANSLATE(B623, ""en"", ""te"")"),"{count} పరిచయాల వరకు ఎంచుకోండి")</f>
        <v>{count} పరిచయాల వరకు ఎంచుకోండి</v>
      </c>
    </row>
    <row r="624">
      <c r="A624" s="4" t="s">
        <v>1364</v>
      </c>
      <c r="B624" s="5" t="s">
        <v>1365</v>
      </c>
      <c r="C624" s="6" t="s">
        <v>1366</v>
      </c>
      <c r="D624" s="6" t="str">
        <f>IFERROR(__xludf.DUMMYFUNCTION("GOOGLETRANSLATE(B624, ""en"", ""hi"")"),"{count} चयनित")</f>
        <v>{count} चयनित</v>
      </c>
      <c r="E624" s="6" t="str">
        <f>IFERROR(__xludf.DUMMYFUNCTION("GOOGLETRANSLATE(B624, ""en"", ""kn"")"),"{count} ಆಯ್ಕೆ ಮಾಡಲಾಗಿದೆ")</f>
        <v>{count} ಆಯ್ಕೆ ಮಾಡಲಾಗಿದೆ</v>
      </c>
      <c r="F624" s="7" t="str">
        <f>IFERROR(__xludf.DUMMYFUNCTION("GOOGLETRANSLATE(B624, ""en"", ""ml"")"),"{count} തിരഞ്ഞെടുത്തു")</f>
        <v>{count} തിരഞ്ഞെടുത്തു</v>
      </c>
      <c r="G624" s="7" t="str">
        <f>IFERROR(__xludf.DUMMYFUNCTION("GOOGLETRANSLATE(B624, ""en"", ""te"")"),"{count} ఎంచుకోబడింది")</f>
        <v>{count} ఎంచుకోబడింది</v>
      </c>
    </row>
    <row r="625">
      <c r="A625" s="4" t="s">
        <v>1367</v>
      </c>
      <c r="B625" s="5" t="s">
        <v>1368</v>
      </c>
      <c r="C625" s="6" t="s">
        <v>1369</v>
      </c>
      <c r="D625" s="6" t="str">
        <f>IFERROR(__xludf.DUMMYFUNCTION("GOOGLETRANSLATE(B625, ""en"", ""hi"")"),"स्थान अनुमति सक्षम करें")</f>
        <v>स्थान अनुमति सक्षम करें</v>
      </c>
      <c r="E625" s="6" t="str">
        <f>IFERROR(__xludf.DUMMYFUNCTION("GOOGLETRANSLATE(B625, ""en"", ""kn"")"),"ಸ್ಥಳ ಅನುಮತಿಯನ್ನು ಸಕ್ರಿಯಗೊಳಿಸಿ")</f>
        <v>ಸ್ಥಳ ಅನುಮತಿಯನ್ನು ಸಕ್ರಿಯಗೊಳಿಸಿ</v>
      </c>
      <c r="F625" s="7" t="str">
        <f>IFERROR(__xludf.DUMMYFUNCTION("GOOGLETRANSLATE(B625, ""en"", ""ml"")"),"ലൊക്കേഷൻ അനുമതി പ്രവർത്തനക്ഷമമാക്കുക")</f>
        <v>ലൊക്കേഷൻ അനുമതി പ്രവർത്തനക്ഷമമാക്കുക</v>
      </c>
      <c r="G625" s="7" t="str">
        <f>IFERROR(__xludf.DUMMYFUNCTION("GOOGLETRANSLATE(B625, ""en"", ""te"")"),"స్థాన అనుమతిని ప్రారంభించండి")</f>
        <v>స్థాన అనుమతిని ప్రారంభించండి</v>
      </c>
    </row>
    <row r="626">
      <c r="A626" s="4" t="s">
        <v>1370</v>
      </c>
      <c r="B626" s="5" t="s">
        <v>1371</v>
      </c>
      <c r="C626" s="6" t="s">
        <v>1372</v>
      </c>
      <c r="D626" s="6" t="str">
        <f>IFERROR(__xludf.DUMMYFUNCTION("GOOGLETRANSLATE(B626, ""en"", ""hi"")"),"स्थान को कैसे सक्षम करें")</f>
        <v>स्थान को कैसे सक्षम करें</v>
      </c>
      <c r="E626" s="6" t="str">
        <f>IFERROR(__xludf.DUMMYFUNCTION("GOOGLETRANSLATE(B626, ""en"", ""kn"")"),"ಸ್ಥಳವನ್ನು ಸಕ್ರಿಯಗೊಳಿಸುವುದು ಹೇಗೆ")</f>
        <v>ಸ್ಥಳವನ್ನು ಸಕ್ರಿಯಗೊಳಿಸುವುದು ಹೇಗೆ</v>
      </c>
      <c r="F626" s="7" t="str">
        <f>IFERROR(__xludf.DUMMYFUNCTION("GOOGLETRANSLATE(B626, ""en"", ""ml"")"),"ലൊക്കേഷൻ എങ്ങനെ പ്രവർത്തനക്ഷമമാക്കാം")</f>
        <v>ലൊക്കേഷൻ എങ്ങനെ പ്രവർത്തനക്ഷമമാക്കാം</v>
      </c>
      <c r="G626" s="7" t="str">
        <f>IFERROR(__xludf.DUMMYFUNCTION("GOOGLETRANSLATE(B626, ""en"", ""te"")"),"స్థానాన్ని ఎలా ప్రారంభించాలి")</f>
        <v>స్థానాన్ని ఎలా ప్రారంభించాలి</v>
      </c>
    </row>
    <row r="627">
      <c r="A627" s="4" t="s">
        <v>1373</v>
      </c>
      <c r="B627" s="5" t="s">
        <v>1374</v>
      </c>
      <c r="C627" s="6" t="s">
        <v>1375</v>
      </c>
      <c r="D627" s="6" t="str">
        <f>IFERROR(__xludf.DUMMYFUNCTION("GOOGLETRANSLATE(B627, ""en"", ""hi"")"),"कृपया जारी रखने के लिए स्थान अनुमति सक्षम करें।")</f>
        <v>कृपया जारी रखने के लिए स्थान अनुमति सक्षम करें।</v>
      </c>
      <c r="E627" s="6" t="str">
        <f>IFERROR(__xludf.DUMMYFUNCTION("GOOGLETRANSLATE(B627, ""en"", ""kn"")"),"ಮುಂದುವರಿಯಲು ಸ್ಥಳ ಅನುಮತಿಯನ್ನು ಸಕ್ರಿಯಗೊಳಿಸಿ.")</f>
        <v>ಮುಂದುವರಿಯಲು ಸ್ಥಳ ಅನುಮತಿಯನ್ನು ಸಕ್ರಿಯಗೊಳಿಸಿ.</v>
      </c>
      <c r="F627" s="7" t="str">
        <f>IFERROR(__xludf.DUMMYFUNCTION("GOOGLETRANSLATE(B627, ""en"", ""ml"")"),"തുടരുന്നതിന് ലൊക്കേഷൻ അനുമതി പ്രവർത്തനക്ഷമമാക്കുക.")</f>
        <v>തുടരുന്നതിന് ലൊക്കേഷൻ അനുമതി പ്രവർത്തനക്ഷമമാക്കുക.</v>
      </c>
      <c r="G627" s="7" t="str">
        <f>IFERROR(__xludf.DUMMYFUNCTION("GOOGLETRANSLATE(B627, ""en"", ""te"")"),"కొనసాగించడానికి దయచేసి స్థాన అనుమతిని ప్రారంభించండి.")</f>
        <v>కొనసాగించడానికి దయచేసి స్థాన అనుమతిని ప్రారంభించండి.</v>
      </c>
    </row>
    <row r="628">
      <c r="A628" s="4" t="s">
        <v>1376</v>
      </c>
      <c r="B628" s="5" t="s">
        <v>1377</v>
      </c>
      <c r="C628" s="6" t="s">
        <v>1378</v>
      </c>
      <c r="D628" s="6" t="str">
        <f>IFERROR(__xludf.DUMMYFUNCTION("GOOGLETRANSLATE(B628, ""en"", ""hi"")"),"अनुमति सक्षम करें")</f>
        <v>अनुमति सक्षम करें</v>
      </c>
      <c r="E628" s="6" t="str">
        <f>IFERROR(__xludf.DUMMYFUNCTION("GOOGLETRANSLATE(B628, ""en"", ""kn"")"),"ಅನುಮತಿಯನ್ನು ಸಕ್ರಿಯಗೊಳಿಸಿ")</f>
        <v>ಅನುಮತಿಯನ್ನು ಸಕ್ರಿಯಗೊಳಿಸಿ</v>
      </c>
      <c r="F628" s="7" t="str">
        <f>IFERROR(__xludf.DUMMYFUNCTION("GOOGLETRANSLATE(B628, ""en"", ""ml"")"),"അനുമതി പ്രാപ്തമാക്കുക")</f>
        <v>അനുമതി പ്രാപ്തമാക്കുക</v>
      </c>
      <c r="G628" s="7" t="str">
        <f>IFERROR(__xludf.DUMMYFUNCTION("GOOGLETRANSLATE(B628, ""en"", ""te"")"),"అనుమతిని ప్రారంభించండి")</f>
        <v>అనుమతిని ప్రారంభించండి</v>
      </c>
    </row>
    <row r="629">
      <c r="A629" s="4" t="s">
        <v>1379</v>
      </c>
      <c r="B629" s="5" t="s">
        <v>1380</v>
      </c>
      <c r="C629" s="6" t="s">
        <v>1381</v>
      </c>
      <c r="D629" s="6" t="str">
        <f>IFERROR(__xludf.DUMMYFUNCTION("GOOGLETRANSLATE(B629, ""en"", ""hi"")"),"कृपया जारी रखने के लिए अपने डिवाइस पर लोकेशन सेवाएं चालू करें।")</f>
        <v>कृपया जारी रखने के लिए अपने डिवाइस पर लोकेशन सेवाएं चालू करें।</v>
      </c>
      <c r="E629" s="6" t="str">
        <f>IFERROR(__xludf.DUMMYFUNCTION("GOOGLETRANSLATE(B629, ""en"", ""kn"")"),"ಮುಂದುವರಿಯಲು ನಿಮ್ಮ ಸಾಧನದಲ್ಲಿ ಸ್ಥಳ ಸೇವೆಗಳನ್ನು ಸಕ್ರಿಯಗೊಳಿಸಿ.")</f>
        <v>ಮುಂದುವರಿಯಲು ನಿಮ್ಮ ಸಾಧನದಲ್ಲಿ ಸ್ಥಳ ಸೇವೆಗಳನ್ನು ಸಕ್ರಿಯಗೊಳಿಸಿ.</v>
      </c>
      <c r="F629" s="7" t="str">
        <f>IFERROR(__xludf.DUMMYFUNCTION("GOOGLETRANSLATE(B629, ""en"", ""ml"")"),"തുടരുന്നതിന് നിങ്ങളുടെ ഉപകരണത്തിൽ ലൊക്കേഷൻ സേവനങ്ങൾ പ്രവർത്തനക്ഷമമാക്കുക.")</f>
        <v>തുടരുന്നതിന് നിങ്ങളുടെ ഉപകരണത്തിൽ ലൊക്കേഷൻ സേവനങ്ങൾ പ്രവർത്തനക്ഷമമാക്കുക.</v>
      </c>
      <c r="G629" s="7" t="str">
        <f>IFERROR(__xludf.DUMMYFUNCTION("GOOGLETRANSLATE(B629, ""en"", ""te"")"),"కొనసాగించడానికి దయచేసి మీ పరికరంలో స్థాన సేవలను ప్రారంభించండి.")</f>
        <v>కొనసాగించడానికి దయచేసి మీ పరికరంలో స్థాన సేవలను ప్రారంభించండి.</v>
      </c>
    </row>
    <row r="630">
      <c r="A630" s="4" t="s">
        <v>1382</v>
      </c>
      <c r="B630" s="5" t="s">
        <v>1383</v>
      </c>
      <c r="C630" s="6" t="s">
        <v>1384</v>
      </c>
      <c r="D630" s="6" t="str">
        <f>IFERROR(__xludf.DUMMYFUNCTION("GOOGLETRANSLATE(B630, ""en"", ""hi"")"),"अंतिम स्थान आवश्यक है")</f>
        <v>अंतिम स्थान आवश्यक है</v>
      </c>
      <c r="E630" s="6" t="str">
        <f>IFERROR(__xludf.DUMMYFUNCTION("GOOGLETRANSLATE(B630, ""en"", ""kn"")"),"ಅಂತ್ಯದ ಸ್ಥಳದ ಅಗತ್ಯವಿದೆ")</f>
        <v>ಅಂತ್ಯದ ಸ್ಥಳದ ಅಗತ್ಯವಿದೆ</v>
      </c>
      <c r="F630" s="7" t="str">
        <f>IFERROR(__xludf.DUMMYFUNCTION("GOOGLETRANSLATE(B630, ""en"", ""ml"")"),"അവസാന സ്ഥലം ആവശ്യമാണ്")</f>
        <v>അവസാന സ്ഥലം ആവശ്യമാണ്</v>
      </c>
      <c r="G630" s="7" t="str">
        <f>IFERROR(__xludf.DUMMYFUNCTION("GOOGLETRANSLATE(B630, ""en"", ""te"")"),"ముగింపు స్థానం అవసరం")</f>
        <v>ముగింపు స్థానం అవసరం</v>
      </c>
    </row>
    <row r="631">
      <c r="A631" s="4" t="s">
        <v>1385</v>
      </c>
      <c r="B631" s="5" t="s">
        <v>1386</v>
      </c>
      <c r="C631" s="6" t="s">
        <v>1387</v>
      </c>
      <c r="D631" s="6" t="str">
        <f>IFERROR(__xludf.DUMMYFUNCTION("GOOGLETRANSLATE(B631, ""en"", ""hi"")"),"मोबाइल नंबर दर्ज करें")</f>
        <v>मोबाइल नंबर दर्ज करें</v>
      </c>
      <c r="E631" s="6" t="str">
        <f>IFERROR(__xludf.DUMMYFUNCTION("GOOGLETRANSLATE(B631, ""en"", ""kn"")"),"ಮೊಬೈಲ್ ಸಂಖ್ಯೆಯನ್ನು ನಮೂದಿಸಿ")</f>
        <v>ಮೊಬೈಲ್ ಸಂಖ್ಯೆಯನ್ನು ನಮೂದಿಸಿ</v>
      </c>
      <c r="F631" s="7" t="str">
        <f>IFERROR(__xludf.DUMMYFUNCTION("GOOGLETRANSLATE(B631, ""en"", ""ml"")"),"മൊബൈൽ നമ്പർ നൽകുക")</f>
        <v>മൊബൈൽ നമ്പർ നൽകുക</v>
      </c>
      <c r="G631" s="7" t="str">
        <f>IFERROR(__xludf.DUMMYFUNCTION("GOOGLETRANSLATE(B631, ""en"", ""te"")"),"మొబైల్ నంబర్‌ను నమోదు చేయండి")</f>
        <v>మొబైల్ నంబర్‌ను నమోదు చేయండి</v>
      </c>
    </row>
    <row r="632">
      <c r="A632" s="4" t="s">
        <v>1388</v>
      </c>
      <c r="B632" s="5" t="s">
        <v>1389</v>
      </c>
      <c r="C632" s="6" t="s">
        <v>1390</v>
      </c>
      <c r="D632" s="6" t="str">
        <f>IFERROR(__xludf.DUMMYFUNCTION("GOOGLETRANSLATE(B632, ""en"", ""hi"")"),"नाम दर्ज करें")</f>
        <v>नाम दर्ज करें</v>
      </c>
      <c r="E632" s="6" t="str">
        <f>IFERROR(__xludf.DUMMYFUNCTION("GOOGLETRANSLATE(B632, ""en"", ""kn"")"),"ಹೆಸರನ್ನು ನಮೂದಿಸಿ")</f>
        <v>ಹೆಸರನ್ನು ನಮೂದಿಸಿ</v>
      </c>
      <c r="F632" s="7" t="str">
        <f>IFERROR(__xludf.DUMMYFUNCTION("GOOGLETRANSLATE(B632, ""en"", ""ml"")"),"പേര് നൽകുക")</f>
        <v>പേര് നൽകുക</v>
      </c>
      <c r="G632" s="7" t="str">
        <f>IFERROR(__xludf.DUMMYFUNCTION("GOOGLETRANSLATE(B632, ""en"", ""te"")"),"పేరు నమోదు చేయండి")</f>
        <v>పేరు నమోదు చేయండి</v>
      </c>
    </row>
    <row r="633">
      <c r="A633" s="4" t="s">
        <v>1391</v>
      </c>
      <c r="B633" s="5" t="s">
        <v>1392</v>
      </c>
      <c r="C633" s="6" t="s">
        <v>1393</v>
      </c>
      <c r="D633" s="6" t="str">
        <f>IFERROR(__xludf.DUMMYFUNCTION("GOOGLETRANSLATE(B633, ""en"", ""hi"")"),"इस स्थान का उपनाम दर्ज करें")</f>
        <v>इस स्थान का उपनाम दर्ज करें</v>
      </c>
      <c r="E633" s="6" t="str">
        <f>IFERROR(__xludf.DUMMYFUNCTION("GOOGLETRANSLATE(B633, ""en"", ""kn"")"),"ಈ ಸ್ಥಳಕ್ಕೆ ಅಡ್ಡಹೆಸರನ್ನು ನಮೂದಿಸಿ")</f>
        <v>ಈ ಸ್ಥಳಕ್ಕೆ ಅಡ್ಡಹೆಸರನ್ನು ನಮೂದಿಸಿ</v>
      </c>
      <c r="F633" s="7" t="str">
        <f>IFERROR(__xludf.DUMMYFUNCTION("GOOGLETRANSLATE(B633, ""en"", ""ml"")"),"ഈ സ്ഥലത്തിന് വിളിപ്പേര് നൽകുക")</f>
        <v>ഈ സ്ഥലത്തിന് വിളിപ്പേര് നൽകുക</v>
      </c>
      <c r="G633" s="7" t="str">
        <f>IFERROR(__xludf.DUMMYFUNCTION("GOOGLETRANSLATE(B633, ""en"", ""te"")"),"ఈ స్థలానికి మారుపేరు నమోదు చేయండి")</f>
        <v>ఈ స్థలానికి మారుపేరు నమోదు చేయండి</v>
      </c>
    </row>
    <row r="634">
      <c r="A634" s="4" t="s">
        <v>1394</v>
      </c>
      <c r="B634" s="5" t="s">
        <v>1395</v>
      </c>
      <c r="C634" s="6" t="s">
        <v>1396</v>
      </c>
      <c r="D634" s="6" t="str">
        <f>IFERROR(__xludf.DUMMYFUNCTION("GOOGLETRANSLATE(B634, ""en"", ""hi"")"),"अपना कारण दर्ज करें")</f>
        <v>अपना कारण दर्ज करें</v>
      </c>
      <c r="E634" s="6" t="str">
        <f>IFERROR(__xludf.DUMMYFUNCTION("GOOGLETRANSLATE(B634, ""en"", ""kn"")"),"ನಿಮ್ಮ ಕಾರಣವನ್ನು ನಮೂದಿಸಿ")</f>
        <v>ನಿಮ್ಮ ಕಾರಣವನ್ನು ನಮೂದಿಸಿ</v>
      </c>
      <c r="F634" s="7" t="str">
        <f>IFERROR(__xludf.DUMMYFUNCTION("GOOGLETRANSLATE(B634, ""en"", ""ml"")"),"നിങ്ങളുടെ കാരണം നൽകുക")</f>
        <v>നിങ്ങളുടെ കാരണം നൽകുക</v>
      </c>
      <c r="G634" s="7" t="str">
        <f>IFERROR(__xludf.DUMMYFUNCTION("GOOGLETRANSLATE(B634, ""en"", ""te"")"),"మీ కారణాన్ని నమోదు చేయండి")</f>
        <v>మీ కారణాన్ని నమోదు చేయండి</v>
      </c>
    </row>
    <row r="635">
      <c r="A635" s="4" t="s">
        <v>1397</v>
      </c>
      <c r="B635" s="5" t="s">
        <v>1398</v>
      </c>
      <c r="C635" s="6" t="s">
        <v>1399</v>
      </c>
      <c r="D635" s="6" t="str">
        <f>IFERROR(__xludf.DUMMYFUNCTION("GOOGLETRANSLATE(B635, ""en"", ""hi"")"),"गलती")</f>
        <v>गलती</v>
      </c>
      <c r="E635" s="6" t="str">
        <f>IFERROR(__xludf.DUMMYFUNCTION("GOOGLETRANSLATE(B635, ""en"", ""kn"")"),"ದೋಷ")</f>
        <v>ದೋಷ</v>
      </c>
      <c r="F635" s="7" t="str">
        <f>IFERROR(__xludf.DUMMYFUNCTION("GOOGLETRANSLATE(B635, ""en"", ""ml"")"),"പിശക്")</f>
        <v>പിശക്</v>
      </c>
      <c r="G635" s="7" t="str">
        <f>IFERROR(__xludf.DUMMYFUNCTION("GOOGLETRANSLATE(B635, ""en"", ""te"")"),"లోపం")</f>
        <v>లోపం</v>
      </c>
    </row>
    <row r="636">
      <c r="A636" s="4" t="s">
        <v>1400</v>
      </c>
      <c r="B636" s="5" t="s">
        <v>1401</v>
      </c>
      <c r="C636" s="6" t="str">
        <f>IFERROR(__xludf.DUMMYFUNCTION("GOOGLETRANSLATE(B636, ""en"", ""ta"")"),"டிரைவரை அழைப்பதில் பிழை.")</f>
        <v>டிரைவரை அழைப்பதில் பிழை.</v>
      </c>
      <c r="D636" s="6" t="str">
        <f>IFERROR(__xludf.DUMMYFUNCTION("GOOGLETRANSLATE(B636, ""en"", ""hi"")"),"ड्राइवर को कॉल करने में त्रुटि")</f>
        <v>ड्राइवर को कॉल करने में त्रुटि</v>
      </c>
      <c r="E636" s="6" t="str">
        <f>IFERROR(__xludf.DUMMYFUNCTION("GOOGLETRANSLATE(B636, ""en"", ""kn"")"),"ಚಾಲಕನಿಗೆ ಕರೆ ಮಾಡುವಾಗ ದೋಷ ಉಂಟಾಗಿದೆ.")</f>
        <v>ಚಾಲಕನಿಗೆ ಕರೆ ಮಾಡುವಾಗ ದೋಷ ಉಂಟಾಗಿದೆ.</v>
      </c>
      <c r="F636" s="7" t="str">
        <f>IFERROR(__xludf.DUMMYFUNCTION("GOOGLETRANSLATE(B636, ""en"", ""ml"")"),"ഡ്രൈവറെ വിളിക്കുന്നതിൽ പിശക്")</f>
        <v>ഡ്രൈവറെ വിളിക്കുന്നതിൽ പിശക്</v>
      </c>
      <c r="G636" s="7" t="str">
        <f>IFERROR(__xludf.DUMMYFUNCTION("GOOGLETRANSLATE(B636, ""en"", ""te"")"),"డ్రైవర్‌కు కాల్ చేయడంలో లోపం")</f>
        <v>డ్రైవర్‌కు కాల్ చేయడంలో లోపం</v>
      </c>
    </row>
    <row r="637">
      <c r="A637" s="4" t="s">
        <v>1402</v>
      </c>
      <c r="B637" s="12" t="s">
        <v>1398</v>
      </c>
      <c r="C637" s="6" t="str">
        <f>IFERROR(__xludf.DUMMYFUNCTION("GOOGLETRANSLATE(B637, ""en"", ""ta"")"),"பிழை")</f>
        <v>பிழை</v>
      </c>
      <c r="D637" s="6" t="str">
        <f>IFERROR(__xludf.DUMMYFUNCTION("GOOGLETRANSLATE(B637, ""en"", ""hi"")"),"गलती")</f>
        <v>गलती</v>
      </c>
      <c r="E637" s="6" t="str">
        <f>IFERROR(__xludf.DUMMYFUNCTION("GOOGLETRANSLATE(B637, ""en"", ""kn"")"),"ದೋಷ")</f>
        <v>ದೋಷ</v>
      </c>
      <c r="F637" s="7" t="str">
        <f>IFERROR(__xludf.DUMMYFUNCTION("GOOGLETRANSLATE(B637, ""en"", ""ml"")"),"പിശക്")</f>
        <v>പിശക്</v>
      </c>
      <c r="G637" s="7" t="str">
        <f>IFERROR(__xludf.DUMMYFUNCTION("GOOGLETRANSLATE(B637, ""en"", ""te"")"),"లోపం")</f>
        <v>లోపం</v>
      </c>
    </row>
    <row r="638">
      <c r="A638" s="4" t="s">
        <v>1403</v>
      </c>
      <c r="B638" s="5" t="s">
        <v>1404</v>
      </c>
      <c r="C638" s="6" t="s">
        <v>1405</v>
      </c>
      <c r="D638" s="6" t="str">
        <f>IFERROR(__xludf.DUMMYFUNCTION("GOOGLETRANSLATE(B638, ""en"", ""hi"")"),"अनुमानित कीमत")</f>
        <v>अनुमानित कीमत</v>
      </c>
      <c r="E638" s="6" t="str">
        <f>IFERROR(__xludf.DUMMYFUNCTION("GOOGLETRANSLATE(B638, ""en"", ""kn"")"),"ಅಂದಾಜು ಬೆಲೆ")</f>
        <v>ಅಂದಾಜು ಬೆಲೆ</v>
      </c>
      <c r="F638" s="7" t="str">
        <f>IFERROR(__xludf.DUMMYFUNCTION("GOOGLETRANSLATE(B638, ""en"", ""ml"")"),"കണക്കാക്കിയ വില")</f>
        <v>കണക്കാക്കിയ വില</v>
      </c>
      <c r="G638" s="7" t="str">
        <f>IFERROR(__xludf.DUMMYFUNCTION("GOOGLETRANSLATE(B638, ""en"", ""te"")"),"అంచనా ధర")</f>
        <v>అంచనా ధర</v>
      </c>
    </row>
    <row r="639">
      <c r="A639" s="4" t="s">
        <v>1406</v>
      </c>
      <c r="B639" s="5" t="s">
        <v>1407</v>
      </c>
      <c r="C639" s="6" t="s">
        <v>1408</v>
      </c>
      <c r="D639" s="6" t="str">
        <f>IFERROR(__xludf.DUMMYFUNCTION("GOOGLETRANSLATE(B639, ""en"", ""hi"")"),"अनुमानित भुगतान राशि")</f>
        <v>अनुमानित भुगतान राशि</v>
      </c>
      <c r="E639" s="6" t="str">
        <f>IFERROR(__xludf.DUMMYFUNCTION("GOOGLETRANSLATE(B639, ""en"", ""kn"")"),"ಪಾವತಿಸಬೇಕಾದ ಅಂದಾಜು ಮೊತ್ತ")</f>
        <v>ಪಾವತಿಸಬೇಕಾದ ಅಂದಾಜು ಮೊತ್ತ</v>
      </c>
      <c r="F639" s="7" t="str">
        <f>IFERROR(__xludf.DUMMYFUNCTION("GOOGLETRANSLATE(B639, ""en"", ""ml"")"),"നൽകേണ്ടതായി കണക്കാക്കിയ തുക")</f>
        <v>നൽകേണ്ടതായി കണക്കാക്കിയ തുക</v>
      </c>
      <c r="G639" s="7" t="str">
        <f>IFERROR(__xludf.DUMMYFUNCTION("GOOGLETRANSLATE(B639, ""en"", ""te"")"),"చెల్లించాల్సిన అంచనా మొత్తం")</f>
        <v>చెల్లించాల్సిన అంచనా మొత్తం</v>
      </c>
    </row>
    <row r="640">
      <c r="A640" s="4" t="s">
        <v>1409</v>
      </c>
      <c r="B640" s="5" t="s">
        <v>1410</v>
      </c>
      <c r="C640" s="6" t="s">
        <v>1411</v>
      </c>
      <c r="D640" s="6" t="str">
        <f>IFERROR(__xludf.DUMMYFUNCTION("GOOGLETRANSLATE(B640, ""en"", ""hi"")"),"अनुमानित दूरी")</f>
        <v>अनुमानित दूरी</v>
      </c>
      <c r="E640" s="6" t="str">
        <f>IFERROR(__xludf.DUMMYFUNCTION("GOOGLETRANSLATE(B640, ""en"", ""kn"")"),"ಅಂದಾಜು ದೂರ")</f>
        <v>ಅಂದಾಜು ದೂರ</v>
      </c>
      <c r="F640" s="7" t="str">
        <f>IFERROR(__xludf.DUMMYFUNCTION("GOOGLETRANSLATE(B640, ""en"", ""ml"")"),"കണക്കാക്കിയ ദൂരം")</f>
        <v>കണക്കാക്കിയ ദൂരം</v>
      </c>
      <c r="G640" s="7" t="str">
        <f>IFERROR(__xludf.DUMMYFUNCTION("GOOGLETRANSLATE(B640, ""en"", ""te"")"),"అంచనా వేసిన దూరం")</f>
        <v>అంచనా వేసిన దూరం</v>
      </c>
    </row>
    <row r="641">
      <c r="A641" s="4" t="s">
        <v>1412</v>
      </c>
      <c r="B641" s="5" t="s">
        <v>1413</v>
      </c>
      <c r="C641" s="6" t="s">
        <v>1414</v>
      </c>
      <c r="D641" s="6" t="str">
        <f>IFERROR(__xludf.DUMMYFUNCTION("GOOGLETRANSLATE(B641, ""en"", ""hi"")"),"अनुमानित अवधि")</f>
        <v>अनुमानित अवधि</v>
      </c>
      <c r="E641" s="6" t="str">
        <f>IFERROR(__xludf.DUMMYFUNCTION("GOOGLETRANSLATE(B641, ""en"", ""kn"")"),"ಅಂದಾಜು ಅವಧಿ")</f>
        <v>ಅಂದಾಜು ಅವಧಿ</v>
      </c>
      <c r="F641" s="7" t="str">
        <f>IFERROR(__xludf.DUMMYFUNCTION("GOOGLETRANSLATE(B641, ""en"", ""ml"")"),"കണക്കാക്കിയ ദൈർഘ്യം")</f>
        <v>കണക്കാക്കിയ ദൈർഘ്യം</v>
      </c>
      <c r="G641" s="7" t="str">
        <f>IFERROR(__xludf.DUMMYFUNCTION("GOOGLETRANSLATE(B641, ""en"", ""te"")"),"అంచనా వేసిన వ్యవధి")</f>
        <v>అంచనా వేసిన వ్యవధి</v>
      </c>
    </row>
    <row r="642">
      <c r="A642" s="4" t="s">
        <v>1415</v>
      </c>
      <c r="B642" s="5" t="s">
        <v>1416</v>
      </c>
      <c r="C642" s="6" t="s">
        <v>1417</v>
      </c>
      <c r="D642" s="6" t="str">
        <f>IFERROR(__xludf.DUMMYFUNCTION("GOOGLETRANSLATE(B642, ""en"", ""hi"")"),"अनुमानित किराया")</f>
        <v>अनुमानित किराया</v>
      </c>
      <c r="E642" s="6" t="str">
        <f>IFERROR(__xludf.DUMMYFUNCTION("GOOGLETRANSLATE(B642, ""en"", ""kn"")"),"ಅಂದಾಜು ದರ")</f>
        <v>ಅಂದಾಜು ದರ</v>
      </c>
      <c r="F642" s="7" t="str">
        <f>IFERROR(__xludf.DUMMYFUNCTION("GOOGLETRANSLATE(B642, ""en"", ""ml"")"),"കണക്കാക്കിയ നിരക്ക്")</f>
        <v>കണക്കാക്കിയ നിരക്ക്</v>
      </c>
      <c r="G642" s="7" t="str">
        <f>IFERROR(__xludf.DUMMYFUNCTION("GOOGLETRANSLATE(B642, ""en"", ""te"")"),"అంచనా వేసిన ఛార్జీ")</f>
        <v>అంచనా వేసిన ఛార్జీ</v>
      </c>
    </row>
    <row r="643">
      <c r="A643" s="4" t="s">
        <v>1418</v>
      </c>
      <c r="B643" s="5" t="s">
        <v>1419</v>
      </c>
      <c r="C643" s="6" t="s">
        <v>1420</v>
      </c>
      <c r="D643" s="6" t="str">
        <f>IFERROR(__xludf.DUMMYFUNCTION("GOOGLETRANSLATE(B643, ""en"", ""hi"")"),"समाप्ति तिथि")</f>
        <v>समाप्ति तिथि</v>
      </c>
      <c r="E643" s="6" t="str">
        <f>IFERROR(__xludf.DUMMYFUNCTION("GOOGLETRANSLATE(B643, ""en"", ""kn"")"),"ಅವಧಿ ಮುಗಿಯುವುದು")</f>
        <v>ಅವಧಿ ಮುಗಿಯುವುದು</v>
      </c>
      <c r="F643" s="7" t="str">
        <f>IFERROR(__xludf.DUMMYFUNCTION("GOOGLETRANSLATE(B643, ""en"", ""ml"")"),"കാലഹരണപ്പെടുന്നത്")</f>
        <v>കാലഹരണപ്പെടുന്നത്</v>
      </c>
      <c r="G643" s="7" t="str">
        <f>IFERROR(__xludf.DUMMYFUNCTION("GOOGLETRANSLATE(B643, ""en"", ""te"")"),"గడువు ముగియనుంది")</f>
        <v>గడువు ముగియనుంది</v>
      </c>
    </row>
    <row r="644">
      <c r="A644" s="4" t="s">
        <v>1421</v>
      </c>
      <c r="B644" s="5" t="s">
        <v>1422</v>
      </c>
      <c r="C644" s="6" t="s">
        <v>1423</v>
      </c>
      <c r="D644" s="6" t="str">
        <f>IFERROR(__xludf.DUMMYFUNCTION("GOOGLETRANSLATE(B644, ""en"", ""hi"")"),"एक्सप्रेस राइड")</f>
        <v>एक्सप्रेस राइड</v>
      </c>
      <c r="E644" s="6" t="str">
        <f>IFERROR(__xludf.DUMMYFUNCTION("GOOGLETRANSLATE(B644, ""en"", ""kn"")"),"ಎಕ್ಸ್‌ಪ್ರೆಸ್ ಸವಾರಿ")</f>
        <v>ಎಕ್ಸ್‌ಪ್ರೆಸ್ ಸವಾರಿ</v>
      </c>
      <c r="F644" s="7" t="str">
        <f>IFERROR(__xludf.DUMMYFUNCTION("GOOGLETRANSLATE(B644, ""en"", ""ml"")"),"എക്സ്പ്രസ് റൈഡ്")</f>
        <v>എക്സ്പ്രസ് റൈഡ്</v>
      </c>
      <c r="G644" s="7" t="str">
        <f>IFERROR(__xludf.DUMMYFUNCTION("GOOGLETRANSLATE(B644, ""en"", ""te"")"),"ఎక్స్‌ప్రెస్ రైడ్")</f>
        <v>ఎక్స్‌ప్రెస్ రైడ్</v>
      </c>
    </row>
    <row r="645">
      <c r="A645" s="4" t="s">
        <v>1424</v>
      </c>
      <c r="B645" s="5" t="s">
        <v>1425</v>
      </c>
      <c r="C645" s="6" t="s">
        <v>1426</v>
      </c>
      <c r="D645" s="6" t="str">
        <f>IFERROR(__xludf.DUMMYFUNCTION("GOOGLETRANSLATE(B645, ""en"", ""hi"")"),"असफल")</f>
        <v>असफल</v>
      </c>
      <c r="E645" s="6" t="str">
        <f>IFERROR(__xludf.DUMMYFUNCTION("GOOGLETRANSLATE(B645, ""en"", ""kn"")"),"ವಿಫಲವಾಗಿದೆ")</f>
        <v>ವಿಫಲವಾಗಿದೆ</v>
      </c>
      <c r="F645" s="7" t="str">
        <f>IFERROR(__xludf.DUMMYFUNCTION("GOOGLETRANSLATE(B645, ""en"", ""ml"")"),"പരാജയപ്പെട്ടു")</f>
        <v>പരാജയപ്പെട്ടു</v>
      </c>
      <c r="G645" s="7" t="str">
        <f>IFERROR(__xludf.DUMMYFUNCTION("GOOGLETRANSLATE(B645, ""en"", ""te"")"),"విఫలమైంది")</f>
        <v>విఫలమైంది</v>
      </c>
    </row>
    <row r="646">
      <c r="A646" s="4" t="s">
        <v>1427</v>
      </c>
      <c r="B646" s="5" t="s">
        <v>1428</v>
      </c>
      <c r="C646" s="6" t="s">
        <v>1429</v>
      </c>
      <c r="D646" s="6" t="str">
        <f>IFERROR(__xludf.DUMMYFUNCTION("GOOGLETRANSLATE(B646, ""en"", ""hi"")"),"सवारी बुक करने में असफल रहे")</f>
        <v>सवारी बुक करने में असफल रहे</v>
      </c>
      <c r="E646" s="6" t="str">
        <f>IFERROR(__xludf.DUMMYFUNCTION("GOOGLETRANSLATE(B646, ""en"", ""kn"")"),"ಸವಾರಿ ಬುಕ್ ಮಾಡಲು ವಿಫಲವಾಗಿದೆ")</f>
        <v>ಸವಾರಿ ಬುಕ್ ಮಾಡಲು ವಿಫಲವಾಗಿದೆ</v>
      </c>
      <c r="F646" s="7" t="str">
        <f>IFERROR(__xludf.DUMMYFUNCTION("GOOGLETRANSLATE(B646, ""en"", ""ml"")"),"റൈഡ് ബുക്ക് ചെയ്യാനായില്ല")</f>
        <v>റൈഡ് ബുക്ക് ചെയ്യാനായില്ല</v>
      </c>
      <c r="G646" s="7" t="str">
        <f>IFERROR(__xludf.DUMMYFUNCTION("GOOGLETRANSLATE(B646, ""en"", ""te"")"),"రైడ్ బుక్ చేయడం విఫలమైంది")</f>
        <v>రైడ్ బుక్ చేయడం విఫలమైంది</v>
      </c>
    </row>
    <row r="647">
      <c r="A647" s="4" t="s">
        <v>1430</v>
      </c>
      <c r="B647" s="5" t="s">
        <v>1431</v>
      </c>
      <c r="C647" s="6" t="s">
        <v>1432</v>
      </c>
      <c r="D647" s="6" t="str">
        <f>IFERROR(__xludf.DUMMYFUNCTION("GOOGLETRANSLATE(B647, ""en"", ""hi"")"),"टिकट बनाने में विफलता। कृपया पुनः प्रयास करें।")</f>
        <v>टिकट बनाने में विफलता। कृपया पुनः प्रयास करें।</v>
      </c>
      <c r="E647" s="6" t="str">
        <f>IFERROR(__xludf.DUMMYFUNCTION("GOOGLETRANSLATE(B647, ""en"", ""kn"")"),"ಟಿಕೆಟ್ ರಚಿಸಲು ವಿಫಲವಾಗಿದೆ. ದಯವಿಟ್ಟು ಮತ್ತೆ ಪ್ರಯತ್ನಿಸಿ.")</f>
        <v>ಟಿಕೆಟ್ ರಚಿಸಲು ವಿಫಲವಾಗಿದೆ. ದಯವಿಟ್ಟು ಮತ್ತೆ ಪ್ರಯತ್ನಿಸಿ.</v>
      </c>
      <c r="F647" s="7" t="str">
        <f>IFERROR(__xludf.DUMMYFUNCTION("GOOGLETRANSLATE(B647, ""en"", ""ml"")"),"ടിക്കറ്റ് സൃഷ്ടിക്കാനായില്ല. വീണ്ടും ശ്രമിക്കുക.")</f>
        <v>ടിക്കറ്റ് സൃഷ്ടിക്കാനായില്ല. വീണ്ടും ശ്രമിക്കുക.</v>
      </c>
      <c r="G647" s="7" t="str">
        <f>IFERROR(__xludf.DUMMYFUNCTION("GOOGLETRANSLATE(B647, ""en"", ""te"")"),"టికెట్ సృష్టించడంలో విఫలమైంది. దయచేసి మళ్ళీ ప్రయత్నించండి.")</f>
        <v>టికెట్ సృష్టించడంలో విఫలమైంది. దయచేసి మళ్ళీ ప్రయత్నించండి.</v>
      </c>
    </row>
    <row r="648">
      <c r="A648" s="4" t="s">
        <v>1433</v>
      </c>
      <c r="B648" s="5" t="s">
        <v>1434</v>
      </c>
      <c r="C648" s="6" t="s">
        <v>1435</v>
      </c>
      <c r="D648" s="6" t="str">
        <f>IFERROR(__xludf.DUMMYFUNCTION("GOOGLETRANSLATE(B648, ""en"", ""hi"")"),"स्थान हटाने में विफल")</f>
        <v>स्थान हटाने में विफल</v>
      </c>
      <c r="E648" s="6" t="str">
        <f>IFERROR(__xludf.DUMMYFUNCTION("GOOGLETRANSLATE(B648, ""en"", ""kn"")"),"ಸ್ಥಳವನ್ನು ಅಳಿಸಲು ವಿಫಲವಾಗಿದೆ.")</f>
        <v>ಸ್ಥಳವನ್ನು ಅಳಿಸಲು ವಿಫಲವಾಗಿದೆ.</v>
      </c>
      <c r="F648" s="7" t="str">
        <f>IFERROR(__xludf.DUMMYFUNCTION("GOOGLETRANSLATE(B648, ""en"", ""ml"")"),"സ്ഥലം ഇല്ലാതാക്കുന്നതിൽ പരാജയപ്പെട്ടു")</f>
        <v>സ്ഥലം ഇല്ലാതാക്കുന്നതിൽ പരാജയപ്പെട്ടു</v>
      </c>
      <c r="G648" s="7" t="str">
        <f>IFERROR(__xludf.DUMMYFUNCTION("GOOGLETRANSLATE(B648, ""en"", ""te"")"),"స్థలాన్ని తొలగించడంలో విఫలమైంది.")</f>
        <v>స్థలాన్ని తొలగించడంలో విఫలమైంది.</v>
      </c>
    </row>
    <row r="649">
      <c r="A649" s="4" t="s">
        <v>1436</v>
      </c>
      <c r="B649" s="5" t="s">
        <v>1437</v>
      </c>
      <c r="C649" s="6" t="s">
        <v>1438</v>
      </c>
      <c r="D649" s="6" t="str">
        <f>IFERROR(__xludf.DUMMYFUNCTION("GOOGLETRANSLATE(B649, ""en"", ""hi"")"),"स्थान हटाने में विफल। कृपया पुनः प्रयास करें।")</f>
        <v>स्थान हटाने में विफल। कृपया पुनः प्रयास करें।</v>
      </c>
      <c r="E649" s="6" t="str">
        <f>IFERROR(__xludf.DUMMYFUNCTION("GOOGLETRANSLATE(B649, ""en"", ""kn"")"),"ಸ್ಥಳವನ್ನು ಅಳಿಸಲು ವಿಫಲವಾಗಿದೆ. ದಯವಿಟ್ಟು ಮತ್ತೆ ಪ್ರಯತ್ನಿಸಿ.")</f>
        <v>ಸ್ಥಳವನ್ನು ಅಳಿಸಲು ವಿಫಲವಾಗಿದೆ. ದಯವಿಟ್ಟು ಮತ್ತೆ ಪ್ರಯತ್ನಿಸಿ.</v>
      </c>
      <c r="F649" s="7" t="str">
        <f>IFERROR(__xludf.DUMMYFUNCTION("GOOGLETRANSLATE(B649, ""en"", ""ml"")"),"സ്ഥലം ഇല്ലാതാക്കാനായില്ല. വീണ്ടും ശ്രമിക്കുക.")</f>
        <v>സ്ഥലം ഇല്ലാതാക്കാനായില്ല. വീണ്ടും ശ്രമിക്കുക.</v>
      </c>
      <c r="G649" s="7" t="str">
        <f>IFERROR(__xludf.DUMMYFUNCTION("GOOGLETRANSLATE(B649, ""en"", ""te"")"),"స్థలాన్ని తొలగించడంలో విఫలమైంది. దయచేసి మళ్ళీ ప్రయత్నించండి.")</f>
        <v>స్థలాన్ని తొలగించడంలో విఫలమైంది. దయచేసి మళ్ళీ ప్రయత్నించండి.</v>
      </c>
    </row>
    <row r="650">
      <c r="A650" s="4" t="s">
        <v>1439</v>
      </c>
      <c r="B650" s="5" t="s">
        <v>1440</v>
      </c>
      <c r="C650" s="6" t="s">
        <v>1440</v>
      </c>
      <c r="D650" s="6" t="str">
        <f>IFERROR(__xludf.DUMMYFUNCTION("GOOGLETRANSLATE(B650, ""en"", ""hi"")"),"किराया अनुमान प्राप्त करने में विफल")</f>
        <v>किराया अनुमान प्राप्त करने में विफल</v>
      </c>
      <c r="E650" s="6" t="str">
        <f>IFERROR(__xludf.DUMMYFUNCTION("GOOGLETRANSLATE(B650, ""en"", ""kn"")"),"ದರದ ಅಂದಾಜು ಪಡೆಯಲು ವಿಫಲವಾಗಿದೆ.")</f>
        <v>ದರದ ಅಂದಾಜು ಪಡೆಯಲು ವಿಫಲವಾಗಿದೆ.</v>
      </c>
      <c r="F650" s="7" t="str">
        <f>IFERROR(__xludf.DUMMYFUNCTION("GOOGLETRANSLATE(B650, ""en"", ""ml"")"),"യാത്രാനിരക്കിന്റെ ഏകദേശ കണക്ക് ലഭിക്കുന്നതിൽ പരാജയപ്പെട്ടു")</f>
        <v>യാത്രാനിരക്കിന്റെ ഏകദേശ കണക്ക് ലഭിക്കുന്നതിൽ പരാജയപ്പെട്ടു</v>
      </c>
      <c r="G650" s="7" t="str">
        <f>IFERROR(__xludf.DUMMYFUNCTION("GOOGLETRANSLATE(B650, ""en"", ""te"")"),"ఛార్జీ అంచనాను పొందడంలో విఫలమైంది")</f>
        <v>ఛార్జీ అంచనాను పొందడంలో విఫలమైంది</v>
      </c>
    </row>
    <row r="651">
      <c r="A651" s="4" t="s">
        <v>1441</v>
      </c>
      <c r="B651" s="5" t="s">
        <v>1442</v>
      </c>
      <c r="C651" s="6" t="s">
        <v>1443</v>
      </c>
      <c r="D651" s="6" t="str">
        <f>IFERROR(__xludf.DUMMYFUNCTION("GOOGLETRANSLATE(B651, ""en"", ""hi"")"),"सवारी नहीं मिल पाई")</f>
        <v>सवारी नहीं मिल पाई</v>
      </c>
      <c r="E651" s="6" t="str">
        <f>IFERROR(__xludf.DUMMYFUNCTION("GOOGLETRANSLATE(B651, ""en"", ""kn"")"),"ಸವಾರಿಗಳನ್ನು ಪಡೆಯುವಲ್ಲಿ ವಿಫಲವಾಗಿದೆ")</f>
        <v>ಸವಾರಿಗಳನ್ನು ಪಡೆಯುವಲ್ಲಿ ವಿಫಲವಾಗಿದೆ</v>
      </c>
      <c r="F651" s="7" t="str">
        <f>IFERROR(__xludf.DUMMYFUNCTION("GOOGLETRANSLATE(B651, ""en"", ""ml"")"),"റൈഡുകൾ നേടുന്നതിൽ പരാജയപ്പെട്ടു")</f>
        <v>റൈഡുകൾ നേടുന്നതിൽ പരാജയപ്പെട്ടു</v>
      </c>
      <c r="G651" s="7" t="str">
        <f>IFERROR(__xludf.DUMMYFUNCTION("GOOGLETRANSLATE(B651, ""en"", ""te"")"),"రైడ్‌లు పొందడంలో విఫలమైంది")</f>
        <v>రైడ్‌లు పొందడంలో విఫలమైంది</v>
      </c>
    </row>
    <row r="652">
      <c r="A652" s="4" t="s">
        <v>1444</v>
      </c>
      <c r="B652" s="5" t="s">
        <v>1445</v>
      </c>
      <c r="C652" s="6" t="s">
        <v>1446</v>
      </c>
      <c r="D652" s="6" t="str">
        <f>IFERROR(__xludf.DUMMYFUNCTION("GOOGLETRANSLATE(B652, ""en"", ""hi"")"),"टिकट लोड करने में विफल")</f>
        <v>टिकट लोड करने में विफल</v>
      </c>
      <c r="E652" s="6" t="str">
        <f>IFERROR(__xludf.DUMMYFUNCTION("GOOGLETRANSLATE(B652, ""en"", ""kn"")"),"ಟಿಕೆಟ್‌ಗಳನ್ನು ಲೋಡ್ ಮಾಡಲು ವಿಫಲವಾಗಿದೆ")</f>
        <v>ಟಿಕೆಟ್‌ಗಳನ್ನು ಲೋಡ್ ಮಾಡಲು ವಿಫಲವಾಗಿದೆ</v>
      </c>
      <c r="F652" s="7" t="str">
        <f>IFERROR(__xludf.DUMMYFUNCTION("GOOGLETRANSLATE(B652, ""en"", ""ml"")"),"ടിക്കറ്റുകൾ ലോഡ് ചെയ്യാനായില്ല")</f>
        <v>ടിക്കറ്റുകൾ ലോഡ് ചെയ്യാനായില്ല</v>
      </c>
      <c r="G652" s="7" t="str">
        <f>IFERROR(__xludf.DUMMYFUNCTION("GOOGLETRANSLATE(B652, ""en"", ""te"")"),"టిక్కెట్లను లోడ్ చేయడంలో విఫలమైంది")</f>
        <v>టిక్కెట్లను లోడ్ చేయడంలో విఫలమైంది</v>
      </c>
    </row>
    <row r="653">
      <c r="A653" s="4" t="s">
        <v>1447</v>
      </c>
      <c r="B653" s="5" t="s">
        <v>1448</v>
      </c>
      <c r="C653" s="6" t="s">
        <v>1449</v>
      </c>
      <c r="D653" s="6" t="str">
        <f>IFERROR(__xludf.DUMMYFUNCTION("GOOGLETRANSLATE(B653, ""en"", ""hi"")"),"ट्रिप लोड करने में विफल")</f>
        <v>ट्रिप लोड करने में विफल</v>
      </c>
      <c r="E653" s="6" t="str">
        <f>IFERROR(__xludf.DUMMYFUNCTION("GOOGLETRANSLATE(B653, ""en"", ""kn"")"),"ಪ್ರವಾಸಗಳನ್ನು ಲೋಡ್ ಮಾಡಲು ವಿಫಲವಾಗಿದೆ")</f>
        <v>ಪ್ರವಾಸಗಳನ್ನು ಲೋಡ್ ಮಾಡಲು ವಿಫಲವಾಗಿದೆ</v>
      </c>
      <c r="F653" s="7" t="str">
        <f>IFERROR(__xludf.DUMMYFUNCTION("GOOGLETRANSLATE(B653, ""en"", ""ml"")"),"യാത്രകൾ ലോഡ് ചെയ്യുന്നതിൽ പരാജയപ്പെട്ടു")</f>
        <v>യാത്രകൾ ലോഡ് ചെയ്യുന്നതിൽ പരാജയപ്പെട്ടു</v>
      </c>
      <c r="G653" s="7" t="str">
        <f>IFERROR(__xludf.DUMMYFUNCTION("GOOGLETRANSLATE(B653, ""en"", ""te"")"),"ట్రిప్‌లను లోడ్ చేయడంలో విఫలమైంది")</f>
        <v>ట్రిప్‌లను లోడ్ చేయడంలో విఫలమైంది</v>
      </c>
    </row>
    <row r="654">
      <c r="A654" s="4" t="s">
        <v>1450</v>
      </c>
      <c r="B654" s="5" t="s">
        <v>1451</v>
      </c>
      <c r="C654" s="6" t="s">
        <v>1452</v>
      </c>
      <c r="D654" s="6" t="str">
        <f>IFERROR(__xludf.DUMMYFUNCTION("GOOGLETRANSLATE(B654, ""en"", ""hi"")"),"टिकट रीफ़्रेश करने में विफल")</f>
        <v>टिकट रीफ़्रेश करने में विफल</v>
      </c>
      <c r="E654" s="6" t="str">
        <f>IFERROR(__xludf.DUMMYFUNCTION("GOOGLETRANSLATE(B654, ""en"", ""kn"")"),"ಟಿಕೆಟ್‌ಗಳನ್ನು ರಿಫ್ರೆಶ್ ಮಾಡಲು ವಿಫಲವಾಗಿದೆ")</f>
        <v>ಟಿಕೆಟ್‌ಗಳನ್ನು ರಿಫ್ರೆಶ್ ಮಾಡಲು ವಿಫಲವಾಗಿದೆ</v>
      </c>
      <c r="F654" s="7" t="str">
        <f>IFERROR(__xludf.DUMMYFUNCTION("GOOGLETRANSLATE(B654, ""en"", ""ml"")"),"ടിക്കറ്റുകൾ പുതുക്കാനായില്ല")</f>
        <v>ടിക്കറ്റുകൾ പുതുക്കാനായില്ല</v>
      </c>
      <c r="G654" s="7" t="str">
        <f>IFERROR(__xludf.DUMMYFUNCTION("GOOGLETRANSLATE(B654, ""en"", ""te"")"),"టిక్కెట్లను రిఫ్రెష్ చేయడం విఫలమైంది")</f>
        <v>టిక్కెట్లను రిఫ్రెష్ చేయడం విఫలమైంది</v>
      </c>
    </row>
    <row r="655">
      <c r="A655" s="4" t="s">
        <v>1453</v>
      </c>
      <c r="B655" s="5" t="s">
        <v>1454</v>
      </c>
      <c r="C655" s="6" t="s">
        <v>1455</v>
      </c>
      <c r="D655" s="6" t="str">
        <f>IFERROR(__xludf.DUMMYFUNCTION("GOOGLETRANSLATE(B655, ""en"", ""hi"")"),"ओटीपी पुनः भेजने में विफल")</f>
        <v>ओटीपी पुनः भेजने में विफल</v>
      </c>
      <c r="E655" s="6" t="str">
        <f>IFERROR(__xludf.DUMMYFUNCTION("GOOGLETRANSLATE(B655, ""en"", ""kn"")"),"OTP ಮತ್ತೆ ಕಳುಹಿಸಲು ವಿಫಲವಾಗಿದೆ")</f>
        <v>OTP ಮತ್ತೆ ಕಳುಹಿಸಲು ವಿಫಲವಾಗಿದೆ</v>
      </c>
      <c r="F655" s="7" t="str">
        <f>IFERROR(__xludf.DUMMYFUNCTION("GOOGLETRANSLATE(B655, ""en"", ""ml"")"),"OTP വീണ്ടും അയയ്ക്കുന്നതിൽ പരാജയപ്പെട്ടു")</f>
        <v>OTP വീണ്ടും അയയ്ക്കുന്നതിൽ പരാജയപ്പെട്ടു</v>
      </c>
      <c r="G655" s="7" t="str">
        <f>IFERROR(__xludf.DUMMYFUNCTION("GOOGLETRANSLATE(B655, ""en"", ""te"")"),"OTP ని మళ్ళీ పంపడంలో విఫలమైంది")</f>
        <v>OTP ని మళ్ళీ పంపడంలో విఫలమైంది</v>
      </c>
    </row>
    <row r="656">
      <c r="A656" s="4" t="s">
        <v>1456</v>
      </c>
      <c r="B656" s="5" t="s">
        <v>1457</v>
      </c>
      <c r="C656" s="6" t="s">
        <v>1458</v>
      </c>
      <c r="D656" s="6" t="str">
        <f>IFERROR(__xludf.DUMMYFUNCTION("GOOGLETRANSLATE(B656, ""en"", ""hi"")"),"स्थान सहेजने में विफल")</f>
        <v>स्थान सहेजने में विफल</v>
      </c>
      <c r="E656" s="6" t="str">
        <f>IFERROR(__xludf.DUMMYFUNCTION("GOOGLETRANSLATE(B656, ""en"", ""kn"")"),"ಸ್ಥಳವನ್ನು ಉಳಿಸಲು ವಿಫಲವಾಗಿದೆ.")</f>
        <v>ಸ್ಥಳವನ್ನು ಉಳಿಸಲು ವಿಫಲವಾಗಿದೆ.</v>
      </c>
      <c r="F656" s="7" t="str">
        <f>IFERROR(__xludf.DUMMYFUNCTION("GOOGLETRANSLATE(B656, ""en"", ""ml"")"),"സ്ഥലം സംരക്ഷിക്കുന്നതിൽ പരാജയപ്പെട്ടു")</f>
        <v>സ്ഥലം സംരക്ഷിക്കുന്നതിൽ പരാജയപ്പെട്ടു</v>
      </c>
      <c r="G656" s="7" t="str">
        <f>IFERROR(__xludf.DUMMYFUNCTION("GOOGLETRANSLATE(B656, ""en"", ""te"")"),"స్థలాన్ని సేవ్ చేయడంలో విఫలమైంది")</f>
        <v>స్థలాన్ని సేవ్ చేయడంలో విఫలమైంది</v>
      </c>
    </row>
    <row r="657">
      <c r="A657" s="4" t="s">
        <v>1459</v>
      </c>
      <c r="B657" s="5" t="s">
        <v>1460</v>
      </c>
      <c r="C657" s="6" t="s">
        <v>1461</v>
      </c>
      <c r="D657" s="6" t="str">
        <f>IFERROR(__xludf.DUMMYFUNCTION("GOOGLETRANSLATE(B657, ""en"", ""hi"")"),"संदेश भेजने में विफल। कृपया पुनः प्रयास करें।")</f>
        <v>संदेश भेजने में विफल। कृपया पुनः प्रयास करें।</v>
      </c>
      <c r="E657" s="6" t="str">
        <f>IFERROR(__xludf.DUMMYFUNCTION("GOOGLETRANSLATE(B657, ""en"", ""kn"")"),"ಸಂದೇಶ ಕಳುಹಿಸಲು ವಿಫಲವಾಗಿದೆ. ದಯವಿಟ್ಟು ಮತ್ತೆ ಪ್ರಯತ್ನಿಸಿ.")</f>
        <v>ಸಂದೇಶ ಕಳುಹಿಸಲು ವಿಫಲವಾಗಿದೆ. ದಯವಿಟ್ಟು ಮತ್ತೆ ಪ್ರಯತ್ನಿಸಿ.</v>
      </c>
      <c r="F657" s="7" t="str">
        <f>IFERROR(__xludf.DUMMYFUNCTION("GOOGLETRANSLATE(B657, ""en"", ""ml"")"),"സന്ദേശം അയയ്ക്കുന്നതിൽ പരാജയപ്പെട്ടു. വീണ്ടും ശ്രമിക്കുക.")</f>
        <v>സന്ദേശം അയയ്ക്കുന്നതിൽ പരാജയപ്പെട്ടു. വീണ്ടും ശ്രമിക്കുക.</v>
      </c>
      <c r="G657" s="7" t="str">
        <f>IFERROR(__xludf.DUMMYFUNCTION("GOOGLETRANSLATE(B657, ""en"", ""te"")"),"సందేశం పంపడంలో విఫలమైంది. దయచేసి మళ్ళీ ప్రయత్నించండి.")</f>
        <v>సందేశం పంపడంలో విఫలమైంది. దయచేసి మళ్ళీ ప్రయత్నించండి.</v>
      </c>
    </row>
    <row r="658">
      <c r="A658" s="4" t="s">
        <v>1462</v>
      </c>
      <c r="B658" s="5" t="s">
        <v>1463</v>
      </c>
      <c r="C658" s="6" t="s">
        <v>1464</v>
      </c>
      <c r="D658" s="6" t="str">
        <f>IFERROR(__xludf.DUMMYFUNCTION("GOOGLETRANSLATE(B658, ""en"", ""hi"")"),"स्थान अपडेट करने में विफल")</f>
        <v>स्थान अपडेट करने में विफल</v>
      </c>
      <c r="E658" s="6" t="str">
        <f>IFERROR(__xludf.DUMMYFUNCTION("GOOGLETRANSLATE(B658, ""en"", ""kn"")"),"ಸ್ಥಳವನ್ನು ನವೀಕರಿಸಲು ವಿಫಲವಾಗಿದೆ.")</f>
        <v>ಸ್ಥಳವನ್ನು ನವೀಕರಿಸಲು ವಿಫಲವಾಗಿದೆ.</v>
      </c>
      <c r="F658" s="7" t="str">
        <f>IFERROR(__xludf.DUMMYFUNCTION("GOOGLETRANSLATE(B658, ""en"", ""ml"")"),"സ്ഥലം അപ്ഡേറ്റ് ചെയ്യുന്നതിൽ പരാജയപ്പെട്ടു")</f>
        <v>സ്ഥലം അപ്ഡേറ്റ് ചെയ്യുന്നതിൽ പരാജയപ്പെട്ടു</v>
      </c>
      <c r="G658" s="7" t="str">
        <f>IFERROR(__xludf.DUMMYFUNCTION("GOOGLETRANSLATE(B658, ""en"", ""te"")"),"స్థలాన్ని నవీకరించడంలో విఫలమైంది")</f>
        <v>స్థలాన్ని నవీకరించడంలో విఫలమైంది</v>
      </c>
    </row>
    <row r="659">
      <c r="A659" s="4" t="s">
        <v>1465</v>
      </c>
      <c r="B659" s="5" t="s">
        <v>1466</v>
      </c>
      <c r="C659" s="6" t="s">
        <v>1467</v>
      </c>
      <c r="D659" s="6" t="str">
        <f>IFERROR(__xludf.DUMMYFUNCTION("GOOGLETRANSLATE(B659, ""en"", ""hi"")"),"स्थान अपडेट करने में विफल। कृपया पुनः प्रयास करें।")</f>
        <v>स्थान अपडेट करने में विफल। कृपया पुनः प्रयास करें।</v>
      </c>
      <c r="E659" s="6" t="str">
        <f>IFERROR(__xludf.DUMMYFUNCTION("GOOGLETRANSLATE(B659, ""en"", ""kn"")"),"ಸ್ಥಳವನ್ನು ನವೀಕರಿಸಲು ವಿಫಲವಾಗಿದೆ. ದಯವಿಟ್ಟು ಮತ್ತೆ ಪ್ರಯತ್ನಿಸಿ.")</f>
        <v>ಸ್ಥಳವನ್ನು ನವೀಕರಿಸಲು ವಿಫಲವಾಗಿದೆ. ದಯವಿಟ್ಟು ಮತ್ತೆ ಪ್ರಯತ್ನಿಸಿ.</v>
      </c>
      <c r="F659" s="7" t="str">
        <f>IFERROR(__xludf.DUMMYFUNCTION("GOOGLETRANSLATE(B659, ""en"", ""ml"")"),"സ്ഥലം അപ്ഡേറ്റ് ചെയ്യുന്നതിൽ പരാജയപ്പെട്ടു. വീണ്ടും ശ്രമിക്കുക.")</f>
        <v>സ്ഥലം അപ്ഡേറ്റ് ചെയ്യുന്നതിൽ പരാജയപ്പെട്ടു. വീണ്ടും ശ്രമിക്കുക.</v>
      </c>
      <c r="G659" s="7" t="str">
        <f>IFERROR(__xludf.DUMMYFUNCTION("GOOGLETRANSLATE(B659, ""en"", ""te"")"),"స్థలాన్ని నవీకరించడంలో విఫలమైంది. దయచేసి మళ్ళీ ప్రయత్నించండి.")</f>
        <v>స్థలాన్ని నవీకరించడంలో విఫలమైంది. దయచేసి మళ్ళీ ప్రయత్నించండి.</v>
      </c>
    </row>
    <row r="660">
      <c r="A660" s="4" t="s">
        <v>1468</v>
      </c>
      <c r="B660" s="5" t="s">
        <v>1469</v>
      </c>
      <c r="C660" s="6" t="s">
        <v>1470</v>
      </c>
      <c r="D660" s="6" t="str">
        <f>IFERROR(__xludf.DUMMYFUNCTION("GOOGLETRANSLATE(B660, ""en"", ""hi"")"),"किराया विवरण")</f>
        <v>किराया विवरण</v>
      </c>
      <c r="E660" s="6" t="str">
        <f>IFERROR(__xludf.DUMMYFUNCTION("GOOGLETRANSLATE(B660, ""en"", ""kn"")"),"ಶುಲ್ಕ ವಿವರಗಳು")</f>
        <v>ಶುಲ್ಕ ವಿವರಗಳು</v>
      </c>
      <c r="F660" s="7" t="str">
        <f>IFERROR(__xludf.DUMMYFUNCTION("GOOGLETRANSLATE(B660, ""en"", ""ml"")"),"യാത്രാനിരക്ക് വിശദാംശങ്ങൾ")</f>
        <v>യാത്രാനിരക്ക് വിശദാംശങ്ങൾ</v>
      </c>
      <c r="G660" s="7" t="str">
        <f>IFERROR(__xludf.DUMMYFUNCTION("GOOGLETRANSLATE(B660, ""en"", ""te"")"),"ఛార్జీ వివరాలు")</f>
        <v>ఛార్జీ వివరాలు</v>
      </c>
    </row>
    <row r="661">
      <c r="A661" s="4" t="s">
        <v>1471</v>
      </c>
      <c r="B661" s="5" t="s">
        <v>1472</v>
      </c>
      <c r="C661" s="6" t="s">
        <v>1473</v>
      </c>
      <c r="D661" s="6" t="str">
        <f>IFERROR(__xludf.DUMMYFUNCTION("GOOGLETRANSLATE(B661, ""en"", ""hi"")"),"वास्तविक पिकअप समय, तय किए गए मार्ग और यात्रा के दौरान वास्तविक प्रतीक्षा समय के आधार पर अंतिम किराया बदल सकता है।")</f>
        <v>वास्तविक पिकअप समय, तय किए गए मार्ग और यात्रा के दौरान वास्तविक प्रतीक्षा समय के आधार पर अंतिम किराया बदल सकता है।</v>
      </c>
      <c r="E661" s="6" t="str">
        <f>IFERROR(__xludf.DUMMYFUNCTION("GOOGLETRANSLATE(B661, ""en"", ""kn"")"),"ನಿಜವಾದ ಪಿಕಪ್ ಸಮಯ, ತೆಗೆದುಕೊಂಡ ಮಾರ್ಗ ಮತ್ತು ಪ್ರಯಾಣದ ಸಮಯದಲ್ಲಿ ನಿಜವಾದ ಕಾಯುವ ಸಮಯವನ್ನು ಆಧರಿಸಿ ಅಂತಿಮ ದರ ಬದಲಾಗಬಹುದು.")</f>
        <v>ನಿಜವಾದ ಪಿಕಪ್ ಸಮಯ, ತೆಗೆದುಕೊಂಡ ಮಾರ್ಗ ಮತ್ತು ಪ್ರಯಾಣದ ಸಮಯದಲ್ಲಿ ನಿಜವಾದ ಕಾಯುವ ಸಮಯವನ್ನು ಆಧರಿಸಿ ಅಂತಿಮ ದರ ಬದಲಾಗಬಹುದು.</v>
      </c>
      <c r="F661" s="7" t="str">
        <f>IFERROR(__xludf.DUMMYFUNCTION("GOOGLETRANSLATE(B661, ""en"", ""ml"")"),"യാത്രയ്ക്കിടെയുള്ള യഥാർത്ഥ പിക്കപ്പ് സമയം, സ്വീകരിച്ച റൂട്ട്, യഥാർത്ഥ കാത്തിരിപ്പ് സമയം എന്നിവയെ അടിസ്ഥാനമാക്കി അന്തിമ നിരക്ക് മാറിയേക്കാം.")</f>
        <v>യാത്രയ്ക്കിടെയുള്ള യഥാർത്ഥ പിക്കപ്പ് സമയം, സ്വീകരിച്ച റൂട്ട്, യഥാർത്ഥ കാത്തിരിപ്പ് സമയം എന്നിവയെ അടിസ്ഥാനമാക്കി അന്തിമ നിരക്ക് മാറിയേക്കാം.</v>
      </c>
      <c r="G661" s="7" t="str">
        <f>IFERROR(__xludf.DUMMYFUNCTION("GOOGLETRANSLATE(B661, ""en"", ""te"")"),"వాస్తవ పికప్ సమయం, తీసుకున్న మార్గం మరియు ప్రయాణ సమయంలో వాస్తవ నిరీక్షణ సమయం ఆధారంగా తుది ధర మారవచ్చు.")</f>
        <v>వాస్తవ పికప్ సమయం, తీసుకున్న మార్గం మరియు ప్రయాణ సమయంలో వాస్తవ నిరీక్షణ సమయం ఆధారంగా తుది ధర మారవచ్చు.</v>
      </c>
    </row>
    <row r="662">
      <c r="A662" s="4" t="s">
        <v>1474</v>
      </c>
      <c r="B662" s="5" t="s">
        <v>1475</v>
      </c>
      <c r="C662" s="6" t="s">
        <v>1476</v>
      </c>
      <c r="D662" s="6" t="str">
        <f>IFERROR(__xludf.DUMMYFUNCTION("GOOGLETRANSLATE(B662, ""en"", ""hi"")"),"किराया अनुमान")</f>
        <v>किराया अनुमान</v>
      </c>
      <c r="E662" s="6" t="str">
        <f>IFERROR(__xludf.DUMMYFUNCTION("GOOGLETRANSLATE(B662, ""en"", ""kn"")"),"ಅಂದಾಜು ಶುಲ್ಕ")</f>
        <v>ಅಂದಾಜು ಶುಲ್ಕ</v>
      </c>
      <c r="F662" s="7" t="str">
        <f>IFERROR(__xludf.DUMMYFUNCTION("GOOGLETRANSLATE(B662, ""en"", ""ml"")"),"ഏകദേശ യാത്രാക്കൂലി")</f>
        <v>ഏകദേശ യാത്രാക്കൂലി</v>
      </c>
      <c r="G662" s="7" t="str">
        <f>IFERROR(__xludf.DUMMYFUNCTION("GOOGLETRANSLATE(B662, ""en"", ""te"")"),"ఛార్జీ అంచనా")</f>
        <v>ఛార్జీ అంచనా</v>
      </c>
    </row>
    <row r="663">
      <c r="A663" s="4" t="s">
        <v>1477</v>
      </c>
      <c r="B663" s="5" t="s">
        <v>1478</v>
      </c>
      <c r="C663" s="6" t="s">
        <v>1479</v>
      </c>
      <c r="D663" s="6" t="str">
        <f>IFERROR(__xludf.DUMMYFUNCTION("GOOGLETRANSLATE(B663, ""en"", ""hi"")"),"किराया बहुत अधिक है (बढ़ोतरी)")</f>
        <v>किराया बहुत अधिक है (बढ़ोतरी)</v>
      </c>
      <c r="E663" s="6" t="str">
        <f>IFERROR(__xludf.DUMMYFUNCTION("GOOGLETRANSLATE(B663, ""en"", ""kn"")"),"ದರ ತುಂಬಾ ಹೆಚ್ಚಾಗಿದೆ (ಸರ್ಜ್)")</f>
        <v>ದರ ತುಂಬಾ ಹೆಚ್ಚಾಗಿದೆ (ಸರ್ಜ್)</v>
      </c>
      <c r="F663" s="7" t="str">
        <f>IFERROR(__xludf.DUMMYFUNCTION("GOOGLETRANSLATE(B663, ""en"", ""ml"")"),"യാത്രാക്കൂലി വളരെ കൂടുതലാണ് (സർജ്)")</f>
        <v>യാത്രാക്കൂലി വളരെ കൂടുതലാണ് (സർജ്)</v>
      </c>
      <c r="G663" s="7" t="str">
        <f>IFERROR(__xludf.DUMMYFUNCTION("GOOGLETRANSLATE(B663, ""en"", ""te"")"),"ఛార్జీ చాలా ఎక్కువగా ఉంది (సర్జ్)")</f>
        <v>ఛార్జీ చాలా ఎక్కువగా ఉంది (సర్జ్)</v>
      </c>
    </row>
    <row r="664">
      <c r="A664" s="4" t="s">
        <v>1480</v>
      </c>
      <c r="B664" s="5" t="s">
        <v>1481</v>
      </c>
      <c r="C664" s="6" t="s">
        <v>1482</v>
      </c>
      <c r="D664" s="6" t="str">
        <f>IFERROR(__xludf.DUMMYFUNCTION("GOOGLETRANSLATE(B664, ""en"", ""hi"")"),"किराया भिन्न हो सकता है")</f>
        <v>किराया भिन्न हो सकता है</v>
      </c>
      <c r="E664" s="6" t="str">
        <f>IFERROR(__xludf.DUMMYFUNCTION("GOOGLETRANSLATE(B664, ""en"", ""kn"")"),"ದರ ಬದಲಾಗಬಹುದು")</f>
        <v>ದರ ಬದಲಾಗಬಹುದು</v>
      </c>
      <c r="F664" s="7" t="str">
        <f>IFERROR(__xludf.DUMMYFUNCTION("GOOGLETRANSLATE(B664, ""en"", ""ml"")"),"യാത്രാനിരക്ക് വ്യത്യാസപ്പെടാം")</f>
        <v>യാത്രാനിരക്ക് വ്യത്യാസപ്പെടാം</v>
      </c>
      <c r="G664" s="7" t="str">
        <f>IFERROR(__xludf.DUMMYFUNCTION("GOOGLETRANSLATE(B664, ""en"", ""te"")"),"ధర మారవచ్చు")</f>
        <v>ధర మారవచ్చు</v>
      </c>
    </row>
    <row r="665">
      <c r="A665" s="4" t="s">
        <v>1483</v>
      </c>
      <c r="B665" s="5" t="s">
        <v>1484</v>
      </c>
      <c r="C665" s="6" t="s">
        <v>1485</v>
      </c>
      <c r="D665" s="6" t="str">
        <f>IFERROR(__xludf.DUMMYFUNCTION("GOOGLETRANSLATE(B665, ""en"", ""hi"")"),"पसंदीदा स्थान")</f>
        <v>पसंदीदा स्थान</v>
      </c>
      <c r="E665" s="6" t="str">
        <f>IFERROR(__xludf.DUMMYFUNCTION("GOOGLETRANSLATE(B665, ""en"", ""kn"")"),"ನೆಚ್ಚಿನ ಸ್ಥಳಗಳು")</f>
        <v>ನೆಚ್ಚಿನ ಸ್ಥಳಗಳು</v>
      </c>
      <c r="F665" s="7" t="str">
        <f>IFERROR(__xludf.DUMMYFUNCTION("GOOGLETRANSLATE(B665, ""en"", ""ml"")"),"പ്രിയപ്പെട്ട സ്ഥലങ്ങൾ")</f>
        <v>പ്രിയപ്പെട്ട സ്ഥലങ്ങൾ</v>
      </c>
      <c r="G665" s="7" t="str">
        <f>IFERROR(__xludf.DUMMYFUNCTION("GOOGLETRANSLATE(B665, ""en"", ""te"")"),"ఇష్టమైన ప్రదేశాలు")</f>
        <v>ఇష్టమైన ప్రదేశాలు</v>
      </c>
    </row>
    <row r="666">
      <c r="A666" s="4" t="s">
        <v>1486</v>
      </c>
      <c r="B666" s="5" t="s">
        <v>1487</v>
      </c>
      <c r="C666" s="6" t="s">
        <v>1488</v>
      </c>
      <c r="D666" s="6" t="str">
        <f>IFERROR(__xludf.DUMMYFUNCTION("GOOGLETRANSLATE(B666, ""en"", ""hi"")"),"आपको क्या पसंद नहीं आया?")</f>
        <v>आपको क्या पसंद नहीं आया?</v>
      </c>
      <c r="E666" s="6" t="str">
        <f>IFERROR(__xludf.DUMMYFUNCTION("GOOGLETRANSLATE(B666, ""en"", ""kn"")"),"ನಿಮಗೆ ಏನು ಇಷ್ಟವಾಗಲಿಲ್ಲ?")</f>
        <v>ನಿಮಗೆ ಏನು ಇಷ್ಟವಾಗಲಿಲ್ಲ?</v>
      </c>
      <c r="F666" s="7" t="str">
        <f>IFERROR(__xludf.DUMMYFUNCTION("GOOGLETRANSLATE(B666, ""en"", ""ml"")"),"നിങ്ങൾക്ക് എന്താണ് ഇഷ്ടപ്പെടാത്തത്?")</f>
        <v>നിങ്ങൾക്ക് എന്താണ് ഇഷ്ടപ്പെടാത്തത്?</v>
      </c>
      <c r="G666" s="7" t="str">
        <f>IFERROR(__xludf.DUMMYFUNCTION("GOOGLETRANSLATE(B666, ""en"", ""te"")"),"మీకు ఏది నచ్చలేదు?")</f>
        <v>మీకు ఏది నచ్చలేదు?</v>
      </c>
    </row>
    <row r="667">
      <c r="A667" s="4" t="s">
        <v>1489</v>
      </c>
      <c r="B667" s="5" t="s">
        <v>1490</v>
      </c>
      <c r="C667" s="6" t="s">
        <v>1491</v>
      </c>
      <c r="D667" s="6" t="str">
        <f>IFERROR(__xludf.DUMMYFUNCTION("GOOGLETRANSLATE(B667, ""en"", ""hi"")"),"हमें बताएं कि आपके लिए क्या काम नहीं कर रहा है")</f>
        <v>हमें बताएं कि आपके लिए क्या काम नहीं कर रहा है</v>
      </c>
      <c r="E667" s="6" t="str">
        <f>IFERROR(__xludf.DUMMYFUNCTION("GOOGLETRANSLATE(B667, ""en"", ""kn"")"),"ನಿಮಗೆ ಏನು ಕೆಲಸ ಮಾಡುತ್ತಿಲ್ಲ ಎಂದು ನಮಗೆ ತಿಳಿಸಿ.")</f>
        <v>ನಿಮಗೆ ಏನು ಕೆಲಸ ಮಾಡುತ್ತಿಲ್ಲ ಎಂದು ನಮಗೆ ತಿಳಿಸಿ.</v>
      </c>
      <c r="F667" s="7" t="str">
        <f>IFERROR(__xludf.DUMMYFUNCTION("GOOGLETRANSLATE(B667, ""en"", ""ml"")"),"നിങ്ങൾക്ക് എന്താണ് അനുയോജ്യമല്ലാത്തതെന്ന് ഞങ്ങളോട് പറയൂ.")</f>
        <v>നിങ്ങൾക്ക് എന്താണ് അനുയോജ്യമല്ലാത്തതെന്ന് ഞങ്ങളോട് പറയൂ.</v>
      </c>
      <c r="G667" s="7" t="str">
        <f>IFERROR(__xludf.DUMMYFUNCTION("GOOGLETRANSLATE(B667, ""en"", ""te"")"),"మీకు ఏది పని చేయదో మాకు చెప్పండి.")</f>
        <v>మీకు ఏది పని చేయదో మాకు చెప్పండి.</v>
      </c>
    </row>
    <row r="668">
      <c r="A668" s="4" t="s">
        <v>1492</v>
      </c>
      <c r="B668" s="5" t="s">
        <v>1493</v>
      </c>
      <c r="C668" s="6" t="s">
        <v>1494</v>
      </c>
      <c r="D668" s="6" t="str">
        <f>IFERROR(__xludf.DUMMYFUNCTION("GOOGLETRANSLATE(B668, ""en"", ""hi"")"),"बुरी चीजें")</f>
        <v>बुरी चीजें</v>
      </c>
      <c r="E668" s="6" t="str">
        <f>IFERROR(__xludf.DUMMYFUNCTION("GOOGLETRANSLATE(B668, ""en"", ""kn"")"),"ಕೆಟ್ಟ ವಿಷಯಗಳು")</f>
        <v>ಕೆಟ್ಟ ವಿಷಯಗಳು</v>
      </c>
      <c r="F668" s="7" t="str">
        <f>IFERROR(__xludf.DUMMYFUNCTION("GOOGLETRANSLATE(B668, ""en"", ""ml"")"),"മോശം കാര്യങ്ങൾ")</f>
        <v>മോശം കാര്യങ്ങൾ</v>
      </c>
      <c r="G668" s="7" t="str">
        <f>IFERROR(__xludf.DUMMYFUNCTION("GOOGLETRANSLATE(B668, ""en"", ""te"")"),"చెడు విషయాలు")</f>
        <v>చెడు విషయాలు</v>
      </c>
    </row>
    <row r="669">
      <c r="A669" s="4" t="s">
        <v>1495</v>
      </c>
      <c r="B669" s="5" t="s">
        <v>1496</v>
      </c>
      <c r="C669" s="6" t="s">
        <v>1497</v>
      </c>
      <c r="D669" s="6" t="str">
        <f>IFERROR(__xludf.DUMMYFUNCTION("GOOGLETRANSLATE(B669, ""en"", ""hi"")"),"मैं इस ईमेल पते पर संपर्क किए जाने के लिए सहमति देता/देती हूं (केवल संचार के उद्देश्य से)।")</f>
        <v>मैं इस ईमेल पते पर संपर्क किए जाने के लिए सहमति देता/देती हूं (केवल संचार के उद्देश्य से)।</v>
      </c>
      <c r="E669" s="6" t="str">
        <f>IFERROR(__xludf.DUMMYFUNCTION("GOOGLETRANSLATE(B669, ""en"", ""kn"")"),"ಈ ಇಮೇಲ್ ಮೂಲಕ ಸಂಪರ್ಕಿಸಲು ನಾನು ಸಮ್ಮತಿಸುತ್ತೇನೆ (ಸಂವಹನ ಉದ್ದೇಶಕ್ಕಾಗಿ ಮಾತ್ರ)")</f>
        <v>ಈ ಇಮೇಲ್ ಮೂಲಕ ಸಂಪರ್ಕಿಸಲು ನಾನು ಸಮ್ಮತಿಸುತ್ತೇನೆ (ಸಂವಹನ ಉದ್ದೇಶಕ್ಕಾಗಿ ಮಾತ್ರ)</v>
      </c>
      <c r="F669" s="7" t="str">
        <f>IFERROR(__xludf.DUMMYFUNCTION("GOOGLETRANSLATE(B669, ""en"", ""ml"")"),"ഈ ഇമെയിലിൽ ബന്ധപ്പെടാൻ ഞാൻ സമ്മതിക്കുന്നു (ആശയവിനിമയ ആവശ്യങ്ങൾക്ക് മാത്രം)")</f>
        <v>ഈ ഇമെയിലിൽ ബന്ധപ്പെടാൻ ഞാൻ സമ്മതിക്കുന്നു (ആശയവിനിമയ ആവശ്യങ്ങൾക്ക് മാത്രം)</v>
      </c>
      <c r="G669" s="7" t="str">
        <f>IFERROR(__xludf.DUMMYFUNCTION("GOOGLETRANSLATE(B669, ""en"", ""te"")"),"ఈ ఇమెయిల్ ద్వారా సంప్రదించడానికి నేను అంగీకరిస్తున్నాను (కమ్యూనికేషన్ ప్రయోజనం కోసం మాత్రమే)")</f>
        <v>ఈ ఇమెయిల్ ద్వారా సంప్రదించడానికి నేను అంగీకరిస్తున్నాను (కమ్యూనికేషన్ ప్రయోజనం కోసం మాత్రమే)</v>
      </c>
    </row>
    <row r="670">
      <c r="A670" s="4" t="s">
        <v>1498</v>
      </c>
      <c r="B670" s="5" t="s">
        <v>1499</v>
      </c>
      <c r="C670" s="6" t="s">
        <v>1500</v>
      </c>
      <c r="D670" s="6" t="str">
        <f>IFERROR(__xludf.DUMMYFUNCTION("GOOGLETRANSLATE(B670, ""en"", ""hi"")"),"ई - मेल से संपर्क करे")</f>
        <v>ई - मेल से संपर्क करे</v>
      </c>
      <c r="E670" s="6" t="str">
        <f>IFERROR(__xludf.DUMMYFUNCTION("GOOGLETRANSLATE(B670, ""en"", ""kn"")"),"ಸಂಪರ್ಕ ಇಮೇಲ್")</f>
        <v>ಸಂಪರ್ಕ ಇಮೇಲ್</v>
      </c>
      <c r="F670" s="7" t="str">
        <f>IFERROR(__xludf.DUMMYFUNCTION("GOOGLETRANSLATE(B670, ""en"", ""ml"")"),"കോൺടാക്റ്റ് ഇമെയിൽ")</f>
        <v>കോൺടാക്റ്റ് ഇമെയിൽ</v>
      </c>
      <c r="G670" s="7" t="str">
        <f>IFERROR(__xludf.DUMMYFUNCTION("GOOGLETRANSLATE(B670, ""en"", ""te"")"),"సంప్రదింపు ఇమెయిల్")</f>
        <v>సంప్రదింపు ఇమెయిల్</v>
      </c>
    </row>
    <row r="671">
      <c r="A671" s="4" t="s">
        <v>1501</v>
      </c>
      <c r="B671" s="5" t="s">
        <v>1167</v>
      </c>
      <c r="C671" s="6" t="s">
        <v>1168</v>
      </c>
      <c r="D671" s="6" t="str">
        <f>IFERROR(__xludf.DUMMYFUNCTION("GOOGLETRANSLATE(B671, ""en"", ""hi"")"),"दूरी")</f>
        <v>दूरी</v>
      </c>
      <c r="E671" s="6" t="str">
        <f>IFERROR(__xludf.DUMMYFUNCTION("GOOGLETRANSLATE(B671, ""en"", ""kn"")"),"ದೂರ")</f>
        <v>ದೂರ</v>
      </c>
      <c r="F671" s="7" t="str">
        <f>IFERROR(__xludf.DUMMYFUNCTION("GOOGLETRANSLATE(B671, ""en"", ""ml"")"),"ദൂരം")</f>
        <v>ദൂരം</v>
      </c>
      <c r="G671" s="7" t="str">
        <f>IFERROR(__xludf.DUMMYFUNCTION("GOOGLETRANSLATE(B671, ""en"", ""te"")"),"దూరం")</f>
        <v>దూరం</v>
      </c>
    </row>
    <row r="672">
      <c r="A672" s="4" t="s">
        <v>1502</v>
      </c>
      <c r="B672" s="5" t="s">
        <v>1268</v>
      </c>
      <c r="C672" s="6" t="s">
        <v>1503</v>
      </c>
      <c r="D672" s="6" t="str">
        <f>IFERROR(__xludf.DUMMYFUNCTION("GOOGLETRANSLATE(B672, ""en"", ""hi"")"),"बूँद")</f>
        <v>बूँद</v>
      </c>
      <c r="E672" s="6" t="str">
        <f>IFERROR(__xludf.DUMMYFUNCTION("GOOGLETRANSLATE(B672, ""en"", ""kn"")"),"ಡ್ರಾಪ್")</f>
        <v>ಡ್ರಾಪ್</v>
      </c>
      <c r="F672" s="7" t="str">
        <f>IFERROR(__xludf.DUMMYFUNCTION("GOOGLETRANSLATE(B672, ""en"", ""ml"")"),"ഡ്രോപ്പ് ചെയ്യുക")</f>
        <v>ഡ്രോപ്പ് ചെയ്യുക</v>
      </c>
      <c r="G672" s="7" t="str">
        <f>IFERROR(__xludf.DUMMYFUNCTION("GOOGLETRANSLATE(B672, ""en"", ""te"")"),"డ్రాప్")</f>
        <v>డ్రాప్</v>
      </c>
    </row>
    <row r="673">
      <c r="A673" s="4" t="s">
        <v>1504</v>
      </c>
      <c r="B673" s="5" t="s">
        <v>1505</v>
      </c>
      <c r="C673" s="6" t="s">
        <v>1506</v>
      </c>
      <c r="D673" s="6" t="str">
        <f>IFERROR(__xludf.DUMMYFUNCTION("GOOGLETRANSLATE(B673, ""en"", ""hi"")"),"हम आपके ईमेल का उपयोग केवल इस प्रतिक्रिया पर आगे की कार्रवाई करने के लिए करते हैं।")</f>
        <v>हम आपके ईमेल का उपयोग केवल इस प्रतिक्रिया पर आगे की कार्रवाई करने के लिए करते हैं।</v>
      </c>
      <c r="E673" s="6" t="str">
        <f>IFERROR(__xludf.DUMMYFUNCTION("GOOGLETRANSLATE(B673, ""en"", ""kn"")"),"ಈ ಪ್ರತಿಕ್ರಿಯೆಯನ್ನು ಅನುಸರಿಸಲು ಮಾತ್ರ ನಾವು ನಿಮ್ಮ ಇಮೇಲ್ ಅನ್ನು ಬಳಸುತ್ತೇವೆ.")</f>
        <v>ಈ ಪ್ರತಿಕ್ರಿಯೆಯನ್ನು ಅನುಸರಿಸಲು ಮಾತ್ರ ನಾವು ನಿಮ್ಮ ಇಮೇಲ್ ಅನ್ನು ಬಳಸುತ್ತೇವೆ.</v>
      </c>
      <c r="F673" s="7" t="str">
        <f>IFERROR(__xludf.DUMMYFUNCTION("GOOGLETRANSLATE(B673, ""en"", ""ml"")"),"ഈ ഫീഡ്‌ബാക്കിനെക്കുറിച്ചുള്ള തുടർനടപടികൾക്കായി മാത്രമാണ് ഞങ്ങൾ നിങ്ങളുടെ ഇമെയിൽ ഉപയോഗിക്കുന്നത്.")</f>
        <v>ഈ ഫീഡ്‌ബാക്കിനെക്കുറിച്ചുള്ള തുടർനടപടികൾക്കായി മാത്രമാണ് ഞങ്ങൾ നിങ്ങളുടെ ഇമെയിൽ ഉപയോഗിക്കുന്നത്.</v>
      </c>
      <c r="G673" s="7" t="str">
        <f>IFERROR(__xludf.DUMMYFUNCTION("GOOGLETRANSLATE(B673, ""en"", ""te"")"),"ఈ అభిప్రాయాన్ని అనుసరించడానికి మాత్రమే మేము మీ ఇమెయిల్‌ను ఉపయోగిస్తాము.")</f>
        <v>ఈ అభిప్రాయాన్ని అనుసరించడానికి మాత్రమే మేము మీ ఇమెయిల్‌ను ఉపయోగిస్తాము.</v>
      </c>
    </row>
    <row r="674">
      <c r="A674" s="4" t="s">
        <v>1507</v>
      </c>
      <c r="B674" s="5" t="s">
        <v>1508</v>
      </c>
      <c r="C674" s="6" t="s">
        <v>1509</v>
      </c>
      <c r="D674" s="6" t="str">
        <f>IFERROR(__xludf.DUMMYFUNCTION("GOOGLETRANSLATE(B674, ""en"", ""hi"")"),"आपका ईमेल पता")</f>
        <v>आपका ईमेल पता</v>
      </c>
      <c r="E674" s="6" t="str">
        <f>IFERROR(__xludf.DUMMYFUNCTION("GOOGLETRANSLATE(B674, ""en"", ""kn"")"),"ನಿಮ್ಮ ಇಮೇಲ್ ವಿಳಾಸ")</f>
        <v>ನಿಮ್ಮ ಇಮೇಲ್ ವಿಳಾಸ</v>
      </c>
      <c r="F674" s="7" t="str">
        <f>IFERROR(__xludf.DUMMYFUNCTION("GOOGLETRANSLATE(B674, ""en"", ""ml"")"),"നിങ്ങളുടെ ഇമെയിൽ വിലാസം")</f>
        <v>നിങ്ങളുടെ ഇമെയിൽ വിലാസം</v>
      </c>
      <c r="G674" s="7" t="str">
        <f>IFERROR(__xludf.DUMMYFUNCTION("GOOGLETRANSLATE(B674, ""en"", ""te"")"),"మీ ఇమెయిల్ చిరునామా")</f>
        <v>మీ ఇమెయిల్ చిరునామా</v>
      </c>
    </row>
    <row r="675">
      <c r="A675" s="4" t="s">
        <v>1510</v>
      </c>
      <c r="B675" s="5" t="s">
        <v>1511</v>
      </c>
      <c r="C675" s="6" t="s">
        <v>1512</v>
      </c>
      <c r="D675" s="6" t="str">
        <f>IFERROR(__xludf.DUMMYFUNCTION("GOOGLETRANSLATE(B675, ""en"", ""hi"")"),"ईमेल वैकल्पिक)")</f>
        <v>ईमेल वैकल्पिक)</v>
      </c>
      <c r="E675" s="6" t="str">
        <f>IFERROR(__xludf.DUMMYFUNCTION("GOOGLETRANSLATE(B675, ""en"", ""kn"")"),"ಇಮೇಲ್ (ಐಚ್ಛಿಕ)")</f>
        <v>ಇಮೇಲ್ (ಐಚ್ಛಿಕ)</v>
      </c>
      <c r="F675" s="7" t="str">
        <f>IFERROR(__xludf.DUMMYFUNCTION("GOOGLETRANSLATE(B675, ""en"", ""ml"")"),"ഇമെയിൽ (ഓപ്ഷണൽ)")</f>
        <v>ഇമെയിൽ (ഓപ്ഷണൽ)</v>
      </c>
      <c r="G675" s="7" t="str">
        <f>IFERROR(__xludf.DUMMYFUNCTION("GOOGLETRANSLATE(B675, ""en"", ""te"")"),"ఇమెయిల్ (ఐచ్ఛికం)")</f>
        <v>ఇమెయిల్ (ఐచ్ఛికం)</v>
      </c>
    </row>
    <row r="676">
      <c r="A676" s="4" t="s">
        <v>1513</v>
      </c>
      <c r="B676" s="5" t="s">
        <v>1514</v>
      </c>
      <c r="C676" s="6" t="s">
        <v>1417</v>
      </c>
      <c r="D676" s="6" t="str">
        <f>IFERROR(__xludf.DUMMYFUNCTION("GOOGLETRANSLATE(B676, ""en"", ""hi"")"),"अनुमानित किराया")</f>
        <v>अनुमानित किराया</v>
      </c>
      <c r="E676" s="6" t="str">
        <f>IFERROR(__xludf.DUMMYFUNCTION("GOOGLETRANSLATE(B676, ""en"", ""kn"")"),"ಅಂದಾಜು ದರ")</f>
        <v>ಅಂದಾಜು ದರ</v>
      </c>
      <c r="F676" s="7" t="str">
        <f>IFERROR(__xludf.DUMMYFUNCTION("GOOGLETRANSLATE(B676, ""en"", ""ml"")"),"ഏകദേശ നിരക്ക്")</f>
        <v>ഏകദേശ നിരക്ക്</v>
      </c>
      <c r="G676" s="7" t="str">
        <f>IFERROR(__xludf.DUMMYFUNCTION("GOOGLETRANSLATE(B676, ""en"", ""te"")"),"అంచనా ధర")</f>
        <v>అంచనా ధర</v>
      </c>
    </row>
    <row r="677">
      <c r="A677" s="4" t="s">
        <v>1515</v>
      </c>
      <c r="B677" s="5" t="s">
        <v>1516</v>
      </c>
      <c r="C677" s="6" t="s">
        <v>1517</v>
      </c>
      <c r="D677" s="6" t="str">
        <f>IFERROR(__xludf.DUMMYFUNCTION("GOOGLETRANSLATE(B677, ""en"", ""hi"")"),"आप क्या लेना पसंद करते है?")</f>
        <v>आप क्या लेना पसंद करते है?</v>
      </c>
      <c r="E677" s="6" t="str">
        <f>IFERROR(__xludf.DUMMYFUNCTION("GOOGLETRANSLATE(B677, ""en"", ""kn"")"),"ನಿಮಗೆ ಏನು ಇಷ್ಟವಾಯಿತು?")</f>
        <v>ನಿಮಗೆ ಏನು ಇಷ್ಟವಾಯಿತು?</v>
      </c>
      <c r="F677" s="7" t="str">
        <f>IFERROR(__xludf.DUMMYFUNCTION("GOOGLETRANSLATE(B677, ""en"", ""ml"")"),"നിങ്ങൾക്ക് എന്താണ് ഇഷ്ടപ്പെട്ടത്?")</f>
        <v>നിങ്ങൾക്ക് എന്താണ് ഇഷ്ടപ്പെട്ടത്?</v>
      </c>
      <c r="G677" s="7" t="str">
        <f>IFERROR(__xludf.DUMMYFUNCTION("GOOGLETRANSLATE(B677, ""en"", ""te"")"),"మీకు ఏమి నచ్చింది?")</f>
        <v>మీకు ఏమి నచ్చింది?</v>
      </c>
    </row>
    <row r="678">
      <c r="A678" s="4" t="s">
        <v>1518</v>
      </c>
      <c r="B678" s="5" t="s">
        <v>1519</v>
      </c>
      <c r="C678" s="6" t="s">
        <v>1520</v>
      </c>
      <c r="D678" s="6" t="str">
        <f>IFERROR(__xludf.DUMMYFUNCTION("GOOGLETRANSLATE(B678, ""en"", ""hi"")"),"ऐप की अच्छी बातें साझा करें")</f>
        <v>ऐप की अच्छी बातें साझा करें</v>
      </c>
      <c r="E678" s="6" t="str">
        <f>IFERROR(__xludf.DUMMYFUNCTION("GOOGLETRANSLATE(B678, ""en"", ""kn"")"),"ಅಪ್ಲಿಕೇಶನ್ ಬಗ್ಗೆ ಒಳ್ಳೆಯ ವಿಷಯಗಳನ್ನು ಹಂಚಿಕೊಳ್ಳಿ")</f>
        <v>ಅಪ್ಲಿಕೇಶನ್ ಬಗ್ಗೆ ಒಳ್ಳೆಯ ವಿಷಯಗಳನ್ನು ಹಂಚಿಕೊಳ್ಳಿ</v>
      </c>
      <c r="F678" s="7" t="str">
        <f>IFERROR(__xludf.DUMMYFUNCTION("GOOGLETRANSLATE(B678, ""en"", ""ml"")"),"ആപ്പിനെക്കുറിച്ചുള്ള നല്ല കാര്യങ്ങൾ പങ്കിടുക")</f>
        <v>ആപ്പിനെക്കുറിച്ചുള്ള നല്ല കാര്യങ്ങൾ പങ്കിടുക</v>
      </c>
      <c r="G678" s="7" t="str">
        <f>IFERROR(__xludf.DUMMYFUNCTION("GOOGLETRANSLATE(B678, ""en"", ""te"")"),"యాప్ గురించి మంచి విషయాలను పంచుకోండి")</f>
        <v>యాప్ గురించి మంచి విషయాలను పంచుకోండి</v>
      </c>
    </row>
    <row r="679">
      <c r="A679" s="4" t="s">
        <v>1521</v>
      </c>
      <c r="B679" s="5" t="s">
        <v>1522</v>
      </c>
      <c r="C679" s="6" t="s">
        <v>1523</v>
      </c>
      <c r="D679" s="6" t="str">
        <f>IFERROR(__xludf.DUMMYFUNCTION("GOOGLETRANSLATE(B679, ""en"", ""hi"")"),"अच्छी बातें")</f>
        <v>अच्छी बातें</v>
      </c>
      <c r="E679" s="6" t="str">
        <f>IFERROR(__xludf.DUMMYFUNCTION("GOOGLETRANSLATE(B679, ""en"", ""kn"")"),"ಒಳ್ಳೆಯ ವಿಷಯಗಳು")</f>
        <v>ಒಳ್ಳೆಯ ವಿಷಯಗಳು</v>
      </c>
      <c r="F679" s="7" t="str">
        <f>IFERROR(__xludf.DUMMYFUNCTION("GOOGLETRANSLATE(B679, ""en"", ""ml"")"),"നല്ല കാര്യങ്ങൾ")</f>
        <v>നല്ല കാര്യങ്ങൾ</v>
      </c>
      <c r="G679" s="7" t="str">
        <f>IFERROR(__xludf.DUMMYFUNCTION("GOOGLETRANSLATE(B679, ""en"", ""te"")"),"మంచి విషయాలు")</f>
        <v>మంచి విషయాలు</v>
      </c>
    </row>
    <row r="680">
      <c r="A680" s="4" t="s">
        <v>1524</v>
      </c>
      <c r="B680" s="5" t="s">
        <v>1525</v>
      </c>
      <c r="C680" s="6" t="s">
        <v>1526</v>
      </c>
      <c r="D680" s="6" t="str">
        <f>IFERROR(__xludf.DUMMYFUNCTION("GOOGLETRANSLATE(B680, ""en"", ""hi"")"),"सुधार")</f>
        <v>सुधार</v>
      </c>
      <c r="E680" s="6" t="str">
        <f>IFERROR(__xludf.DUMMYFUNCTION("GOOGLETRANSLATE(B680, ""en"", ""kn"")"),"ಸುಧಾರಣೆಗಳು")</f>
        <v>ಸುಧಾರಣೆಗಳು</v>
      </c>
      <c r="F680" s="7" t="str">
        <f>IFERROR(__xludf.DUMMYFUNCTION("GOOGLETRANSLATE(B680, ""en"", ""ml"")"),"മെച്ചപ്പെടുത്തലുകൾ")</f>
        <v>മെച്ചപ്പെടുത്തലുകൾ</v>
      </c>
      <c r="G680" s="7" t="str">
        <f>IFERROR(__xludf.DUMMYFUNCTION("GOOGLETRANSLATE(B680, ""en"", ""te"")"),"మెరుగుదలలు")</f>
        <v>మెరుగుదలలు</v>
      </c>
    </row>
    <row r="681">
      <c r="A681" s="4" t="s">
        <v>1527</v>
      </c>
      <c r="B681" s="5" t="s">
        <v>1528</v>
      </c>
      <c r="C681" s="6" t="s">
        <v>1529</v>
      </c>
      <c r="D681" s="6" t="str">
        <f>IFERROR(__xludf.DUMMYFUNCTION("GOOGLETRANSLATE(B681, ""en"", ""hi"")"),"इसे बेहतर बनाने के लिए सुझाव")</f>
        <v>इसे बेहतर बनाने के लिए सुझाव</v>
      </c>
      <c r="E681" s="6" t="str">
        <f>IFERROR(__xludf.DUMMYFUNCTION("GOOGLETRANSLATE(B681, ""en"", ""kn"")"),"ಅದನ್ನು ಉತ್ತಮಗೊಳಿಸಲು ಸಲಹೆಗಳು")</f>
        <v>ಅದನ್ನು ಉತ್ತಮಗೊಳಿಸಲು ಸಲಹೆಗಳು</v>
      </c>
      <c r="F681" s="7" t="str">
        <f>IFERROR(__xludf.DUMMYFUNCTION("GOOGLETRANSLATE(B681, ""en"", ""ml"")"),"ഇത് മെച്ചപ്പെടുത്തുന്നതിനുള്ള നിർദ്ദേശങ്ങൾ")</f>
        <v>ഇത് മെച്ചപ്പെടുത്തുന്നതിനുള്ള നിർദ്ദേശങ്ങൾ</v>
      </c>
      <c r="G681" s="7" t="str">
        <f>IFERROR(__xludf.DUMMYFUNCTION("GOOGLETRANSLATE(B681, ""en"", ""te"")"),"దీన్ని మెరుగుపరచడానికి సూచనలు")</f>
        <v>దీన్ని మెరుగుపరచడానికి సూచనలు</v>
      </c>
    </row>
    <row r="682">
      <c r="A682" s="4" t="s">
        <v>1530</v>
      </c>
      <c r="B682" s="5" t="s">
        <v>1525</v>
      </c>
      <c r="C682" s="6" t="s">
        <v>1526</v>
      </c>
      <c r="D682" s="6" t="str">
        <f>IFERROR(__xludf.DUMMYFUNCTION("GOOGLETRANSLATE(B682, ""en"", ""hi"")"),"सुधार")</f>
        <v>सुधार</v>
      </c>
      <c r="E682" s="6" t="str">
        <f>IFERROR(__xludf.DUMMYFUNCTION("GOOGLETRANSLATE(B682, ""en"", ""kn"")"),"ಸುಧಾರಣೆಗಳು")</f>
        <v>ಸುಧಾರಣೆಗಳು</v>
      </c>
      <c r="F682" s="7" t="str">
        <f>IFERROR(__xludf.DUMMYFUNCTION("GOOGLETRANSLATE(B682, ""en"", ""ml"")"),"മെച്ചപ്പെടുത്തലുകൾ")</f>
        <v>മെച്ചപ്പെടുത്തലുകൾ</v>
      </c>
      <c r="G682" s="7" t="str">
        <f>IFERROR(__xludf.DUMMYFUNCTION("GOOGLETRANSLATE(B682, ""en"", ""te"")"),"మెరుగుదలలు")</f>
        <v>మెరుగుదలలు</v>
      </c>
    </row>
    <row r="683">
      <c r="A683" s="4" t="s">
        <v>1531</v>
      </c>
      <c r="B683" s="5" t="s">
        <v>1532</v>
      </c>
      <c r="C683" s="6" t="s">
        <v>1533</v>
      </c>
      <c r="D683" s="6" t="str">
        <f>IFERROR(__xludf.DUMMYFUNCTION("GOOGLETRANSLATE(B683, ""en"", ""hi"")"),"समस्या का विवरण")</f>
        <v>समस्या का विवरण</v>
      </c>
      <c r="E683" s="6" t="str">
        <f>IFERROR(__xludf.DUMMYFUNCTION("GOOGLETRANSLATE(B683, ""en"", ""kn"")"),"ಸಮಸ್ಯೆಯ ವಿವರಗಳು")</f>
        <v>ಸಮಸ್ಯೆಯ ವಿವರಗಳು</v>
      </c>
      <c r="F683" s="7" t="str">
        <f>IFERROR(__xludf.DUMMYFUNCTION("GOOGLETRANSLATE(B683, ""en"", ""ml"")"),"പ്രശ്ന വിശദാംശങ്ങൾ")</f>
        <v>പ്രശ്ന വിശദാംശങ്ങൾ</v>
      </c>
      <c r="G683" s="7" t="str">
        <f>IFERROR(__xludf.DUMMYFUNCTION("GOOGLETRANSLATE(B683, ""en"", ""te"")"),"సమస్య వివరాలు")</f>
        <v>సమస్య వివరాలు</v>
      </c>
    </row>
    <row r="684">
      <c r="A684" s="4" t="s">
        <v>1534</v>
      </c>
      <c r="B684" s="5" t="s">
        <v>1535</v>
      </c>
      <c r="C684" s="6" t="s">
        <v>1536</v>
      </c>
      <c r="D684" s="6" t="str">
        <f>IFERROR(__xludf.DUMMYFUNCTION("GOOGLETRANSLATE(B684, ""en"", ""hi"")"),"आपको जिस समस्या का सामना करना पड़ा, उसका वर्णन करें।")</f>
        <v>आपको जिस समस्या का सामना करना पड़ा, उसका वर्णन करें।</v>
      </c>
      <c r="E684" s="6" t="str">
        <f>IFERROR(__xludf.DUMMYFUNCTION("GOOGLETRANSLATE(B684, ""en"", ""kn"")"),"ನೀವು ಎದುರಿಸಿದ ಸಮಸ್ಯೆಯನ್ನು ವಿವರಿಸಿ")</f>
        <v>ನೀವು ಎದುರಿಸಿದ ಸಮಸ್ಯೆಯನ್ನು ವಿವರಿಸಿ</v>
      </c>
      <c r="F684" s="7" t="str">
        <f>IFERROR(__xludf.DUMMYFUNCTION("GOOGLETRANSLATE(B684, ""en"", ""ml"")"),"നിങ്ങൾ നേരിട്ട പ്രശ്നം വിവരിക്കുക")</f>
        <v>നിങ്ങൾ നേരിട്ട പ്രശ്നം വിവരിക്കുക</v>
      </c>
      <c r="G684" s="7" t="str">
        <f>IFERROR(__xludf.DUMMYFUNCTION("GOOGLETRANSLATE(B684, ""en"", ""te"")"),"మీరు ఎదుర్కొన్న సమస్యను వివరించండి")</f>
        <v>మీరు ఎదుర్కొన్న సమస్యను వివరించండి</v>
      </c>
    </row>
    <row r="685">
      <c r="A685" s="4" t="s">
        <v>1537</v>
      </c>
      <c r="B685" s="5" t="s">
        <v>1538</v>
      </c>
      <c r="C685" s="6" t="s">
        <v>1539</v>
      </c>
      <c r="D685" s="6" t="str">
        <f>IFERROR(__xludf.DUMMYFUNCTION("GOOGLETRANSLATE(B685, ""en"", ""hi"")"),"मुद्दा")</f>
        <v>मुद्दा</v>
      </c>
      <c r="E685" s="6" t="str">
        <f>IFERROR(__xludf.DUMMYFUNCTION("GOOGLETRANSLATE(B685, ""en"", ""kn"")"),"ಸಮಸ್ಯೆ")</f>
        <v>ಸಮಸ್ಯೆ</v>
      </c>
      <c r="F685" s="7" t="str">
        <f>IFERROR(__xludf.DUMMYFUNCTION("GOOGLETRANSLATE(B685, ""en"", ""ml"")"),"ഇഷ്യൂ")</f>
        <v>ഇഷ്യൂ</v>
      </c>
      <c r="G685" s="7" t="str">
        <f>IFERROR(__xludf.DUMMYFUNCTION("GOOGLETRANSLATE(B685, ""en"", ""te"")"),"సమస్య")</f>
        <v>సమస్య</v>
      </c>
    </row>
    <row r="686">
      <c r="A686" s="4" t="s">
        <v>1540</v>
      </c>
      <c r="B686" s="5" t="s">
        <v>1541</v>
      </c>
      <c r="C686" s="6" t="s">
        <v>1542</v>
      </c>
      <c r="D686" s="6" t="str">
        <f>IFERROR(__xludf.DUMMYFUNCTION("GOOGLETRANSLATE(B686, ""en"", ""hi"")"),"प्रतिक्रिया")</f>
        <v>प्रतिक्रिया</v>
      </c>
      <c r="E686" s="6" t="str">
        <f>IFERROR(__xludf.DUMMYFUNCTION("GOOGLETRANSLATE(B686, ""en"", ""kn"")"),"ಪ್ರತಿಕ್ರಿಯೆ")</f>
        <v>ಪ್ರತಿಕ್ರಿಯೆ</v>
      </c>
      <c r="F686" s="7" t="str">
        <f>IFERROR(__xludf.DUMMYFUNCTION("GOOGLETRANSLATE(B686, ""en"", ""ml"")"),"ഫീഡ്‌ബാക്ക്")</f>
        <v>ഫീഡ്‌ബാക്ക്</v>
      </c>
      <c r="G686" s="7" t="str">
        <f>IFERROR(__xludf.DUMMYFUNCTION("GOOGLETRANSLATE(B686, ""en"", ""te"")"),"అభిప్రాయం")</f>
        <v>అభిప్రాయం</v>
      </c>
    </row>
    <row r="687">
      <c r="A687" s="4" t="s">
        <v>1543</v>
      </c>
      <c r="B687" s="5" t="s">
        <v>1544</v>
      </c>
      <c r="C687" s="6" t="s">
        <v>1545</v>
      </c>
      <c r="D687" s="6" t="str">
        <f>IFERROR(__xludf.DUMMYFUNCTION("GOOGLETRANSLATE(B687, ""en"", ""hi"")"),"स्थान का चयन करते समय क्या गड़बड़ी हुई?")</f>
        <v>स्थान का चयन करते समय क्या गड़बड़ी हुई?</v>
      </c>
      <c r="E687" s="6" t="str">
        <f>IFERROR(__xludf.DUMMYFUNCTION("GOOGLETRANSLATE(B687, ""en"", ""kn"")"),"ಸ್ಥಳವನ್ನು ಆಯ್ಕೆ ಮಾಡುವಾಗ ಏನು ತಪ್ಪಾಯಿತು?")</f>
        <v>ಸ್ಥಳವನ್ನು ಆಯ್ಕೆ ಮಾಡುವಾಗ ಏನು ತಪ್ಪಾಯಿತು?</v>
      </c>
      <c r="F687" s="7" t="str">
        <f>IFERROR(__xludf.DUMMYFUNCTION("GOOGLETRANSLATE(B687, ""en"", ""ml"")"),"സ്ഥലം തിരഞ്ഞെടുക്കുമ്പോൾ എന്താണ് തെറ്റ് സംഭവിച്ചത്?")</f>
        <v>സ്ഥലം തിരഞ്ഞെടുക്കുമ്പോൾ എന്താണ് തെറ്റ് സംഭവിച്ചത്?</v>
      </c>
      <c r="G687" s="7" t="str">
        <f>IFERROR(__xludf.DUMMYFUNCTION("GOOGLETRANSLATE(B687, ""en"", ""te"")"),"స్థానాన్ని ఎంచుకునేటప్పుడు ఏమి తప్పు జరిగింది?")</f>
        <v>స్థానాన్ని ఎంచుకునేటప్పుడు ఏమి తప్పు జరిగింది?</v>
      </c>
    </row>
    <row r="688">
      <c r="A688" s="4" t="s">
        <v>1546</v>
      </c>
      <c r="B688" s="5" t="s">
        <v>1547</v>
      </c>
      <c r="C688" s="6" t="s">
        <v>1548</v>
      </c>
      <c r="D688" s="6" t="str">
        <f>IFERROR(__xludf.DUMMYFUNCTION("GOOGLETRANSLATE(B688, ""en"", ""hi"")"),"स्थान चुनने में आ रही समस्या का वर्णन करें।")</f>
        <v>स्थान चुनने में आ रही समस्या का वर्णन करें।</v>
      </c>
      <c r="E688" s="6" t="str">
        <f>IFERROR(__xludf.DUMMYFUNCTION("GOOGLETRANSLATE(B688, ""en"", ""kn"")"),"ಸ್ಥಳವನ್ನು ಆಯ್ಕೆ ಮಾಡುವಲ್ಲಿನ ಸಮಸ್ಯೆಯನ್ನು ವಿವರಿಸಿ.")</f>
        <v>ಸ್ಥಳವನ್ನು ಆಯ್ಕೆ ಮಾಡುವಲ್ಲಿನ ಸಮಸ್ಯೆಯನ್ನು ವಿವರಿಸಿ.</v>
      </c>
      <c r="F688" s="7" t="str">
        <f>IFERROR(__xludf.DUMMYFUNCTION("GOOGLETRANSLATE(B688, ""en"", ""ml"")"),"ഒരു സ്ഥലം തിരഞ്ഞെടുക്കുന്നതിലെ പ്രശ്നം വിവരിക്കുക.")</f>
        <v>ഒരു സ്ഥലം തിരഞ്ഞെടുക്കുന്നതിലെ പ്രശ്നം വിവരിക്കുക.</v>
      </c>
      <c r="G688" s="7" t="str">
        <f>IFERROR(__xludf.DUMMYFUNCTION("GOOGLETRANSLATE(B688, ""en"", ""te"")"),"స్థానాన్ని ఎంచుకోవడంలో ఉన్న సమస్యను వివరించండి.")</f>
        <v>స్థానాన్ని ఎంచుకోవడంలో ఉన్న సమస్యను వివరించండి.</v>
      </c>
    </row>
    <row r="689">
      <c r="A689" s="4" t="s">
        <v>1549</v>
      </c>
      <c r="B689" s="5" t="s">
        <v>1550</v>
      </c>
      <c r="C689" s="6" t="s">
        <v>1551</v>
      </c>
      <c r="D689" s="6" t="str">
        <f>IFERROR(__xludf.DUMMYFUNCTION("GOOGLETRANSLATE(B689, ""en"", ""hi"")"),"स्थान चुनने की समस्या")</f>
        <v>स्थान चुनने की समस्या</v>
      </c>
      <c r="E689" s="6" t="str">
        <f>IFERROR(__xludf.DUMMYFUNCTION("GOOGLETRANSLATE(B689, ""en"", ""kn"")"),"ಸ್ಥಳ ಆಯ್ಕೆ ಸಮಸ್ಯೆ")</f>
        <v>ಸ್ಥಳ ಆಯ್ಕೆ ಸಮಸ್ಯೆ</v>
      </c>
      <c r="F689" s="7" t="str">
        <f>IFERROR(__xludf.DUMMYFUNCTION("GOOGLETRANSLATE(B689, ""en"", ""ml"")"),"സ്ഥലം തിരഞ്ഞെടുക്കുന്നതിലെ പ്രശ്നം")</f>
        <v>സ്ഥലം തിരഞ്ഞെടുക്കുന്നതിലെ പ്രശ്നം</v>
      </c>
      <c r="G689" s="7" t="str">
        <f>IFERROR(__xludf.DUMMYFUNCTION("GOOGLETRANSLATE(B689, ""en"", ""te"")"),"స్థానాన్ని ఎంచుకోవడంలో సమస్య")</f>
        <v>స్థానాన్ని ఎంచుకోవడంలో సమస్య</v>
      </c>
    </row>
    <row r="690">
      <c r="A690" s="4" t="s">
        <v>1552</v>
      </c>
      <c r="B690" s="5" t="s">
        <v>1553</v>
      </c>
      <c r="C690" s="6" t="s">
        <v>1554</v>
      </c>
      <c r="D690" s="6" t="str">
        <f>IFERROR(__xludf.DUMMYFUNCTION("GOOGLETRANSLATE(B690, ""en"", ""hi"")"),"उठाना")</f>
        <v>उठाना</v>
      </c>
      <c r="E690" s="6" t="str">
        <f>IFERROR(__xludf.DUMMYFUNCTION("GOOGLETRANSLATE(B690, ""en"", ""kn"")"),"ಪಿಕಪ್")</f>
        <v>ಪಿಕಪ್</v>
      </c>
      <c r="F690" s="7" t="str">
        <f>IFERROR(__xludf.DUMMYFUNCTION("GOOGLETRANSLATE(B690, ""en"", ""ml"")"),"പുരോഗമിക്കുക")</f>
        <v>പുരോഗമിക്കുക</v>
      </c>
      <c r="G690" s="7" t="str">
        <f>IFERROR(__xludf.DUMMYFUNCTION("GOOGLETRANSLATE(B690, ""en"", ""te"")"),"పికప్")</f>
        <v>పికప్</v>
      </c>
    </row>
    <row r="691">
      <c r="A691" s="4" t="s">
        <v>1555</v>
      </c>
      <c r="B691" s="5" t="s">
        <v>1556</v>
      </c>
      <c r="C691" s="6" t="s">
        <v>1557</v>
      </c>
      <c r="D691" s="6" t="str">
        <f>IFERROR(__xludf.DUMMYFUNCTION("GOOGLETRANSLATE(B691, ""en"", ""hi"")"),"कौन सी जगह नहीं मिली या क्या गड़बड़ हुई?")</f>
        <v>कौन सी जगह नहीं मिली या क्या गड़बड़ हुई?</v>
      </c>
      <c r="E691" s="6" t="str">
        <f>IFERROR(__xludf.DUMMYFUNCTION("GOOGLETRANSLATE(B691, ""en"", ""kn"")"),"ಯಾವ ಸ್ಥಳ ಸಿಗಲಿಲ್ಲ ಅಥವಾ ಏನು ತಪ್ಪಾಯಿತು?")</f>
        <v>ಯಾವ ಸ್ಥಳ ಸಿಗಲಿಲ್ಲ ಅಥವಾ ಏನು ತಪ್ಪಾಯಿತು?</v>
      </c>
      <c r="F691" s="7" t="str">
        <f>IFERROR(__xludf.DUMMYFUNCTION("GOOGLETRANSLATE(B691, ""en"", ""ml"")"),"ഏത് സ്ഥലമാണ് കണ്ടെത്താനാകാത്തത് അല്ലെങ്കിൽ എന്താണ് തെറ്റ് സംഭവിച്ചത്?")</f>
        <v>ഏത് സ്ഥലമാണ് കണ്ടെത്താനാകാത്തത് അല്ലെങ്കിൽ എന്താണ് തെറ്റ് സംഭവിച്ചത്?</v>
      </c>
      <c r="G691" s="7" t="str">
        <f>IFERROR(__xludf.DUMMYFUNCTION("GOOGLETRANSLATE(B691, ""en"", ""te"")"),"ఏ స్థలం కనుగొనబడలేదు లేదా ఏమి తప్పు జరిగింది?")</f>
        <v>ఏ స్థలం కనుగొనబడలేదు లేదా ఏమి తప్పు జరిగింది?</v>
      </c>
    </row>
    <row r="692">
      <c r="A692" s="4" t="s">
        <v>1558</v>
      </c>
      <c r="B692" s="5" t="s">
        <v>1559</v>
      </c>
      <c r="C692" s="6" t="s">
        <v>1560</v>
      </c>
      <c r="D692" s="6" t="str">
        <f>IFERROR(__xludf.DUMMYFUNCTION("GOOGLETRANSLATE(B692, ""en"", ""hi"")"),"कृपया वह स्थान/खोज क्वेरी बताएं जिसमें समस्या आई थी।")</f>
        <v>कृपया वह स्थान/खोज क्वेरी बताएं जिसमें समस्या आई थी।</v>
      </c>
      <c r="E692" s="6" t="str">
        <f>IFERROR(__xludf.DUMMYFUNCTION("GOOGLETRANSLATE(B692, ""en"", ""kn"")"),"ಸಮಸ್ಯೆ ಇದ್ದ ಸ್ಥಳ/ಹುಡುಕಾಟ ಪ್ರಶ್ನೆಗೆ ನಮಗೆ ತಿಳಿಸಿ.")</f>
        <v>ಸಮಸ್ಯೆ ಇದ್ದ ಸ್ಥಳ/ಹುಡುಕಾಟ ಪ್ರಶ್ನೆಗೆ ನಮಗೆ ತಿಳಿಸಿ.</v>
      </c>
      <c r="F692" s="7" t="str">
        <f>IFERROR(__xludf.DUMMYFUNCTION("GOOGLETRANSLATE(B692, ""en"", ""ml"")"),"പ്രശ്നമുള്ള സ്ഥലം/തിരയൽ ചോദ്യം ഏതാണെന്ന് ഞങ്ങളോട് പറയൂ.")</f>
        <v>പ്രശ്നമുള്ള സ്ഥലം/തിരയൽ ചോദ്യം ഏതാണെന്ന് ഞങ്ങളോട് പറയൂ.</v>
      </c>
      <c r="G692" s="7" t="str">
        <f>IFERROR(__xludf.DUMMYFUNCTION("GOOGLETRANSLATE(B692, ""en"", ""te"")"),"సమస్య ఉన్న స్థలం/శోధన ప్రశ్నను మాకు చెప్పండి.")</f>
        <v>సమస్య ఉన్న స్థలం/శోధన ప్రశ్నను మాకు చెప్పండి.</v>
      </c>
    </row>
    <row r="693">
      <c r="A693" s="4" t="s">
        <v>1561</v>
      </c>
      <c r="B693" s="5" t="s">
        <v>1562</v>
      </c>
      <c r="C693" s="6" t="s">
        <v>1563</v>
      </c>
      <c r="D693" s="6" t="str">
        <f>IFERROR(__xludf.DUMMYFUNCTION("GOOGLETRANSLATE(B693, ""en"", ""hi"")"),"खोज समस्या")</f>
        <v>खोज समस्या</v>
      </c>
      <c r="E693" s="6" t="str">
        <f>IFERROR(__xludf.DUMMYFUNCTION("GOOGLETRANSLATE(B693, ""en"", ""kn"")"),"ಹುಡುಕಾಟ ಸಮಸ್ಯೆ")</f>
        <v>ಹುಡುಕಾಟ ಸಮಸ್ಯೆ</v>
      </c>
      <c r="F693" s="7" t="str">
        <f>IFERROR(__xludf.DUMMYFUNCTION("GOOGLETRANSLATE(B693, ""en"", ""ml"")"),"തിരയൽ പ്രശ്നം")</f>
        <v>തിരയൽ പ്രശ്നം</v>
      </c>
      <c r="G693" s="7" t="str">
        <f>IFERROR(__xludf.DUMMYFUNCTION("GOOGLETRANSLATE(B693, ""en"", ""te"")"),"శోధన సమస్య")</f>
        <v>శోధన సమస్య</v>
      </c>
    </row>
    <row r="694">
      <c r="A694" s="4" t="s">
        <v>1564</v>
      </c>
      <c r="B694" s="5" t="s">
        <v>1565</v>
      </c>
      <c r="C694" s="6" t="s">
        <v>1566</v>
      </c>
      <c r="D694" s="6" t="str">
        <f>IFERROR(__xludf.DUMMYFUNCTION("GOOGLETRANSLATE(B694, ""en"", ""hi"")"),"खोज शब्द: {query}")</f>
        <v>खोज शब्द: {query}</v>
      </c>
      <c r="E694" s="6" t="str">
        <f>IFERROR(__xludf.DUMMYFUNCTION("GOOGLETRANSLATE(B694, ""en"", ""kn"")"),"ಹುಡುಕಾಟ ಪದ: {query}")</f>
        <v>ಹುಡುಕಾಟ ಪದ: {query}</v>
      </c>
      <c r="F694" s="7" t="str">
        <f>IFERROR(__xludf.DUMMYFUNCTION("GOOGLETRANSLATE(B694, ""en"", ""ml"")"),"തിരയൽ പദം: {query}")</f>
        <v>തിരയൽ പദം: {query}</v>
      </c>
      <c r="G694" s="7" t="str">
        <f>IFERROR(__xludf.DUMMYFUNCTION("GOOGLETRANSLATE(B694, ""en"", ""te"")"),"శోధన పదం: {query}")</f>
        <v>శోధన పదం: {query}</v>
      </c>
    </row>
    <row r="695">
      <c r="A695" s="4" t="s">
        <v>1567</v>
      </c>
      <c r="B695" s="5" t="s">
        <v>1568</v>
      </c>
      <c r="C695" s="6" t="s">
        <v>1569</v>
      </c>
      <c r="D695" s="6" t="str">
        <f>IFERROR(__xludf.DUMMYFUNCTION("GOOGLETRANSLATE(B695, ""en"", ""hi"")"),"चयनित निर्देशांक")</f>
        <v>चयनित निर्देशांक</v>
      </c>
      <c r="E695" s="6" t="str">
        <f>IFERROR(__xludf.DUMMYFUNCTION("GOOGLETRANSLATE(B695, ""en"", ""kn"")"),"ಆಯ್ದ ನಿರ್ದೇಶಾಂಕಗಳು")</f>
        <v>ಆಯ್ದ ನಿರ್ದೇಶಾಂಕಗಳು</v>
      </c>
      <c r="F695" s="7" t="str">
        <f>IFERROR(__xludf.DUMMYFUNCTION("GOOGLETRANSLATE(B695, ""en"", ""ml"")"),"തിരഞ്ഞെടുത്ത കോർഡിനേറ്റുകൾ")</f>
        <v>തിരഞ്ഞെടുത്ത കോർഡിനേറ്റുകൾ</v>
      </c>
      <c r="G695" s="7" t="str">
        <f>IFERROR(__xludf.DUMMYFUNCTION("GOOGLETRANSLATE(B695, ""en"", ""te"")"),"ఎంచుకున్న సమన్వయకర్తలు")</f>
        <v>ఎంచుకున్న సమన్వయకర్తలు</v>
      </c>
    </row>
    <row r="696">
      <c r="A696" s="4" t="s">
        <v>1570</v>
      </c>
      <c r="B696" s="5" t="s">
        <v>1571</v>
      </c>
      <c r="C696" s="6" t="s">
        <v>1572</v>
      </c>
      <c r="D696" s="6" t="str">
        <f>IFERROR(__xludf.DUMMYFUNCTION("GOOGLETRANSLATE(B696, ""en"", ""hi"")"),"प्रतिक्रिया सफलतापूर्वक सबमिट हो गई")</f>
        <v>प्रतिक्रिया सफलतापूर्वक सबमिट हो गई</v>
      </c>
      <c r="E696" s="6" t="str">
        <f>IFERROR(__xludf.DUMMYFUNCTION("GOOGLETRANSLATE(B696, ""en"", ""kn"")"),"ಪ್ರತಿಕ್ರಿಯೆಯನ್ನು ಯಶಸ್ವಿಯಾಗಿ ಸಲ್ಲಿಸಲಾಗಿದೆ")</f>
        <v>ಪ್ರತಿಕ್ರಿಯೆಯನ್ನು ಯಶಸ್ವಿಯಾಗಿ ಸಲ್ಲಿಸಲಾಗಿದೆ</v>
      </c>
      <c r="F696" s="7" t="str">
        <f>IFERROR(__xludf.DUMMYFUNCTION("GOOGLETRANSLATE(B696, ""en"", ""ml"")"),"ഫീഡ്‌ബാക്ക് വിജയകരമായി സമർപ്പിച്ചു.")</f>
        <v>ഫീഡ്‌ബാക്ക് വിജയകരമായി സമർപ്പിച്ചു.</v>
      </c>
      <c r="G696" s="7" t="str">
        <f>IFERROR(__xludf.DUMMYFUNCTION("GOOGLETRANSLATE(B696, ""en"", ""te"")"),"అభిప్రాయం విజయవంతంగా సమర్పించబడింది.")</f>
        <v>అభిప్రాయం విజయవంతంగా సమర్పించబడింది.</v>
      </c>
    </row>
    <row r="697">
      <c r="A697" s="4" t="s">
        <v>1573</v>
      </c>
      <c r="B697" s="5" t="s">
        <v>1574</v>
      </c>
      <c r="C697" s="6" t="s">
        <v>1575</v>
      </c>
      <c r="D697" s="6" t="str">
        <f>IFERROR(__xludf.DUMMYFUNCTION("GOOGLETRANSLATE(B697, ""en"", ""hi"")"),"हमें आपके राइडिंग अनुभव को बेहतर बनाने में मदद करें।")</f>
        <v>हमें आपके राइडिंग अनुभव को बेहतर बनाने में मदद करें।</v>
      </c>
      <c r="E697" s="6" t="str">
        <f>IFERROR(__xludf.DUMMYFUNCTION("GOOGLETRANSLATE(B697, ""en"", ""kn"")"),"ನಿಮ್ಮ ಸವಾರಿ ಅನುಭವವನ್ನು ಹೆಚ್ಚಿಸಲು ನಮಗೆ ಸಹಾಯ ಮಾಡಿ.")</f>
        <v>ನಿಮ್ಮ ಸವಾರಿ ಅನುಭವವನ್ನು ಹೆಚ್ಚಿಸಲು ನಮಗೆ ಸಹಾಯ ಮಾಡಿ.</v>
      </c>
      <c r="F697" s="7" t="str">
        <f>IFERROR(__xludf.DUMMYFUNCTION("GOOGLETRANSLATE(B697, ""en"", ""ml"")"),"നിങ്ങളുടെ റൈഡിംഗ് അനുഭവം മെച്ചപ്പെടുത്താൻ ഞങ്ങളെ സഹായിക്കൂ.")</f>
        <v>നിങ്ങളുടെ റൈഡിംഗ് അനുഭവം മെച്ചപ്പെടുത്താൻ ഞങ്ങളെ സഹായിക്കൂ.</v>
      </c>
      <c r="G697" s="7" t="str">
        <f>IFERROR(__xludf.DUMMYFUNCTION("GOOGLETRANSLATE(B697, ""en"", ""te"")"),"మీ రైడింగ్ అనుభవాన్ని మెరుగుపరచడంలో మాకు సహాయపడండి.")</f>
        <v>మీ రైడింగ్ అనుభవాన్ని మెరుగుపరచడంలో మాకు సహాయపడండి.</v>
      </c>
    </row>
    <row r="698">
      <c r="A698" s="4" t="s">
        <v>1576</v>
      </c>
      <c r="B698" s="5" t="s">
        <v>1577</v>
      </c>
      <c r="C698" s="6" t="s">
        <v>1578</v>
      </c>
      <c r="D698" s="6" t="str">
        <f>IFERROR(__xludf.DUMMYFUNCTION("GOOGLETRANSLATE(B698, ""en"", ""hi"")"),"आपकी राय हमारे लिए मायने रखती है।")</f>
        <v>आपकी राय हमारे लिए मायने रखती है।</v>
      </c>
      <c r="E698" s="6" t="str">
        <f>IFERROR(__xludf.DUMMYFUNCTION("GOOGLETRANSLATE(B698, ""en"", ""kn"")"),"ನಿಮ್ಮ ಪ್ರತಿಕ್ರಿಯೆ ಮುಖ್ಯ")</f>
        <v>ನಿಮ್ಮ ಪ್ರತಿಕ್ರಿಯೆ ಮುಖ್ಯ</v>
      </c>
      <c r="F698" s="7" t="str">
        <f>IFERROR(__xludf.DUMMYFUNCTION("GOOGLETRANSLATE(B698, ""en"", ""ml"")"),"നിങ്ങളുടെ ഫീഡ്‌ബാക്ക് പ്രധാനമാണ്")</f>
        <v>നിങ്ങളുടെ ഫീഡ്‌ബാക്ക് പ്രധാനമാണ്</v>
      </c>
      <c r="G698" s="7" t="str">
        <f>IFERROR(__xludf.DUMMYFUNCTION("GOOGLETRANSLATE(B698, ""en"", ""te"")"),"మీ అభిప్రాయం ముఖ్యం")</f>
        <v>మీ అభిప్రాయం ముఖ్యం</v>
      </c>
    </row>
    <row r="699">
      <c r="A699" s="4" t="s">
        <v>1579</v>
      </c>
      <c r="B699" s="5" t="s">
        <v>1580</v>
      </c>
      <c r="C699" s="6" t="s">
        <v>1581</v>
      </c>
      <c r="D699" s="6" t="str">
        <f>IFERROR(__xludf.DUMMYFUNCTION("GOOGLETRANSLATE(B699, ""en"", ""hi"")"),"इस यात्रा में क्या गड़बड़ हुई?")</f>
        <v>इस यात्रा में क्या गड़बड़ हुई?</v>
      </c>
      <c r="E699" s="6" t="str">
        <f>IFERROR(__xludf.DUMMYFUNCTION("GOOGLETRANSLATE(B699, ""en"", ""kn"")"),"ಈ ಪ್ರವಾಸದಲ್ಲಿ ಏನು ತಪ್ಪಾಯಿತು?")</f>
        <v>ಈ ಪ್ರವಾಸದಲ್ಲಿ ಏನು ತಪ್ಪಾಯಿತು?</v>
      </c>
      <c r="F699" s="7" t="str">
        <f>IFERROR(__xludf.DUMMYFUNCTION("GOOGLETRANSLATE(B699, ""en"", ""ml"")"),"ഈ യാത്രയിൽ എന്താണ് കുഴപ്പം?")</f>
        <v>ഈ യാത്രയിൽ എന്താണ് കുഴപ്പം?</v>
      </c>
      <c r="G699" s="7" t="str">
        <f>IFERROR(__xludf.DUMMYFUNCTION("GOOGLETRANSLATE(B699, ""en"", ""te"")"),"ఈ ప్రయాణంలో ఏం తప్పు జరిగింది?")</f>
        <v>ఈ ప్రయాణంలో ఏం తప్పు జరిగింది?</v>
      </c>
    </row>
    <row r="700">
      <c r="A700" s="4" t="s">
        <v>1582</v>
      </c>
      <c r="B700" s="5" t="s">
        <v>1583</v>
      </c>
      <c r="C700" s="6" t="s">
        <v>1584</v>
      </c>
      <c r="D700" s="6" t="str">
        <f>IFERROR(__xludf.DUMMYFUNCTION("GOOGLETRANSLATE(B700, ""en"", ""hi"")"),"स्टार्ट/एंड या रूट से संबंधित समस्या का वर्णन करें।")</f>
        <v>स्टार्ट/एंड या रूट से संबंधित समस्या का वर्णन करें।</v>
      </c>
      <c r="E700" s="6" t="str">
        <f>IFERROR(__xludf.DUMMYFUNCTION("GOOGLETRANSLATE(B700, ""en"", ""kn"")"),"ಆರಂಭ/ಅಂತ್ಯ ಅಥವಾ ಮಾರ್ಗದಲ್ಲಿನ ಸಮಸ್ಯೆಯನ್ನು ವಿವರಿಸಿ.")</f>
        <v>ಆರಂಭ/ಅಂತ್ಯ ಅಥವಾ ಮಾರ್ಗದಲ್ಲಿನ ಸಮಸ್ಯೆಯನ್ನು ವಿವರಿಸಿ.</v>
      </c>
      <c r="F700" s="7" t="str">
        <f>IFERROR(__xludf.DUMMYFUNCTION("GOOGLETRANSLATE(B700, ""en"", ""ml"")"),"ആരംഭ/അവസാന അല്ലെങ്കിൽ റൂട്ടിലെ പ്രശ്നം വിവരിക്കുക.")</f>
        <v>ആരംഭ/അവസാന അല്ലെങ്കിൽ റൂട്ടിലെ പ്രശ്നം വിവരിക്കുക.</v>
      </c>
      <c r="G700" s="7" t="str">
        <f>IFERROR(__xludf.DUMMYFUNCTION("GOOGLETRANSLATE(B700, ""en"", ""te"")"),"ప్రారంభం/ముగింపు లేదా మార్గంతో సమస్యను వివరించండి.")</f>
        <v>ప్రారంభం/ముగింపు లేదా మార్గంతో సమస్యను వివరించండి.</v>
      </c>
    </row>
    <row r="701">
      <c r="A701" s="4" t="s">
        <v>1585</v>
      </c>
      <c r="B701" s="5" t="s">
        <v>1586</v>
      </c>
      <c r="C701" s="6" t="s">
        <v>1587</v>
      </c>
      <c r="D701" s="6" t="str">
        <f>IFERROR(__xludf.DUMMYFUNCTION("GOOGLETRANSLATE(B701, ""en"", ""hi"")"),"यात्रा संबंधी समस्या")</f>
        <v>यात्रा संबंधी समस्या</v>
      </c>
      <c r="E701" s="6" t="str">
        <f>IFERROR(__xludf.DUMMYFUNCTION("GOOGLETRANSLATE(B701, ""en"", ""kn"")"),"ಪ್ರವಾಸದ ಸಮಸ್ಯೆ")</f>
        <v>ಪ್ರವಾಸದ ಸಮಸ್ಯೆ</v>
      </c>
      <c r="F701" s="7" t="str">
        <f>IFERROR(__xludf.DUMMYFUNCTION("GOOGLETRANSLATE(B701, ""en"", ""ml"")"),"യാത്രാ പ്രശ്നം")</f>
        <v>യാത്രാ പ്രശ്നം</v>
      </c>
      <c r="G701" s="7" t="str">
        <f>IFERROR(__xludf.DUMMYFUNCTION("GOOGLETRANSLATE(B701, ""en"", ""te"")"),"ట్రిప్ సమస్య")</f>
        <v>ట్రిప్ సమస్య</v>
      </c>
    </row>
    <row r="702">
      <c r="A702" s="4" t="s">
        <v>1588</v>
      </c>
      <c r="B702" s="5" t="s">
        <v>1589</v>
      </c>
      <c r="C702" s="6" t="s">
        <v>1590</v>
      </c>
      <c r="D702" s="6" t="str">
        <f>IFERROR(__xludf.DUMMYFUNCTION("GOOGLETRANSLATE(B702, ""en"", ""hi"")"),"कृपया कम से कम एक संदेश (अच्छा, बुरा, सुधार या समस्या) जोड़ें।")</f>
        <v>कृपया कम से कम एक संदेश (अच्छा, बुरा, सुधार या समस्या) जोड़ें।</v>
      </c>
      <c r="E702" s="6" t="str">
        <f>IFERROR(__xludf.DUMMYFUNCTION("GOOGLETRANSLATE(B702, ""en"", ""kn"")"),"ದಯವಿಟ್ಟು ಕನಿಷ್ಠ ಒಂದು ಸಂದೇಶವನ್ನಾದರೂ ಸೇರಿಸಿ (ಒಳ್ಳೆಯದು, ಕೆಟ್ಟದು, ಸುಧಾರಣೆ ಅಥವಾ ಸಮಸ್ಯೆ).")</f>
        <v>ದಯವಿಟ್ಟು ಕನಿಷ್ಠ ಒಂದು ಸಂದೇಶವನ್ನಾದರೂ ಸೇರಿಸಿ (ಒಳ್ಳೆಯದು, ಕೆಟ್ಟದು, ಸುಧಾರಣೆ ಅಥವಾ ಸಮಸ್ಯೆ).</v>
      </c>
      <c r="F702" s="7" t="str">
        <f>IFERROR(__xludf.DUMMYFUNCTION("GOOGLETRANSLATE(B702, ""en"", ""ml"")"),"ദയവായി കുറഞ്ഞത് ഒരു സന്ദേശമെങ്കിലും ചേർക്കുക (നല്ലത്, മോശം, മെച്ചപ്പെടുത്തൽ അല്ലെങ്കിൽ പ്രശ്നം).")</f>
        <v>ദയവായി കുറഞ്ഞത് ഒരു സന്ദേശമെങ്കിലും ചേർക്കുക (നല്ലത്, മോശം, മെച്ചപ്പെടുത്തൽ അല്ലെങ്കിൽ പ്രശ്നം).</v>
      </c>
      <c r="G702" s="7" t="str">
        <f>IFERROR(__xludf.DUMMYFUNCTION("GOOGLETRANSLATE(B702, ""en"", ""te"")"),"దయచేసి కనీసం ఒక సందేశాన్ని జోడించండి (మంచిది, చెడు, మెరుగుదల లేదా సమస్య).")</f>
        <v>దయచేసి కనీసం ఒక సందేశాన్ని జోడించండి (మంచిది, చెడు, మెరుగుదల లేదా సమస్య).</v>
      </c>
    </row>
    <row r="703">
      <c r="A703" s="4" t="s">
        <v>1591</v>
      </c>
      <c r="B703" s="5" t="s">
        <v>1592</v>
      </c>
      <c r="C703" s="6" t="s">
        <v>1593</v>
      </c>
      <c r="D703" s="6" t="str">
        <f>IFERROR(__xludf.DUMMYFUNCTION("GOOGLETRANSLATE(B703, ""en"", ""hi"")"),"कृपया एक वैध संपर्क ईमेल प्रदान करें या सहमति बंद कर दें।")</f>
        <v>कृपया एक वैध संपर्क ईमेल प्रदान करें या सहमति बंद कर दें।</v>
      </c>
      <c r="E703" s="6" t="str">
        <f>IFERROR(__xludf.DUMMYFUNCTION("GOOGLETRANSLATE(B703, ""en"", ""kn"")"),"ದಯವಿಟ್ಟು ಮಾನ್ಯವಾದ ಸಂಪರ್ಕ ಇಮೇಲ್ ಅನ್ನು ಒದಗಿಸಿ ಅಥವಾ ಸಮ್ಮತಿಯನ್ನು ಆಫ್ ಮಾಡಿ.")</f>
        <v>ದಯವಿಟ್ಟು ಮಾನ್ಯವಾದ ಸಂಪರ್ಕ ಇಮೇಲ್ ಅನ್ನು ಒದಗಿಸಿ ಅಥವಾ ಸಮ್ಮತಿಯನ್ನು ಆಫ್ ಮಾಡಿ.</v>
      </c>
      <c r="F703" s="7" t="str">
        <f>IFERROR(__xludf.DUMMYFUNCTION("GOOGLETRANSLATE(B703, ""en"", ""ml"")"),"ദയവായി സാധുവായ ഒരു കോൺടാക്റ്റ് ഇമെയിൽ നൽകുക അല്ലെങ്കിൽ സമ്മതം ഓഫാക്കുക.")</f>
        <v>ദയവായി സാധുവായ ഒരു കോൺടാക്റ്റ് ഇമെയിൽ നൽകുക അല്ലെങ്കിൽ സമ്മതം ഓഫാക്കുക.</v>
      </c>
      <c r="G703" s="7" t="str">
        <f>IFERROR(__xludf.DUMMYFUNCTION("GOOGLETRANSLATE(B703, ""en"", ""te"")"),"దయచేసి చెల్లుబాటు అయ్యే కాంటాక్ట్ ఇమెయిల్‌ను అందించండి లేదా సమ్మతిని ఆఫ్ చేయండి.")</f>
        <v>దయచేసి చెల్లుబాటు అయ్యే కాంటాక్ట్ ఇమెయిల్‌ను అందించండి లేదా సమ్మతిని ఆఫ్ చేయండి.</v>
      </c>
    </row>
    <row r="704">
      <c r="A704" s="4" t="s">
        <v>1594</v>
      </c>
      <c r="B704" s="5" t="s">
        <v>1595</v>
      </c>
      <c r="C704" s="6" t="s">
        <v>1596</v>
      </c>
      <c r="D704" s="6" t="str">
        <f>IFERROR(__xludf.DUMMYFUNCTION("GOOGLETRANSLATE(B704, ""en"", ""hi"")"),"कृपया हमें ईमेल द्वारा आपसे संपर्क करने की अनुमति देने के लिए सहमति चेकबॉक्स को सक्षम करें।")</f>
        <v>कृपया हमें ईमेल द्वारा आपसे संपर्क करने की अनुमति देने के लिए सहमति चेकबॉक्स को सक्षम करें।</v>
      </c>
      <c r="E704" s="6" t="str">
        <f>IFERROR(__xludf.DUMMYFUNCTION("GOOGLETRANSLATE(B704, ""en"", ""kn"")"),"ಇಮೇಲ್ ಮೂಲಕ ನಿಮ್ಮನ್ನು ಸಂಪರ್ಕಿಸಲು ನಮಗೆ ಅನುಮತಿಸಲು ದಯವಿಟ್ಟು ಸಮ್ಮತಿ ಚೆಕ್‌ಬಾಕ್ಸ್ ಅನ್ನು ಸಕ್ರಿಯಗೊಳಿಸಿ.")</f>
        <v>ಇಮೇಲ್ ಮೂಲಕ ನಿಮ್ಮನ್ನು ಸಂಪರ್ಕಿಸಲು ನಮಗೆ ಅನುಮತಿಸಲು ದಯವಿಟ್ಟು ಸಮ್ಮತಿ ಚೆಕ್‌ಬಾಕ್ಸ್ ಅನ್ನು ಸಕ್ರಿಯಗೊಳಿಸಿ.</v>
      </c>
      <c r="F704" s="7" t="str">
        <f>IFERROR(__xludf.DUMMYFUNCTION("GOOGLETRANSLATE(B704, ""en"", ""ml"")"),"ഇമെയിൽ വഴി നിങ്ങളെ ബന്ധപ്പെടാൻ ഞങ്ങളെ അനുവദിക്കുന്നതിന് ദയവായി സമ്മത ചെക്ക്ബോക്സ് പ്രാപ്തമാക്കുക.")</f>
        <v>ഇമെയിൽ വഴി നിങ്ങളെ ബന്ധപ്പെടാൻ ഞങ്ങളെ അനുവദിക്കുന്നതിന് ദയവായി സമ്മത ചെക്ക്ബോക്സ് പ്രാപ്തമാക്കുക.</v>
      </c>
      <c r="G704" s="7" t="str">
        <f>IFERROR(__xludf.DUMMYFUNCTION("GOOGLETRANSLATE(B704, ""en"", ""te"")"),"ఇమెయిల్ ద్వారా మిమ్మల్ని సంప్రదించడానికి మమ్మల్ని అనుమతించడానికి దయచేసి సమ్మతి చెక్‌బాక్స్‌ను ప్రారంభించండి.")</f>
        <v>ఇమెయిల్ ద్వారా మిమ్మల్ని సంప్రదించడానికి మమ్మల్ని అనుమతించడానికి దయచేసి సమ్మతి చెక్‌బాక్స్‌ను ప్రారంభించండి.</v>
      </c>
    </row>
    <row r="705">
      <c r="A705" s="4" t="s">
        <v>1597</v>
      </c>
      <c r="B705" s="5" t="s">
        <v>1598</v>
      </c>
      <c r="C705" s="6" t="s">
        <v>1599</v>
      </c>
      <c r="D705" s="6" t="str">
        <f>IFERROR(__xludf.DUMMYFUNCTION("GOOGLETRANSLATE(B705, ""en"", ""hi"")"),"आवश्यक है।")</f>
        <v>आवश्यक है।</v>
      </c>
      <c r="E705" s="6" t="str">
        <f>IFERROR(__xludf.DUMMYFUNCTION("GOOGLETRANSLATE(B705, ""en"", ""kn"")"),"ಅಗತ್ಯವಿದೆ.")</f>
        <v>ಅಗತ್ಯವಿದೆ.</v>
      </c>
      <c r="F705" s="7" t="str">
        <f>IFERROR(__xludf.DUMMYFUNCTION("GOOGLETRANSLATE(B705, ""en"", ""ml"")"),"ആവശ്യമാണ്.")</f>
        <v>ആവശ്യമാണ്.</v>
      </c>
      <c r="G705" s="7" t="str">
        <f>IFERROR(__xludf.DUMMYFUNCTION("GOOGLETRANSLATE(B705, ""en"", ""te"")"),"అవసరం.")</f>
        <v>అవసరం.</v>
      </c>
    </row>
    <row r="706">
      <c r="A706" s="4" t="s">
        <v>1600</v>
      </c>
      <c r="B706" s="5" t="s">
        <v>1601</v>
      </c>
      <c r="C706" s="6" t="s">
        <v>1602</v>
      </c>
      <c r="D706" s="6" t="str">
        <f>IFERROR(__xludf.DUMMYFUNCTION("GOOGLETRANSLATE(B706, ""en"", ""hi"")"),"महिला")</f>
        <v>महिला</v>
      </c>
      <c r="E706" s="6" t="str">
        <f>IFERROR(__xludf.DUMMYFUNCTION("GOOGLETRANSLATE(B706, ""en"", ""kn"")"),"ಹೆಣ್ಣು")</f>
        <v>ಹೆಣ್ಣು</v>
      </c>
      <c r="F706" s="7" t="str">
        <f>IFERROR(__xludf.DUMMYFUNCTION("GOOGLETRANSLATE(B706, ""en"", ""ml"")"),"സ്ത്രീ")</f>
        <v>സ്ത്രീ</v>
      </c>
      <c r="G706" s="7" t="str">
        <f>IFERROR(__xludf.DUMMYFUNCTION("GOOGLETRANSLATE(B706, ""en"", ""te"")"),"స్త్రీ")</f>
        <v>స్త్రీ</v>
      </c>
    </row>
    <row r="707">
      <c r="A707" s="4" t="s">
        <v>1603</v>
      </c>
      <c r="B707" s="5" t="s">
        <v>1604</v>
      </c>
      <c r="C707" s="6" t="s">
        <v>1605</v>
      </c>
      <c r="D707" s="6" t="str">
        <f>IFERROR(__xludf.DUMMYFUNCTION("GOOGLETRANSLATE(B707, ""en"", ""hi"")"),"महिला चालक")</f>
        <v>महिला चालक</v>
      </c>
      <c r="E707" s="6" t="str">
        <f>IFERROR(__xludf.DUMMYFUNCTION("GOOGLETRANSLATE(B707, ""en"", ""kn"")"),"ಮಹಿಳಾ ಚಾಲಕಿ")</f>
        <v>ಮಹಿಳಾ ಚಾಲಕಿ</v>
      </c>
      <c r="F707" s="7" t="str">
        <f>IFERROR(__xludf.DUMMYFUNCTION("GOOGLETRANSLATE(B707, ""en"", ""ml"")"),"വനിതാ ഡ്രൈവർ")</f>
        <v>വനിതാ ഡ്രൈവർ</v>
      </c>
      <c r="G707" s="7" t="str">
        <f>IFERROR(__xludf.DUMMYFUNCTION("GOOGLETRANSLATE(B707, ""en"", ""te"")"),"మహిళా డ్రైవర్")</f>
        <v>మహిళా డ్రైవర్</v>
      </c>
    </row>
    <row r="708">
      <c r="A708" s="4" t="s">
        <v>1606</v>
      </c>
      <c r="B708" s="5" t="s">
        <v>1607</v>
      </c>
      <c r="C708" s="6" t="s">
        <v>1608</v>
      </c>
      <c r="D708" s="6" t="str">
        <f>IFERROR(__xludf.DUMMYFUNCTION("GOOGLETRANSLATE(B708, ""en"", ""hi"")"),"अपनी सुविधा और मन की शांति के लिए सत्यापित महिला ड्राइवरों की सेवाएं प्राप्त करें।")</f>
        <v>अपनी सुविधा और मन की शांति के लिए सत्यापित महिला ड्राइवरों की सेवाएं प्राप्त करें।</v>
      </c>
      <c r="E708" s="6" t="str">
        <f>IFERROR(__xludf.DUMMYFUNCTION("GOOGLETRANSLATE(B708, ""en"", ""kn"")"),"ನಿಮ್ಮ ಆರಾಮ ಮತ್ತು ಮನಸ್ಸಿನ ಶಾಂತಿಗಾಗಿ ಪರಿಶೀಲಿಸಿದ ಮಹಿಳಾ ಚಾಲಕರನ್ನು ಪಡೆಯಿರಿ.")</f>
        <v>ನಿಮ್ಮ ಆರಾಮ ಮತ್ತು ಮನಸ್ಸಿನ ಶಾಂತಿಗಾಗಿ ಪರಿಶೀಲಿಸಿದ ಮಹಿಳಾ ಚಾಲಕರನ್ನು ಪಡೆಯಿರಿ.</v>
      </c>
      <c r="F708" s="7" t="str">
        <f>IFERROR(__xludf.DUMMYFUNCTION("GOOGLETRANSLATE(B708, ""en"", ""ml"")"),"നിങ്ങളുടെ സുഖത്തിനും മനസ്സമാധാനത്തിനും വേണ്ടി പരിശോധിച്ചുറപ്പിച്ച വനിതാ ഡ്രൈവർമാരെ നേടൂ.")</f>
        <v>നിങ്ങളുടെ സുഖത്തിനും മനസ്സമാധാനത്തിനും വേണ്ടി പരിശോധിച്ചുറപ്പിച്ച വനിതാ ഡ്രൈവർമാരെ നേടൂ.</v>
      </c>
      <c r="G708" s="7" t="str">
        <f>IFERROR(__xludf.DUMMYFUNCTION("GOOGLETRANSLATE(B708, ""en"", ""te"")"),"మీ సౌకర్యం మరియు మనశ్శాంతి కోసం ధృవీకరించబడిన మహిళా డ్రైవర్లను పొందండి")</f>
        <v>మీ సౌకర్యం మరియు మనశ్శాంతి కోసం ధృవీకరించబడిన మహిళా డ్రైవర్లను పొందండి</v>
      </c>
    </row>
    <row r="709">
      <c r="A709" s="4" t="s">
        <v>1609</v>
      </c>
      <c r="B709" s="5" t="s">
        <v>1610</v>
      </c>
      <c r="C709" s="6" t="s">
        <v>1611</v>
      </c>
      <c r="D709" s="6" t="str">
        <f>IFERROR(__xludf.DUMMYFUNCTION("GOOGLETRANSLATE(B709, ""en"", ""hi"")"),"महिला ड्राइवर को प्राथमिकता")</f>
        <v>महिला ड्राइवर को प्राथमिकता</v>
      </c>
      <c r="E709" s="6" t="str">
        <f>IFERROR(__xludf.DUMMYFUNCTION("GOOGLETRANSLATE(B709, ""en"", ""kn"")"),"ಮಹಿಳಾ ಚಾಲಕ ಆದ್ಯತೆ")</f>
        <v>ಮಹಿಳಾ ಚಾಲಕ ಆದ್ಯತೆ</v>
      </c>
      <c r="F709" s="7" t="str">
        <f>IFERROR(__xludf.DUMMYFUNCTION("GOOGLETRANSLATE(B709, ""en"", ""ml"")"),"സ്ത്രീ ഡ്രൈവർ മുൻഗണന")</f>
        <v>സ്ത്രീ ഡ്രൈവർ മുൻഗണന</v>
      </c>
      <c r="G709" s="7" t="str">
        <f>IFERROR(__xludf.DUMMYFUNCTION("GOOGLETRANSLATE(B709, ""en"", ""te"")"),"మహిళా డ్రైవర్ ప్రాధాన్యత")</f>
        <v>మహిళా డ్రైవర్ ప్రాధాన్యత</v>
      </c>
    </row>
    <row r="710">
      <c r="A710" s="4" t="s">
        <v>1612</v>
      </c>
      <c r="B710" s="5" t="s">
        <v>1613</v>
      </c>
      <c r="C710" s="6" t="s">
        <v>1614</v>
      </c>
      <c r="D710" s="6" t="str">
        <f>IFERROR(__xludf.DUMMYFUNCTION("GOOGLETRANSLATE(B710, ""en"", ""hi"")"),"केवल महिला चालकों के लिए")</f>
        <v>केवल महिला चालकों के लिए</v>
      </c>
      <c r="E710" s="6" t="str">
        <f>IFERROR(__xludf.DUMMYFUNCTION("GOOGLETRANSLATE(B710, ""en"", ""kn"")"),"ಮಹಿಳಾ ಚಾಲಕರು ಮಾತ್ರ")</f>
        <v>ಮಹಿಳಾ ಚಾಲಕರು ಮಾತ್ರ</v>
      </c>
      <c r="F710" s="7" t="str">
        <f>IFERROR(__xludf.DUMMYFUNCTION("GOOGLETRANSLATE(B710, ""en"", ""ml"")"),"വനിതാ ഡ്രൈവർമാർ മാത്രം")</f>
        <v>വനിതാ ഡ്രൈവർമാർ മാത്രം</v>
      </c>
      <c r="G710" s="7" t="str">
        <f>IFERROR(__xludf.DUMMYFUNCTION("GOOGLETRANSLATE(B710, ""en"", ""te"")"),"మహిళా డ్రైవర్లు మాత్రమే")</f>
        <v>మహిళా డ్రైవర్లు మాత్రమే</v>
      </c>
    </row>
    <row r="711">
      <c r="A711" s="4" t="s">
        <v>1615</v>
      </c>
      <c r="B711" s="5" t="s">
        <v>1616</v>
      </c>
      <c r="C711" s="6" t="s">
        <v>1617</v>
      </c>
      <c r="D711" s="6" t="str">
        <f>IFERROR(__xludf.DUMMYFUNCTION("GOOGLETRANSLATE(B711, ""en"", ""hi"")"),"आपकी यात्राएं प्राप्त की जा रही हैं...")</f>
        <v>आपकी यात्राएं प्राप्त की जा रही हैं...</v>
      </c>
      <c r="E711" s="6" t="str">
        <f>IFERROR(__xludf.DUMMYFUNCTION("GOOGLETRANSLATE(B711, ""en"", ""kn"")"),"ನಿಮ್ಮ ಪ್ರವಾಸಗಳನ್ನು ಪಡೆಯಲಾಗುತ್ತಿದೆ...")</f>
        <v>ನಿಮ್ಮ ಪ್ರವಾಸಗಳನ್ನು ಪಡೆಯಲಾಗುತ್ತಿದೆ...</v>
      </c>
      <c r="F711" s="7" t="str">
        <f>IFERROR(__xludf.DUMMYFUNCTION("GOOGLETRANSLATE(B711, ""en"", ""ml"")"),"നിങ്ങളുടെ യാത്രകൾ ലഭ്യമാക്കുന്നു...")</f>
        <v>നിങ്ങളുടെ യാത്രകൾ ലഭ്യമാക്കുന്നു...</v>
      </c>
      <c r="G711" s="7" t="str">
        <f>IFERROR(__xludf.DUMMYFUNCTION("GOOGLETRANSLATE(B711, ""en"", ""te"")"),"మీ పర్యటనలను పొందుతోంది...")</f>
        <v>మీ పర్యటనలను పొందుతోంది...</v>
      </c>
    </row>
    <row r="712">
      <c r="A712" s="4" t="s">
        <v>1618</v>
      </c>
      <c r="B712" s="5" t="s">
        <v>1619</v>
      </c>
      <c r="C712" s="6" t="s">
        <v>1620</v>
      </c>
      <c r="D712" s="6" t="str">
        <f>IFERROR(__xludf.DUMMYFUNCTION("GOOGLETRANSLATE(B712, ""en"", ""hi"")"),"कृपया सभी आवश्यक फ़ील्ड भरें")</f>
        <v>कृपया सभी आवश्यक फ़ील्ड भरें</v>
      </c>
      <c r="E712" s="6" t="str">
        <f>IFERROR(__xludf.DUMMYFUNCTION("GOOGLETRANSLATE(B712, ""en"", ""kn"")"),"ದಯವಿಟ್ಟು ಅಗತ್ಯವಿರುವ ಎಲ್ಲಾ ಕ್ಷೇತ್ರಗಳನ್ನು ಭರ್ತಿ ಮಾಡಿ.")</f>
        <v>ದಯವಿಟ್ಟು ಅಗತ್ಯವಿರುವ ಎಲ್ಲಾ ಕ್ಷೇತ್ರಗಳನ್ನು ಭರ್ತಿ ಮಾಡಿ.</v>
      </c>
      <c r="F712" s="7" t="str">
        <f>IFERROR(__xludf.DUMMYFUNCTION("GOOGLETRANSLATE(B712, ""en"", ""ml"")"),"ദയവായി ആവശ്യമായ എല്ലാ ഫീൽഡുകളും പൂരിപ്പിക്കുക.")</f>
        <v>ദയവായി ആവശ്യമായ എല്ലാ ഫീൽഡുകളും പൂരിപ്പിക്കുക.</v>
      </c>
      <c r="G712" s="7" t="str">
        <f>IFERROR(__xludf.DUMMYFUNCTION("GOOGLETRANSLATE(B712, ""en"", ""te"")"),"దయచేసి అవసరమైన అన్ని ఫీల్డ్‌లను పూరించండి.")</f>
        <v>దయచేసి అవసరమైన అన్ని ఫీల్డ్‌లను పూరించండి.</v>
      </c>
    </row>
    <row r="713">
      <c r="A713" s="4" t="s">
        <v>1621</v>
      </c>
      <c r="B713" s="5" t="s">
        <v>1622</v>
      </c>
      <c r="C713" s="6" t="s">
        <v>1623</v>
      </c>
      <c r="D713" s="6" t="str">
        <f>IFERROR(__xludf.DUMMYFUNCTION("GOOGLETRANSLATE(B713, ""en"", ""hi"")"),"ड्राइवर ढूँढना")</f>
        <v>ड्राइवर ढूँढना</v>
      </c>
      <c r="E713" s="6" t="str">
        <f>IFERROR(__xludf.DUMMYFUNCTION("GOOGLETRANSLATE(B713, ""en"", ""kn"")"),"ಚಾಲಕನನ್ನು ಹುಡುಕಲಾಗುತ್ತಿದೆ")</f>
        <v>ಚಾಲಕನನ್ನು ಹುಡುಕಲಾಗುತ್ತಿದೆ</v>
      </c>
      <c r="F713" s="7" t="str">
        <f>IFERROR(__xludf.DUMMYFUNCTION("GOOGLETRANSLATE(B713, ""en"", ""ml"")"),"ഡ്രൈവറെ കണ്ടെത്തുന്നു")</f>
        <v>ഡ്രൈവറെ കണ്ടെത്തുന്നു</v>
      </c>
      <c r="G713" s="7" t="str">
        <f>IFERROR(__xludf.DUMMYFUNCTION("GOOGLETRANSLATE(B713, ""en"", ""te"")"),"డ్రైవర్‌ను కనుగొనడం")</f>
        <v>డ్రైవర్‌ను కనుగొనడం</v>
      </c>
    </row>
    <row r="714">
      <c r="A714" s="4" t="s">
        <v>1624</v>
      </c>
      <c r="B714" s="5" t="s">
        <v>1625</v>
      </c>
      <c r="C714" s="6" t="s">
        <v>1626</v>
      </c>
      <c r="D714" s="6" t="str">
        <f>IFERROR(__xludf.DUMMYFUNCTION("GOOGLETRANSLATE(B714, ""en"", ""hi"")"),"लिंग")</f>
        <v>लिंग</v>
      </c>
      <c r="E714" s="6" t="str">
        <f>IFERROR(__xludf.DUMMYFUNCTION("GOOGLETRANSLATE(B714, ""en"", ""kn"")"),"ಲಿಂಗ")</f>
        <v>ಲಿಂಗ</v>
      </c>
      <c r="F714" s="7" t="str">
        <f>IFERROR(__xludf.DUMMYFUNCTION("GOOGLETRANSLATE(B714, ""en"", ""ml"")"),"ലിംഗഭേദം")</f>
        <v>ലിംഗഭേദം</v>
      </c>
      <c r="G714" s="7" t="str">
        <f>IFERROR(__xludf.DUMMYFUNCTION("GOOGLETRANSLATE(B714, ""en"", ""te"")"),"లింగం")</f>
        <v>లింగం</v>
      </c>
    </row>
    <row r="715">
      <c r="A715" s="4" t="s">
        <v>1627</v>
      </c>
      <c r="B715" s="5" t="s">
        <v>1628</v>
      </c>
      <c r="C715" s="6" t="s">
        <v>1629</v>
      </c>
      <c r="D715" s="6" t="str">
        <f>IFERROR(__xludf.DUMMYFUNCTION("GOOGLETRANSLATE(B715, ""en"", ""hi"")"),"सहायता से मदद प्राप्त करें")</f>
        <v>सहायता से मदद प्राप्त करें</v>
      </c>
      <c r="E715" s="6" t="str">
        <f>IFERROR(__xludf.DUMMYFUNCTION("GOOGLETRANSLATE(B715, ""en"", ""kn"")"),"ಬೆಂಬಲದಿಂದ ಸಹಾಯ ಪಡೆಯಿರಿ")</f>
        <v>ಬೆಂಬಲದಿಂದ ಸಹಾಯ ಪಡೆಯಿರಿ</v>
      </c>
      <c r="F715" s="7" t="str">
        <f>IFERROR(__xludf.DUMMYFUNCTION("GOOGLETRANSLATE(B715, ""en"", ""ml"")"),"പിന്തുണയിൽ നിന്ന് സഹായം നേടുക")</f>
        <v>പിന്തുണയിൽ നിന്ന് സഹായം നേടുക</v>
      </c>
      <c r="G715" s="7" t="str">
        <f>IFERROR(__xludf.DUMMYFUNCTION("GOOGLETRANSLATE(B715, ""en"", ""te"")"),"మద్దతు నుండి సహాయం పొందండి")</f>
        <v>మద్దతు నుండి సహాయం పొందండి</v>
      </c>
    </row>
    <row r="716">
      <c r="A716" s="4" t="s">
        <v>1630</v>
      </c>
      <c r="B716" s="5" t="s">
        <v>1631</v>
      </c>
      <c r="C716" s="6" t="s">
        <v>1632</v>
      </c>
      <c r="D716" s="6" t="str">
        <f>IFERROR(__xludf.DUMMYFUNCTION("GOOGLETRANSLATE(B716, ""en"", ""hi"")"),"शुरू हो जाओ")</f>
        <v>शुरू हो जाओ</v>
      </c>
      <c r="E716" s="6" t="str">
        <f>IFERROR(__xludf.DUMMYFUNCTION("GOOGLETRANSLATE(B716, ""en"", ""kn"")"),"ಪ್ರಾರಂಭಿಸಲು ಒತ್ತಿ")</f>
        <v>ಪ್ರಾರಂಭಿಸಲು ಒತ್ತಿ</v>
      </c>
      <c r="F716" s="7" t="str">
        <f>IFERROR(__xludf.DUMMYFUNCTION("GOOGLETRANSLATE(B716, ""en"", ""ml"")"),"ആരംഭിക്കുക")</f>
        <v>ആരംഭിക്കുക</v>
      </c>
      <c r="G716" s="7" t="str">
        <f>IFERROR(__xludf.DUMMYFUNCTION("GOOGLETRANSLATE(B716, ""en"", ""te"")"),"ప్రారంభించడానికి")</f>
        <v>ప్రారంభించడానికి</v>
      </c>
    </row>
    <row r="717">
      <c r="A717" s="4" t="s">
        <v>1633</v>
      </c>
      <c r="B717" s="5" t="s">
        <v>1634</v>
      </c>
      <c r="C717" s="6" t="str">
        <f>IFERROR(__xludf.DUMMYFUNCTION("GOOGLETRANSLATE(B717, ""en"", ""ta"")"),"கருத்து தெரிவிக்கவும்")</f>
        <v>கருத்து தெரிவிக்கவும்</v>
      </c>
      <c r="D717" s="6" t="str">
        <f>IFERROR(__xludf.DUMMYFUNCTION("GOOGLETRANSLATE(B717, ""en"", ""hi"")"),"प्रतिक्रिया दें")</f>
        <v>प्रतिक्रिया दें</v>
      </c>
      <c r="E717" s="6" t="str">
        <f>IFERROR(__xludf.DUMMYFUNCTION("GOOGLETRANSLATE(B717, ""en"", ""kn"")"),"ಪ್ರತಿಕ್ರಿಯೆ ನೀಡಿ")</f>
        <v>ಪ್ರತಿಕ್ರಿಯೆ ನೀಡಿ</v>
      </c>
      <c r="F717" s="7" t="str">
        <f>IFERROR(__xludf.DUMMYFUNCTION("GOOGLETRANSLATE(B717, ""en"", ""ml"")"),"ഫീഡ്‌ബാക്ക് നൽകുക")</f>
        <v>ഫീഡ്‌ബാക്ക് നൽകുക</v>
      </c>
      <c r="G717" s="7" t="str">
        <f>IFERROR(__xludf.DUMMYFUNCTION("GOOGLETRANSLATE(B717, ""en"", ""te"")"),"అభిప్రాయం తెలియజేయండి")</f>
        <v>అభిప్రాయం తెలియజేయండి</v>
      </c>
    </row>
    <row r="718">
      <c r="A718" s="4" t="s">
        <v>1635</v>
      </c>
      <c r="B718" s="5" t="s">
        <v>1636</v>
      </c>
      <c r="C718" s="6" t="s">
        <v>1637</v>
      </c>
      <c r="D718" s="6" t="str">
        <f>IFERROR(__xludf.DUMMYFUNCTION("GOOGLETRANSLATE(B718, ""en"", ""hi"")"),"वापस जाओ")</f>
        <v>वापस जाओ</v>
      </c>
      <c r="E718" s="6" t="str">
        <f>IFERROR(__xludf.DUMMYFUNCTION("GOOGLETRANSLATE(B718, ""en"", ""kn"")"),"ಹಿಂತಿರುಗಿ")</f>
        <v>ಹಿಂತಿರುಗಿ</v>
      </c>
      <c r="F718" s="7" t="str">
        <f>IFERROR(__xludf.DUMMYFUNCTION("GOOGLETRANSLATE(B718, ""en"", ""ml"")"),"മടങ്ങിപ്പോവുക")</f>
        <v>മടങ്ങിപ്പോവുക</v>
      </c>
      <c r="G718" s="7" t="str">
        <f>IFERROR(__xludf.DUMMYFUNCTION("GOOGLETRANSLATE(B718, ""en"", ""te"")"),"వెనక్కి వెళ్ళు")</f>
        <v>వెనక్కి వెళ్ళు</v>
      </c>
    </row>
    <row r="719">
      <c r="A719" s="4" t="s">
        <v>1638</v>
      </c>
      <c r="B719" s="5" t="s">
        <v>1639</v>
      </c>
      <c r="C719" s="6" t="s">
        <v>1640</v>
      </c>
      <c r="D719" s="6" t="str">
        <f>IFERROR(__xludf.DUMMYFUNCTION("GOOGLETRANSLATE(B719, ""en"", ""hi"")"),"ऐप सेटिंग्स पर जाएं")</f>
        <v>ऐप सेटिंग्स पर जाएं</v>
      </c>
      <c r="E719" s="6" t="str">
        <f>IFERROR(__xludf.DUMMYFUNCTION("GOOGLETRANSLATE(B719, ""en"", ""kn"")"),"ಅಪ್ಲಿಕೇಶನ್ ಸೆಟ್ಟಿಂಗ್‌ಗಳಿಗೆ ಹೋಗಿ")</f>
        <v>ಅಪ್ಲಿಕೇಶನ್ ಸೆಟ್ಟಿಂಗ್‌ಗಳಿಗೆ ಹೋಗಿ</v>
      </c>
      <c r="F719" s="7" t="str">
        <f>IFERROR(__xludf.DUMMYFUNCTION("GOOGLETRANSLATE(B719, ""en"", ""ml"")"),"ആപ്പ് ക്രമീകരണങ്ങളിലേക്ക് പോകുക")</f>
        <v>ആപ്പ് ക്രമീകരണങ്ങളിലേക്ക് പോകുക</v>
      </c>
      <c r="G719" s="7" t="str">
        <f>IFERROR(__xludf.DUMMYFUNCTION("GOOGLETRANSLATE(B719, ""en"", ""te"")"),"యాప్ సెట్టింగ్‌లకు వెళ్లండి")</f>
        <v>యాప్ సెట్టింగ్‌లకు వెళ్లండి</v>
      </c>
    </row>
    <row r="720">
      <c r="A720" s="4" t="s">
        <v>1641</v>
      </c>
      <c r="B720" s="5" t="s">
        <v>1642</v>
      </c>
      <c r="C720" s="6" t="s">
        <v>1643</v>
      </c>
      <c r="D720" s="6" t="str">
        <f>IFERROR(__xludf.DUMMYFUNCTION("GOOGLETRANSLATE(B720, ""en"", ""hi"")"),"सेटिंग्स पर जाएं")</f>
        <v>सेटिंग्स पर जाएं</v>
      </c>
      <c r="E720" s="6" t="str">
        <f>IFERROR(__xludf.DUMMYFUNCTION("GOOGLETRANSLATE(B720, ""en"", ""kn"")"),"ಸೆಟ್ಟಿಂಗ್‌ಗಳಿಗೆ ಹೋಗಿ")</f>
        <v>ಸೆಟ್ಟಿಂಗ್‌ಗಳಿಗೆ ಹೋಗಿ</v>
      </c>
      <c r="F720" s="7" t="str">
        <f>IFERROR(__xludf.DUMMYFUNCTION("GOOGLETRANSLATE(B720, ""en"", ""ml"")"),"ക്രമീകരണങ്ങളിലേക്ക് പോകുക")</f>
        <v>ക്രമീകരണങ്ങളിലേക്ക് പോകുക</v>
      </c>
      <c r="G720" s="7" t="str">
        <f>IFERROR(__xludf.DUMMYFUNCTION("GOOGLETRANSLATE(B720, ""en"", ""te"")"),"సెట్టింగ్‌లకు వెళ్లండి")</f>
        <v>సెట్టింగ్‌లకు వెళ్లండి</v>
      </c>
    </row>
    <row r="721">
      <c r="A721" s="4" t="s">
        <v>1644</v>
      </c>
      <c r="B721" s="5" t="s">
        <v>1645</v>
      </c>
      <c r="C721" s="6" t="s">
        <v>1646</v>
      </c>
      <c r="D721" s="6" t="str">
        <f>IFERROR(__xludf.DUMMYFUNCTION("GOOGLETRANSLATE(B721, ""en"", ""hi"")"),"जीएसटी")</f>
        <v>जीएसटी</v>
      </c>
      <c r="E721" s="6" t="str">
        <f>IFERROR(__xludf.DUMMYFUNCTION("GOOGLETRANSLATE(B721, ""en"", ""kn"")"),"ಜಿಎಸ್ಟಿ")</f>
        <v>ಜಿಎಸ್ಟಿ</v>
      </c>
      <c r="F721" s="7" t="str">
        <f>IFERROR(__xludf.DUMMYFUNCTION("GOOGLETRANSLATE(B721, ""en"", ""ml"")"),"ജിഎസ്ടി")</f>
        <v>ജിഎസ്ടി</v>
      </c>
      <c r="G721" s="7" t="str">
        <f>IFERROR(__xludf.DUMMYFUNCTION("GOOGLETRANSLATE(B721, ""en"", ""te"")"),"జీఎస్టీ")</f>
        <v>జీఎస్టీ</v>
      </c>
    </row>
    <row r="722">
      <c r="A722" s="4" t="s">
        <v>1647</v>
      </c>
      <c r="B722" s="5" t="s">
        <v>1648</v>
      </c>
      <c r="C722" s="6" t="s">
        <v>1648</v>
      </c>
      <c r="D722" s="6" t="str">
        <f>IFERROR(__xludf.DUMMYFUNCTION("GOOGLETRANSLATE(B722, ""en"", ""hi"")"),"जीएसटीआईएन")</f>
        <v>जीएसटीआईएन</v>
      </c>
      <c r="E722" s="6" t="str">
        <f>IFERROR(__xludf.DUMMYFUNCTION("GOOGLETRANSLATE(B722, ""en"", ""kn"")"),"ಜಿಎಸ್ಟಿಐಎನ್")</f>
        <v>ಜಿಎಸ್ಟಿಐಎನ್</v>
      </c>
      <c r="F722" s="7" t="str">
        <f>IFERROR(__xludf.DUMMYFUNCTION("GOOGLETRANSLATE(B722, ""en"", ""ml"")"),"ജിഎസ്ടിഐഎൻ")</f>
        <v>ജിഎസ്ടിഐഎൻ</v>
      </c>
      <c r="G722" s="7" t="str">
        <f>IFERROR(__xludf.DUMMYFUNCTION("GOOGLETRANSLATE(B722, ""en"", ""te"")"),"జిఎస్టిఐఎన్")</f>
        <v>జిఎస్టిఐఎన్</v>
      </c>
    </row>
    <row r="723">
      <c r="A723" s="4" t="s">
        <v>1649</v>
      </c>
      <c r="B723" s="5" t="s">
        <v>1650</v>
      </c>
      <c r="C723" s="6" t="s">
        <v>1651</v>
      </c>
      <c r="D723" s="6" t="str">
        <f>IFERROR(__xludf.DUMMYFUNCTION("GOOGLETRANSLATE(B723, ""en"", ""hi"")"),"हम आपको कैसे संपर्क करें?")</f>
        <v>हम आपको कैसे संपर्क करें?</v>
      </c>
      <c r="E723" s="6" t="str">
        <f>IFERROR(__xludf.DUMMYFUNCTION("GOOGLETRANSLATE(B723, ""en"", ""kn"")"),"ನಾವು ನಿಮ್ಮನ್ನು ಹೇಗೆ ಕರೆಯುವುದು?")</f>
        <v>ನಾವು ನಿಮ್ಮನ್ನು ಹೇಗೆ ಕರೆಯುವುದು?</v>
      </c>
      <c r="F723" s="7" t="str">
        <f>IFERROR(__xludf.DUMMYFUNCTION("GOOGLETRANSLATE(B723, ""en"", ""ml"")"),"ഞങ്ങൾ നിങ്ങളെ എങ്ങനെ വിളിക്കും?")</f>
        <v>ഞങ്ങൾ നിങ്ങളെ എങ്ങനെ വിളിക്കും?</v>
      </c>
      <c r="G723" s="7" t="str">
        <f>IFERROR(__xludf.DUMMYFUNCTION("GOOGLETRANSLATE(B723, ""en"", ""te"")"),"మేము మిమ్మల్ని ఎలా పిలుస్తాము?")</f>
        <v>మేము మిమ్మల్ని ఎలా పిలుస్తాము?</v>
      </c>
    </row>
    <row r="724">
      <c r="A724" s="4" t="s">
        <v>1652</v>
      </c>
      <c r="B724" s="5" t="s">
        <v>1653</v>
      </c>
      <c r="C724" s="6" t="s">
        <v>1654</v>
      </c>
      <c r="D724" s="6" t="str">
        <f>IFERROR(__xludf.DUMMYFUNCTION("GOOGLETRANSLATE(B724, ""en"", ""hi"")"),"आपकी यात्रा कैसी रही?")</f>
        <v>आपकी यात्रा कैसी रही?</v>
      </c>
      <c r="E724" s="6" t="str">
        <f>IFERROR(__xludf.DUMMYFUNCTION("GOOGLETRANSLATE(B724, ""en"", ""kn"")"),"ನಿಮ್ಮ ಪ್ರವಾಸಗಳು ಹೇಗಿವೆ?")</f>
        <v>ನಿಮ್ಮ ಪ್ರವಾಸಗಳು ಹೇಗಿವೆ?</v>
      </c>
      <c r="F724" s="7" t="str">
        <f>IFERROR(__xludf.DUMMYFUNCTION("GOOGLETRANSLATE(B724, ""en"", ""ml"")"),"നിങ്ങളുടെ യാത്രകൾ എങ്ങനെയുണ്ട്?")</f>
        <v>നിങ്ങളുടെ യാത്രകൾ എങ്ങനെയുണ്ട്?</v>
      </c>
      <c r="G724" s="7" t="str">
        <f>IFERROR(__xludf.DUMMYFUNCTION("GOOGLETRANSLATE(B724, ""en"", ""te"")"),"మీ ట్రిప్స్ ఎలా ఉన్నాయి?")</f>
        <v>మీ ట్రిప్స్ ఎలా ఉన్నాయి?</v>
      </c>
    </row>
    <row r="725">
      <c r="A725" s="4" t="s">
        <v>1655</v>
      </c>
      <c r="B725" s="5" t="s">
        <v>1656</v>
      </c>
      <c r="C725" s="6" t="s">
        <v>1657</v>
      </c>
      <c r="D725" s="6" t="str">
        <f>IFERROR(__xludf.DUMMYFUNCTION("GOOGLETRANSLATE(B725, ""en"", ""hi"")"),"यदि आप खोज के माध्यम से कोई स्थान नहीं ढूंढ पाते हैं, तो मानचित्र पर उस स्थान को चिह्नित करके चुनें।")</f>
        <v>यदि आप खोज के माध्यम से कोई स्थान नहीं ढूंढ पाते हैं, तो मानचित्र पर उस स्थान को चिह्नित करके चुनें।</v>
      </c>
      <c r="E725" s="6" t="str">
        <f>IFERROR(__xludf.DUMMYFUNCTION("GOOGLETRANSLATE(B725, ""en"", ""kn"")"),"ಹುಡುಕಾಟದ ಮೂಲಕ ನಿಮಗೆ ಸ್ಥಳ ಸಿಗದಿದ್ದರೆ, ನಕ್ಷೆಯಲ್ಲಿ ಅದನ್ನು ಗುರುತಿಸುವ ಮೂಲಕ ಸ್ಥಳವನ್ನು ಆರಿಸಿ.")</f>
        <v>ಹುಡುಕಾಟದ ಮೂಲಕ ನಿಮಗೆ ಸ್ಥಳ ಸಿಗದಿದ್ದರೆ, ನಕ್ಷೆಯಲ್ಲಿ ಅದನ್ನು ಗುರುತಿಸುವ ಮೂಲಕ ಸ್ಥಳವನ್ನು ಆರಿಸಿ.</v>
      </c>
      <c r="F725" s="7" t="str">
        <f>IFERROR(__xludf.DUMMYFUNCTION("GOOGLETRANSLATE(B725, ""en"", ""ml"")"),"തിരയലിൽ നിങ്ങൾക്ക് ഒരു സ്ഥലം കണ്ടെത്താൻ കഴിയുന്നില്ലെങ്കിൽ, മാപ്പിൽ അത് അടയാളപ്പെടുത്തി ഒരു സ്ഥലം തിരഞ്ഞെടുക്കുക.")</f>
        <v>തിരയലിൽ നിങ്ങൾക്ക് ഒരു സ്ഥലം കണ്ടെത്താൻ കഴിയുന്നില്ലെങ്കിൽ, മാപ്പിൽ അത് അടയാളപ്പെടുത്തി ഒരു സ്ഥലം തിരഞ്ഞെടുക്കുക.</v>
      </c>
      <c r="G725" s="7" t="str">
        <f>IFERROR(__xludf.DUMMYFUNCTION("GOOGLETRANSLATE(B725, ""en"", ""te"")"),"మీరు శోధన ద్వారా ఒక స్థలాన్ని కనుగొనలేకపోతే, మ్యాప్‌లో దానిని గుర్తించడం ద్వారా ఒక స్థలాన్ని ఎంచుకోండి.")</f>
        <v>మీరు శోధన ద్వారా ఒక స్థలాన్ని కనుగొనలేకపోతే, మ్యాప్‌లో దానిని గుర్తించడం ద్వారా ఒక స్థలాన్ని ఎంచుకోండి.</v>
      </c>
    </row>
    <row r="726">
      <c r="A726" s="4" t="s">
        <v>1658</v>
      </c>
      <c r="B726" s="5" t="s">
        <v>1659</v>
      </c>
      <c r="C726" s="6" t="s">
        <v>1660</v>
      </c>
      <c r="D726" s="6" t="str">
        <f>IFERROR(__xludf.DUMMYFUNCTION("GOOGLETRANSLATE(B726, ""en"", ""hi"")"),"आयात संपर्क")</f>
        <v>आयात संपर्क</v>
      </c>
      <c r="E726" s="6" t="str">
        <f>IFERROR(__xludf.DUMMYFUNCTION("GOOGLETRANSLATE(B726, ""en"", ""kn"")"),"ಸಂಪರ್ಕವನ್ನು ಆಮದು ಮಾಡಿ")</f>
        <v>ಸಂಪರ್ಕವನ್ನು ಆಮದು ಮಾಡಿ</v>
      </c>
      <c r="F726" s="7" t="str">
        <f>IFERROR(__xludf.DUMMYFUNCTION("GOOGLETRANSLATE(B726, ""en"", ""ml"")"),"കോൺടാക്റ്റ് ഇറക്കുമതി ചെയ്യുക")</f>
        <v>കോൺടാക്റ്റ് ഇറക്കുമതി ചെയ്യുക</v>
      </c>
      <c r="G726" s="7" t="str">
        <f>IFERROR(__xludf.DUMMYFUNCTION("GOOGLETRANSLATE(B726, ""en"", ""te"")"),"పరిచయాన్ని దిగుమతి చేయి")</f>
        <v>పరిచయాన్ని దిగుమతి చేయి</v>
      </c>
    </row>
    <row r="727">
      <c r="A727" s="4" t="s">
        <v>1661</v>
      </c>
      <c r="B727" s="5" t="s">
        <v>1662</v>
      </c>
      <c r="C727" s="6" t="s">
        <v>1360</v>
      </c>
      <c r="D727" s="6" t="str">
        <f>IFERROR(__xludf.DUMMYFUNCTION("GOOGLETRANSLATE(B727, ""en"", ""hi"")"),"संपर्कों से आयात करें")</f>
        <v>संपर्कों से आयात करें</v>
      </c>
      <c r="E727" s="6" t="str">
        <f>IFERROR(__xludf.DUMMYFUNCTION("GOOGLETRANSLATE(B727, ""en"", ""kn"")"),"ಸಂಪರ್ಕಗಳಿಂದ ಆಮದು ಮಾಡಿಕೊಳ್ಳಿ")</f>
        <v>ಸಂಪರ್ಕಗಳಿಂದ ಆಮದು ಮಾಡಿಕೊಳ್ಳಿ</v>
      </c>
      <c r="F727" s="7" t="str">
        <f>IFERROR(__xludf.DUMMYFUNCTION("GOOGLETRANSLATE(B727, ""en"", ""ml"")"),"കോൺടാക്റ്റുകളിൽ നിന്ന് ഇറക്കുമതി ചെയ്യുക")</f>
        <v>കോൺടാക്റ്റുകളിൽ നിന്ന് ഇറക്കുമതി ചെയ്യുക</v>
      </c>
      <c r="G727" s="7" t="str">
        <f>IFERROR(__xludf.DUMMYFUNCTION("GOOGLETRANSLATE(B727, ""en"", ""te"")"),"పరిచయాల నుండి దిగుమతి చేయి")</f>
        <v>పరిచయాల నుండి దిగుమతి చేయి</v>
      </c>
    </row>
    <row r="728">
      <c r="A728" s="4" t="s">
        <v>1663</v>
      </c>
      <c r="B728" s="5" t="s">
        <v>1663</v>
      </c>
      <c r="C728" s="6" t="s">
        <v>1664</v>
      </c>
      <c r="D728" s="6" t="str">
        <f>IFERROR(__xludf.DUMMYFUNCTION("GOOGLETRANSLATE(B728, ""en"", ""hi"")"),"में")</f>
        <v>में</v>
      </c>
      <c r="E728" s="6" t="str">
        <f>IFERROR(__xludf.DUMMYFUNCTION("GOOGLETRANSLATE(B728, ""en"", ""kn"")"),"ಒಳಗೆ")</f>
        <v>ಒಳಗೆ</v>
      </c>
      <c r="F728" s="7" t="str">
        <f>IFERROR(__xludf.DUMMYFUNCTION("GOOGLETRANSLATE(B728, ""en"", ""ml"")"),"ഇൻ")</f>
        <v>ഇൻ</v>
      </c>
      <c r="G728" s="7" t="str">
        <f>IFERROR(__xludf.DUMMYFUNCTION("GOOGLETRANSLATE(B728, ""en"", ""te"")"),"లో")</f>
        <v>లో</v>
      </c>
    </row>
    <row r="729">
      <c r="A729" s="4" t="s">
        <v>1665</v>
      </c>
      <c r="B729" s="5" t="s">
        <v>1666</v>
      </c>
      <c r="C729" s="6" t="s">
        <v>1667</v>
      </c>
      <c r="D729" s="6" t="str">
        <f>IFERROR(__xludf.DUMMYFUNCTION("GOOGLETRANSLATE(B729, ""en"", ""hi"")"),"अवैध प्रत्यय पत्र")</f>
        <v>अवैध प्रत्यय पत्र</v>
      </c>
      <c r="E729" s="6" t="str">
        <f>IFERROR(__xludf.DUMMYFUNCTION("GOOGLETRANSLATE(B729, ""en"", ""kn"")"),"ಅಮಾನ್ಯ ರುಜುವಾತುಗಳು")</f>
        <v>ಅಮಾನ್ಯ ರುಜುವಾತುಗಳು</v>
      </c>
      <c r="F729" s="7" t="str">
        <f>IFERROR(__xludf.DUMMYFUNCTION("GOOGLETRANSLATE(B729, ""en"", ""ml"")"),"അസാധുവായ ക്രെഡൻഷ്യലുകൾ")</f>
        <v>അസാധുവായ ക്രെഡൻഷ്യലുകൾ</v>
      </c>
      <c r="G729" s="7" t="str">
        <f>IFERROR(__xludf.DUMMYFUNCTION("GOOGLETRANSLATE(B729, ""en"", ""te"")"),"చెల్లని ఆధారాలు")</f>
        <v>చెల్లని ఆధారాలు</v>
      </c>
    </row>
    <row r="730">
      <c r="A730" s="4" t="s">
        <v>1668</v>
      </c>
      <c r="B730" s="5" t="s">
        <v>1669</v>
      </c>
      <c r="C730" s="6" t="s">
        <v>1670</v>
      </c>
      <c r="D730" s="6" t="str">
        <f>IFERROR(__xludf.DUMMYFUNCTION("GOOGLETRANSLATE(B730, ""en"", ""hi"")"),"अमान्य दिनांक समय")</f>
        <v>अमान्य दिनांक समय</v>
      </c>
      <c r="E730" s="6" t="str">
        <f>IFERROR(__xludf.DUMMYFUNCTION("GOOGLETRANSLATE(B730, ""en"", ""kn"")"),"ಅಮಾನ್ಯ ದಿನಾಂಕ ಸಮಯ")</f>
        <v>ಅಮಾನ್ಯ ದಿನಾಂಕ ಸಮಯ</v>
      </c>
      <c r="F730" s="7" t="str">
        <f>IFERROR(__xludf.DUMMYFUNCTION("GOOGLETRANSLATE(B730, ""en"", ""ml"")"),"തീയതി സമയം അസാധുവാണ്")</f>
        <v>തീയതി സമയം അസാധുവാണ്</v>
      </c>
      <c r="G730" s="7" t="str">
        <f>IFERROR(__xludf.DUMMYFUNCTION("GOOGLETRANSLATE(B730, ""en"", ""te"")"),"చెల్లని తేదీ సమయం")</f>
        <v>చెల్లని తేదీ సమయం</v>
      </c>
    </row>
    <row r="731">
      <c r="A731" s="4" t="s">
        <v>1671</v>
      </c>
      <c r="B731" s="5" t="s">
        <v>1672</v>
      </c>
      <c r="C731" s="6" t="s">
        <v>1673</v>
      </c>
      <c r="D731" s="6" t="str">
        <f>IFERROR(__xludf.DUMMYFUNCTION("GOOGLETRANSLATE(B731, ""en"", ""hi"")"),"अमान्य निवेश")</f>
        <v>अमान्य निवेश</v>
      </c>
      <c r="E731" s="6" t="str">
        <f>IFERROR(__xludf.DUMMYFUNCTION("GOOGLETRANSLATE(B731, ""en"", ""kn"")"),"ಅಮಾನ್ಯ ಇನ್‌ಪುಟ್")</f>
        <v>ಅಮಾನ್ಯ ಇನ್‌ಪುಟ್</v>
      </c>
      <c r="F731" s="7" t="str">
        <f>IFERROR(__xludf.DUMMYFUNCTION("GOOGLETRANSLATE(B731, ""en"", ""ml"")"),"അസാധുവായ ഇൻപുട്ട്")</f>
        <v>അസാധുവായ ഇൻപുട്ട്</v>
      </c>
      <c r="G731" s="7" t="str">
        <f>IFERROR(__xludf.DUMMYFUNCTION("GOOGLETRANSLATE(B731, ""en"", ""te"")"),"చెల్లని ఇన్‌పుట్")</f>
        <v>చెల్లని ఇన్‌పుట్</v>
      </c>
    </row>
    <row r="732">
      <c r="A732" s="4" t="s">
        <v>1674</v>
      </c>
      <c r="B732" s="5" t="s">
        <v>1675</v>
      </c>
      <c r="C732" s="6" t="s">
        <v>1676</v>
      </c>
      <c r="D732" s="6" t="str">
        <f>IFERROR(__xludf.DUMMYFUNCTION("GOOGLETRANSLATE(B732, ""en"", ""hi"")"),"कृपया एक वैध भारतीय मोबाइल नंबर दर्ज करें (10 अंकों का, जो 6-9 से शुरू होता हो)")</f>
        <v>कृपया एक वैध भारतीय मोबाइल नंबर दर्ज करें (10 अंकों का, जो 6-9 से शुरू होता हो)</v>
      </c>
      <c r="E732" s="6" t="str">
        <f>IFERROR(__xludf.DUMMYFUNCTION("GOOGLETRANSLATE(B732, ""en"", ""kn"")"),"ದಯವಿಟ್ಟು ಮಾನ್ಯವಾದ ಭಾರತೀಯ ಮೊಬೈಲ್ ಸಂಖ್ಯೆಯನ್ನು ನಮೂದಿಸಿ (6-9 ರಿಂದ ಪ್ರಾರಂಭವಾಗುವ 10 ಅಂಕೆಗಳು)")</f>
        <v>ದಯವಿಟ್ಟು ಮಾನ್ಯವಾದ ಭಾರತೀಯ ಮೊಬೈಲ್ ಸಂಖ್ಯೆಯನ್ನು ನಮೂದಿಸಿ (6-9 ರಿಂದ ಪ್ರಾರಂಭವಾಗುವ 10 ಅಂಕೆಗಳು)</v>
      </c>
      <c r="F732" s="7" t="str">
        <f>IFERROR(__xludf.DUMMYFUNCTION("GOOGLETRANSLATE(B732, ""en"", ""ml"")"),"ദയവായി സാധുവായ ഒരു ഇന്ത്യൻ മൊബൈൽ നമ്പർ നൽകുക (6-9 ൽ തുടങ്ങുന്ന 10 അക്കങ്ങൾ)")</f>
        <v>ദയവായി സാധുവായ ഒരു ഇന്ത്യൻ മൊബൈൽ നമ്പർ നൽകുക (6-9 ൽ തുടങ്ങുന്ന 10 അക്കങ്ങൾ)</v>
      </c>
      <c r="G732" s="7" t="str">
        <f>IFERROR(__xludf.DUMMYFUNCTION("GOOGLETRANSLATE(B732, ""en"", ""te"")"),"దయచేసి చెల్లుబాటు అయ్యే భారతీయ మొబైల్ నంబర్‌ను నమోదు చేయండి (6-9తో ప్రారంభమయ్యే 10 అంకెలు)")</f>
        <v>దయచేసి చెల్లుబాటు అయ్యే భారతీయ మొబైల్ నంబర్‌ను నమోదు చేయండి (6-9తో ప్రారంభమయ్యే 10 అంకెలు)</v>
      </c>
    </row>
    <row r="733">
      <c r="A733" s="4" t="s">
        <v>1677</v>
      </c>
      <c r="B733" s="5" t="s">
        <v>1678</v>
      </c>
      <c r="C733" s="6" t="s">
        <v>1679</v>
      </c>
      <c r="D733" s="6" t="str">
        <f>IFERROR(__xludf.DUMMYFUNCTION("GOOGLETRANSLATE(B733, ""en"", ""hi"")"),"अमान्य ओटीपी")</f>
        <v>अमान्य ओटीपी</v>
      </c>
      <c r="E733" s="6" t="str">
        <f>IFERROR(__xludf.DUMMYFUNCTION("GOOGLETRANSLATE(B733, ""en"", ""kn"")"),"ಅಮಾನ್ಯವಾದ OTP")</f>
        <v>ಅಮಾನ್ಯವಾದ OTP</v>
      </c>
      <c r="F733" s="7" t="str">
        <f>IFERROR(__xludf.DUMMYFUNCTION("GOOGLETRANSLATE(B733, ""en"", ""ml"")"),"അസാധുവായ OTP")</f>
        <v>അസാധുവായ OTP</v>
      </c>
      <c r="G733" s="7" t="str">
        <f>IFERROR(__xludf.DUMMYFUNCTION("GOOGLETRANSLATE(B733, ""en"", ""te"")"),"చెల్లని OTP")</f>
        <v>చెల్లని OTP</v>
      </c>
    </row>
    <row r="734">
      <c r="A734" s="4" t="s">
        <v>1680</v>
      </c>
      <c r="B734" s="5" t="s">
        <v>1681</v>
      </c>
      <c r="C734" s="6" t="s">
        <v>1682</v>
      </c>
      <c r="D734" s="6" t="str">
        <f>IFERROR(__xludf.DUMMYFUNCTION("GOOGLETRANSLATE(B734, ""en"", ""hi"")"),"अमान्य स्टॉप")</f>
        <v>अमान्य स्टॉप</v>
      </c>
      <c r="E734" s="6" t="str">
        <f>IFERROR(__xludf.DUMMYFUNCTION("GOOGLETRANSLATE(B734, ""en"", ""kn"")"),"ಅಮಾನ್ಯವಾದ ನಿಲ್ದಾಣಗಳು")</f>
        <v>ಅಮಾನ್ಯವಾದ ನಿಲ್ದಾಣಗಳು</v>
      </c>
      <c r="F734" s="7" t="str">
        <f>IFERROR(__xludf.DUMMYFUNCTION("GOOGLETRANSLATE(B734, ""en"", ""ml"")"),"അസാധുവായ സ്റ്റോപ്പുകൾ")</f>
        <v>അസാധുവായ സ്റ്റോപ്പുകൾ</v>
      </c>
      <c r="G734" s="7" t="str">
        <f>IFERROR(__xludf.DUMMYFUNCTION("GOOGLETRANSLATE(B734, ""en"", ""te"")"),"చెల్లని స్టాప్‌లు")</f>
        <v>చెల్లని స్టాప్‌లు</v>
      </c>
    </row>
    <row r="735">
      <c r="A735" s="4" t="s">
        <v>1683</v>
      </c>
      <c r="B735" s="5" t="s">
        <v>1684</v>
      </c>
      <c r="C735" s="6" t="s">
        <v>1685</v>
      </c>
      <c r="D735" s="6" t="str">
        <f>IFERROR(__xludf.DUMMYFUNCTION("GOOGLETRANSLATE(B735, ""en"", ""hi"")"),"चालान विवरण")</f>
        <v>चालान विवरण</v>
      </c>
      <c r="E735" s="6" t="str">
        <f>IFERROR(__xludf.DUMMYFUNCTION("GOOGLETRANSLATE(B735, ""en"", ""kn"")"),"ಇನ್‌ವಾಯ್ಸ್ ವಿವರ")</f>
        <v>ಇನ್‌ವಾಯ್ಸ್ ವಿವರ</v>
      </c>
      <c r="F735" s="7" t="str">
        <f>IFERROR(__xludf.DUMMYFUNCTION("GOOGLETRANSLATE(B735, ""en"", ""ml"")"),"ഇൻവോയ്‌സ് വിശദാംശം")</f>
        <v>ഇൻവോയ്‌സ് വിശദാംശം</v>
      </c>
      <c r="G735" s="7" t="str">
        <f>IFERROR(__xludf.DUMMYFUNCTION("GOOGLETRANSLATE(B735, ""en"", ""te"")"),"ఇన్‌వాయిస్ వివరాలు")</f>
        <v>ఇన్‌వాయిస్ వివరాలు</v>
      </c>
    </row>
    <row r="736">
      <c r="A736" s="4" t="s">
        <v>1686</v>
      </c>
      <c r="B736" s="9" t="s">
        <v>1687</v>
      </c>
      <c r="C736" s="6" t="s">
        <v>1688</v>
      </c>
      <c r="D736" s="6" t="str">
        <f>IFERROR(__xludf.DUMMYFUNCTION("GOOGLETRANSLATE(B736, ""en"", ""hi"")"),"कृपया तय की गई दूरी का किराया अदा करें।")</f>
        <v>कृपया तय की गई दूरी का किराया अदा करें।</v>
      </c>
      <c r="E736" s="6" t="str">
        <f>IFERROR(__xludf.DUMMYFUNCTION("GOOGLETRANSLATE(B736, ""en"", ""kn"")"),"ದಯವಿಟ್ಟು ಪ್ರಯಾಣಿಸಿದ ದೂರಕ್ಕೆ ಶುಲ್ಕ ಪಾವತಿಸಿ.")</f>
        <v>ದಯವಿಟ್ಟು ಪ್ರಯಾಣಿಸಿದ ದೂರಕ್ಕೆ ಶುಲ್ಕ ಪಾವತಿಸಿ.</v>
      </c>
      <c r="F736" s="7" t="str">
        <f>IFERROR(__xludf.DUMMYFUNCTION("GOOGLETRANSLATE(B736, ""en"", ""ml"")"),"ദയവായി സഞ്ചരിച്ച ദൂരത്തിനുള്ള നിരക്ക് നൽകുക.")</f>
        <v>ദയവായി സഞ്ചരിച്ച ദൂരത്തിനുള്ള നിരക്ക് നൽകുക.</v>
      </c>
      <c r="G736" s="7" t="str">
        <f>IFERROR(__xludf.DUMMYFUNCTION("GOOGLETRANSLATE(B736, ""en"", ""te"")"),"దయచేసి ప్రయాణించిన దూరానికి ఛార్జీ చెల్లించండి.")</f>
        <v>దయచేసి ప్రయాణించిన దూరానికి ఛార్జీ చెల్లించండి.</v>
      </c>
    </row>
    <row r="737">
      <c r="A737" s="4" t="s">
        <v>1689</v>
      </c>
      <c r="B737" s="9" t="s">
        <v>1690</v>
      </c>
      <c r="C737" s="6" t="s">
        <v>1691</v>
      </c>
      <c r="D737" s="6" t="str">
        <f>IFERROR(__xludf.DUMMYFUNCTION("GOOGLETRANSLATE(B737, ""en"", ""hi"")"),"किमी")</f>
        <v>किमी</v>
      </c>
      <c r="E737" s="6" t="str">
        <f>IFERROR(__xludf.DUMMYFUNCTION("GOOGLETRANSLATE(B737, ""en"", ""kn"")"),"ಕಿ.ಮೀ.")</f>
        <v>ಕಿ.ಮೀ.</v>
      </c>
      <c r="F737" s="7" t="str">
        <f>IFERROR(__xludf.DUMMYFUNCTION("GOOGLETRANSLATE(B737, ""en"", ""ml"")"),"കി.മീ.")</f>
        <v>കി.മീ.</v>
      </c>
      <c r="G737" s="7" t="str">
        <f>IFERROR(__xludf.DUMMYFUNCTION("GOOGLETRANSLATE(B737, ""en"", ""te"")"),"కి.మీ.")</f>
        <v>కి.మీ.</v>
      </c>
    </row>
    <row r="738">
      <c r="A738" s="4" t="s">
        <v>1692</v>
      </c>
      <c r="B738" s="9" t="s">
        <v>1693</v>
      </c>
      <c r="C738" s="6" t="s">
        <v>1694</v>
      </c>
      <c r="D738" s="6" t="str">
        <f>IFERROR(__xludf.DUMMYFUNCTION("GOOGLETRANSLATE(B738, ""en"", ""hi"")"),"भाषा")</f>
        <v>भाषा</v>
      </c>
      <c r="E738" s="6" t="str">
        <f>IFERROR(__xludf.DUMMYFUNCTION("GOOGLETRANSLATE(B738, ""en"", ""kn"")"),"ಭಾಷೆ")</f>
        <v>ಭಾಷೆ</v>
      </c>
      <c r="F738" s="7" t="str">
        <f>IFERROR(__xludf.DUMMYFUNCTION("GOOGLETRANSLATE(B738, ""en"", ""ml"")"),"ഭാഷ")</f>
        <v>ഭാഷ</v>
      </c>
      <c r="G738" s="7" t="str">
        <f>IFERROR(__xludf.DUMMYFUNCTION("GOOGLETRANSLATE(B738, ""en"", ""te"")"),"భాష")</f>
        <v>భాష</v>
      </c>
    </row>
    <row r="739">
      <c r="A739" s="4" t="s">
        <v>1695</v>
      </c>
      <c r="B739" s="9" t="s">
        <v>1696</v>
      </c>
      <c r="C739" s="6" t="s">
        <v>1697</v>
      </c>
      <c r="D739" s="6" t="str">
        <f>IFERROR(__xludf.DUMMYFUNCTION("GOOGLETRANSLATE(B739, ""en"", ""hi"")"),"बाद में")</f>
        <v>बाद में</v>
      </c>
      <c r="E739" s="6" t="str">
        <f>IFERROR(__xludf.DUMMYFUNCTION("GOOGLETRANSLATE(B739, ""en"", ""kn"")"),"ನಂತರ")</f>
        <v>ನಂತರ</v>
      </c>
      <c r="F739" s="7" t="str">
        <f>IFERROR(__xludf.DUMMYFUNCTION("GOOGLETRANSLATE(B739, ""en"", ""ml"")"),"പിന്നീട്")</f>
        <v>പിന്നീട്</v>
      </c>
      <c r="G739" s="7" t="str">
        <f>IFERROR(__xludf.DUMMYFUNCTION("GOOGLETRANSLATE(B739, ""en"", ""te"")"),"తరువాత")</f>
        <v>తరువాత</v>
      </c>
    </row>
    <row r="740">
      <c r="A740" s="4" t="s">
        <v>1698</v>
      </c>
      <c r="B740" s="9" t="s">
        <v>1699</v>
      </c>
      <c r="C740" s="6" t="s">
        <v>1700</v>
      </c>
      <c r="D740" s="6" t="str">
        <f>IFERROR(__xludf.DUMMYFUNCTION("GOOGLETRANSLATE(B740, ""en"", ""hi"")"),"कानूनी")</f>
        <v>कानूनी</v>
      </c>
      <c r="E740" s="6" t="str">
        <f>IFERROR(__xludf.DUMMYFUNCTION("GOOGLETRANSLATE(B740, ""en"", ""kn"")"),"ಕಾನೂನುಬದ್ಧ")</f>
        <v>ಕಾನೂನುಬದ್ಧ</v>
      </c>
      <c r="F740" s="7" t="str">
        <f>IFERROR(__xludf.DUMMYFUNCTION("GOOGLETRANSLATE(B740, ""en"", ""ml"")"),"നിയമപരമായ")</f>
        <v>നിയമപരമായ</v>
      </c>
      <c r="G740" s="7" t="str">
        <f>IFERROR(__xludf.DUMMYFUNCTION("GOOGLETRANSLATE(B740, ""en"", ""te"")"),"చట్టపరమైన")</f>
        <v>చట్టపరమైన</v>
      </c>
    </row>
    <row r="741">
      <c r="A741" s="4" t="s">
        <v>1701</v>
      </c>
      <c r="B741" s="9" t="s">
        <v>1702</v>
      </c>
      <c r="C741" s="6" t="s">
        <v>1703</v>
      </c>
      <c r="D741" s="6" t="str">
        <f>IFERROR(__xludf.DUMMYFUNCTION("GOOGLETRANSLATE(B741, ""en"", ""hi"")"),"लोड हो रहा है...")</f>
        <v>लोड हो रहा है...</v>
      </c>
      <c r="E741" s="6" t="str">
        <f>IFERROR(__xludf.DUMMYFUNCTION("GOOGLETRANSLATE(B741, ""en"", ""kn"")"),"ಲೋಡ್ ಆಗುತ್ತಿದೆ...")</f>
        <v>ಲೋಡ್ ಆಗುತ್ತಿದೆ...</v>
      </c>
      <c r="F741" s="7" t="str">
        <f>IFERROR(__xludf.DUMMYFUNCTION("GOOGLETRANSLATE(B741, ""en"", ""ml"")"),"ലോഡ് ചെയ്യുന്നു...")</f>
        <v>ലോഡ് ചെയ്യുന്നു...</v>
      </c>
      <c r="G741" s="7" t="str">
        <f>IFERROR(__xludf.DUMMYFUNCTION("GOOGLETRANSLATE(B741, ""en"", ""te"")"),"లోడ్ అవుతోంది...")</f>
        <v>లోడ్ అవుతోంది...</v>
      </c>
    </row>
    <row r="742">
      <c r="A742" s="4" t="s">
        <v>1704</v>
      </c>
      <c r="B742" s="9" t="s">
        <v>1705</v>
      </c>
      <c r="C742" s="6" t="s">
        <v>1706</v>
      </c>
      <c r="D742" s="6" t="str">
        <f>IFERROR(__xludf.DUMMYFUNCTION("GOOGLETRANSLATE(B742, ""en"", ""hi"")"),"मार्क ड्रॉप स्थान")</f>
        <v>मार्क ड्रॉप स्थान</v>
      </c>
      <c r="E742" s="6" t="str">
        <f>IFERROR(__xludf.DUMMYFUNCTION("GOOGLETRANSLATE(B742, ""en"", ""kn"")"),"ಡ್ರಾಪ್ ಸ್ಥಳವನ್ನು ಗುರುತಿಸಿ")</f>
        <v>ಡ್ರಾಪ್ ಸ್ಥಳವನ್ನು ಗುರುತಿಸಿ</v>
      </c>
      <c r="F742" s="7" t="str">
        <f>IFERROR(__xludf.DUMMYFUNCTION("GOOGLETRANSLATE(B742, ""en"", ""ml"")"),"ഡ്രോപ്പ് ലൊക്കേഷൻ അടയാളപ്പെടുത്തുക")</f>
        <v>ഡ്രോപ്പ് ലൊക്കേഷൻ അടയാളപ്പെടുത്തുക</v>
      </c>
      <c r="G742" s="7" t="str">
        <f>IFERROR(__xludf.DUMMYFUNCTION("GOOGLETRANSLATE(B742, ""en"", ""te"")"),"డ్రాప్ లొకేషన్‌ను గుర్తించండి")</f>
        <v>డ్రాప్ లొకేషన్‌ను గుర్తించండి</v>
      </c>
    </row>
    <row r="743">
      <c r="A743" s="4" t="s">
        <v>1707</v>
      </c>
      <c r="B743" s="9" t="s">
        <v>1708</v>
      </c>
      <c r="C743" s="6" t="s">
        <v>1709</v>
      </c>
      <c r="D743" s="6" t="str">
        <f>IFERROR(__xludf.DUMMYFUNCTION("GOOGLETRANSLATE(B743, ""en"", ""hi"")"),"मानचित्र पर स्थान निर्धारित करें")</f>
        <v>मानचित्र पर स्थान निर्धारित करें</v>
      </c>
      <c r="E743" s="6" t="str">
        <f>IFERROR(__xludf.DUMMYFUNCTION("GOOGLETRANSLATE(B743, ""en"", ""kn"")"),"ನಕ್ಷೆಯಲ್ಲಿ ಪತ್ತೆ ಮಾಡಿ")</f>
        <v>ನಕ್ಷೆಯಲ್ಲಿ ಪತ್ತೆ ಮಾಡಿ</v>
      </c>
      <c r="F743" s="7" t="str">
        <f>IFERROR(__xludf.DUMMYFUNCTION("GOOGLETRANSLATE(B743, ""en"", ""ml"")"),"മാപ്പിൽ കണ്ടെത്തുക")</f>
        <v>മാപ്പിൽ കണ്ടെത്തുക</v>
      </c>
      <c r="G743" s="7" t="str">
        <f>IFERROR(__xludf.DUMMYFUNCTION("GOOGLETRANSLATE(B743, ""en"", ""te"")"),"మ్యాప్‌లో గుర్తించండి")</f>
        <v>మ్యాప్‌లో గుర్తించండి</v>
      </c>
    </row>
    <row r="744">
      <c r="A744" s="4" t="s">
        <v>1710</v>
      </c>
      <c r="B744" s="9" t="s">
        <v>1711</v>
      </c>
      <c r="C744" s="6" t="s">
        <v>1712</v>
      </c>
      <c r="D744" s="6" t="str">
        <f>IFERROR(__xludf.DUMMYFUNCTION("GOOGLETRANSLATE(B744, ""en"", ""hi"")"),"पिकअप स्थान चिह्नित करें")</f>
        <v>पिकअप स्थान चिह्नित करें</v>
      </c>
      <c r="E744" s="6" t="str">
        <f>IFERROR(__xludf.DUMMYFUNCTION("GOOGLETRANSLATE(B744, ""en"", ""kn"")"),"ಪಿಕಪ್ ಸ್ಥಳವನ್ನು ಗುರುತಿಸಿ")</f>
        <v>ಪಿಕಪ್ ಸ್ಥಳವನ್ನು ಗುರುತಿಸಿ</v>
      </c>
      <c r="F744" s="7" t="str">
        <f>IFERROR(__xludf.DUMMYFUNCTION("GOOGLETRANSLATE(B744, ""en"", ""ml"")"),"പിക്കപ്പ് ലൊക്കേഷൻ അടയാളപ്പെടുത്തുക")</f>
        <v>പിക്കപ്പ് ലൊക്കേഷൻ അടയാളപ്പെടുത്തുക</v>
      </c>
      <c r="G744" s="7" t="str">
        <f>IFERROR(__xludf.DUMMYFUNCTION("GOOGLETRANSLATE(B744, ""en"", ""te"")"),"పికప్ స్థానాన్ని గుర్తించండి")</f>
        <v>పికప్ స్థానాన్ని గుర్తించండి</v>
      </c>
    </row>
    <row r="745">
      <c r="A745" s="4" t="s">
        <v>1713</v>
      </c>
      <c r="B745" s="9" t="s">
        <v>1714</v>
      </c>
      <c r="C745" s="6" t="s">
        <v>1715</v>
      </c>
      <c r="D745" s="6" t="str">
        <f>IFERROR(__xludf.DUMMYFUNCTION("GOOGLETRANSLATE(B745, ""en"", ""hi"")"),"सहेजने के लिए स्थान चिह्नित करें")</f>
        <v>सहेजने के लिए स्थान चिह्नित करें</v>
      </c>
      <c r="E745" s="6" t="str">
        <f>IFERROR(__xludf.DUMMYFUNCTION("GOOGLETRANSLATE(B745, ""en"", ""kn"")"),"ಉಳಿಸಲು ಸ್ಥಳವನ್ನು ಗುರುತಿಸಿ")</f>
        <v>ಉಳಿಸಲು ಸ್ಥಳವನ್ನು ಗುರುತಿಸಿ</v>
      </c>
      <c r="F745" s="7" t="str">
        <f>IFERROR(__xludf.DUMMYFUNCTION("GOOGLETRANSLATE(B745, ""en"", ""ml"")"),"സംരക്ഷിക്കേണ്ട സ്ഥലം അടയാളപ്പെടുത്തുക")</f>
        <v>സംരക്ഷിക്കേണ്ട സ്ഥലം അടയാളപ്പെടുത്തുക</v>
      </c>
      <c r="G745" s="7" t="str">
        <f>IFERROR(__xludf.DUMMYFUNCTION("GOOGLETRANSLATE(B745, ""en"", ""te"")"),"సేవ్ చేయడానికి స్థలాన్ని గుర్తించండి")</f>
        <v>సేవ్ చేయడానికి స్థలాన్ని గుర్తించండి</v>
      </c>
    </row>
    <row r="746">
      <c r="A746" s="4" t="s">
        <v>1716</v>
      </c>
      <c r="B746" s="9" t="s">
        <v>1717</v>
      </c>
      <c r="C746" s="6" t="s">
        <v>1718</v>
      </c>
      <c r="D746" s="6" t="str">
        <f>IFERROR(__xludf.DUMMYFUNCTION("GOOGLETRANSLATE(B746, ""en"", ""hi"")"),"मार्क स्टॉप {स्टॉप}")</f>
        <v>मार्क स्टॉप {स्टॉप}</v>
      </c>
      <c r="E746" s="6" t="str">
        <f>IFERROR(__xludf.DUMMYFUNCTION("GOOGLETRANSLATE(B746, ""en"", ""kn"")"),"ನಿಲ್ಲಿಸಿ {ನಿಲ್ಲಿಸು} ಎಂದು ಗುರುತಿಸಿ")</f>
        <v>ನಿಲ್ಲಿಸಿ {ನಿಲ್ಲಿಸು} ಎಂದು ಗುರುತಿಸಿ</v>
      </c>
      <c r="F746" s="7" t="str">
        <f>IFERROR(__xludf.DUMMYFUNCTION("GOOGLETRANSLATE(B746, ""en"", ""ml"")"),"നിർത്തുക {നിർത്തുക} എന്ന് അടയാളപ്പെടുത്തുക")</f>
        <v>നിർത്തുക {നിർത്തുക} എന്ന് അടയാളപ്പെടുത്തുക</v>
      </c>
      <c r="G746" s="7" t="str">
        <f>IFERROR(__xludf.DUMMYFUNCTION("GOOGLETRANSLATE(B746, ""en"", ""te"")"),"ఆపు {ఆపు} అని మార్క్ చేయండి")</f>
        <v>ఆపు {ఆపు} అని మార్క్ చేయండి</v>
      </c>
    </row>
    <row r="747">
      <c r="A747" s="4" t="s">
        <v>1719</v>
      </c>
      <c r="B747" s="9" t="s">
        <v>1720</v>
      </c>
      <c r="C747" s="6" t="s">
        <v>1721</v>
      </c>
      <c r="D747" s="6" t="str">
        <f>IFERROR(__xludf.DUMMYFUNCTION("GOOGLETRANSLATE(B747, ""en"", ""hi"")"),"चुना गया स्थान पिकअप क्षेत्र से बाहर है। कृपया निर्धारित दायरे के भीतर ही स्थान चुनें।")</f>
        <v>चुना गया स्थान पिकअप क्षेत्र से बाहर है। कृपया निर्धारित दायरे के भीतर ही स्थान चुनें।</v>
      </c>
      <c r="E747" s="6" t="str">
        <f>IFERROR(__xludf.DUMMYFUNCTION("GOOGLETRANSLATE(B747, ""en"", ""kn"")"),"ಆಯ್ಕೆ ಮಾಡಿದ ಸ್ಥಳವು ಪಿಕಪ್ ಪ್ರದೇಶದ ಹೊರಗೆ ಇದೆ. ದಯವಿಟ್ಟು ಅನುಮತಿಸಲಾದ ವ್ಯಾಪ್ತಿಯೊಳಗೆ ಆಯ್ಕೆಮಾಡಿ.")</f>
        <v>ಆಯ್ಕೆ ಮಾಡಿದ ಸ್ಥಳವು ಪಿಕಪ್ ಪ್ರದೇಶದ ಹೊರಗೆ ಇದೆ. ದಯವಿಟ್ಟು ಅನುಮತಿಸಲಾದ ವ್ಯಾಪ್ತಿಯೊಳಗೆ ಆಯ್ಕೆಮಾಡಿ.</v>
      </c>
      <c r="F747" s="7" t="str">
        <f>IFERROR(__xludf.DUMMYFUNCTION("GOOGLETRANSLATE(B747, ""en"", ""ml"")"),"തിരഞ്ഞെടുത്ത സ്ഥലം പിക്കപ്പ് ഏരിയയ്ക്ക് പുറത്താണ്. അനുവദനീയമായ പരിധിക്കുള്ളിൽ തിരഞ്ഞെടുക്കുക.")</f>
        <v>തിരഞ്ഞെടുത്ത സ്ഥലം പിക്കപ്പ് ഏരിയയ്ക്ക് പുറത്താണ്. അനുവദനീയമായ പരിധിക്കുള്ളിൽ തിരഞ്ഞെടുക്കുക.</v>
      </c>
      <c r="G747" s="7" t="str">
        <f>IFERROR(__xludf.DUMMYFUNCTION("GOOGLETRANSLATE(B747, ""en"", ""te"")"),"ఎంచుకున్న స్థానం పికప్ ప్రాంతం వెలుపల ఉంది. దయచేసి అనుమతించబడిన వ్యాసార్థంలో ఎంచుకోండి.")</f>
        <v>ఎంచుకున్న స్థానం పికప్ ప్రాంతం వెలుపల ఉంది. దయచేసి అనుమతించబడిన వ్యాసార్థంలో ఎంచుకోండి.</v>
      </c>
    </row>
    <row r="748">
      <c r="A748" s="4" t="s">
        <v>1722</v>
      </c>
      <c r="B748" s="9" t="s">
        <v>1723</v>
      </c>
      <c r="C748" s="6" t="s">
        <v>1724</v>
      </c>
      <c r="D748" s="6" t="str">
        <f>IFERROR(__xludf.DUMMYFUNCTION("GOOGLETRANSLATE(B748, ""en"", ""hi"")"),"स्थान अनुमत दायरे से बाहर है")</f>
        <v>स्थान अनुमत दायरे से बाहर है</v>
      </c>
      <c r="E748" s="6" t="str">
        <f>IFERROR(__xludf.DUMMYFUNCTION("GOOGLETRANSLATE(B748, ""en"", ""kn"")"),"ಅನುಮತಿಸಲಾದ ತ್ರಿಜ್ಯದ ಹೊರಗಿನ ಸ್ಥಳ")</f>
        <v>ಅನುಮತಿಸಲಾದ ತ್ರಿಜ್ಯದ ಹೊರಗಿನ ಸ್ಥಳ</v>
      </c>
      <c r="F748" s="7" t="str">
        <f>IFERROR(__xludf.DUMMYFUNCTION("GOOGLETRANSLATE(B748, ""en"", ""ml"")"),"അനുവദനീയമായ പരിധിക്ക് പുറത്തുള്ള സ്ഥലം")</f>
        <v>അനുവദനീയമായ പരിധിക്ക് പുറത്തുള്ള സ്ഥലം</v>
      </c>
      <c r="G748" s="7" t="str">
        <f>IFERROR(__xludf.DUMMYFUNCTION("GOOGLETRANSLATE(B748, ""en"", ""te"")"),"అనుమతించబడిన వ్యాసార్థం వెలుపల స్థానం")</f>
        <v>అనుమతించబడిన వ్యాసార్థం వెలుపల స్థానం</v>
      </c>
    </row>
    <row r="749">
      <c r="A749" s="4" t="s">
        <v>1725</v>
      </c>
      <c r="B749" s="9" t="s">
        <v>1726</v>
      </c>
      <c r="C749" s="6" t="s">
        <v>1727</v>
      </c>
      <c r="D749" s="6" t="str">
        <f>IFERROR(__xludf.DUMMYFUNCTION("GOOGLETRANSLATE(B749, ""en"", ""hi"")"),"स्थान की अनुमति आवश्यक है")</f>
        <v>स्थान की अनुमति आवश्यक है</v>
      </c>
      <c r="E749" s="6" t="str">
        <f>IFERROR(__xludf.DUMMYFUNCTION("GOOGLETRANSLATE(B749, ""en"", ""kn"")"),"ಸ್ಥಳ ಅನುಮತಿ ಅಗತ್ಯವಿದೆ")</f>
        <v>ಸ್ಥಳ ಅನುಮತಿ ಅಗತ್ಯವಿದೆ</v>
      </c>
      <c r="F749" s="7" t="str">
        <f>IFERROR(__xludf.DUMMYFUNCTION("GOOGLETRANSLATE(B749, ""en"", ""ml"")"),"ലൊക്കേഷൻ അനുമതി ആവശ്യമാണ്")</f>
        <v>ലൊക്കേഷൻ അനുമതി ആവശ്യമാണ്</v>
      </c>
      <c r="G749" s="7" t="str">
        <f>IFERROR(__xludf.DUMMYFUNCTION("GOOGLETRANSLATE(B749, ""en"", ""te"")"),"స్థాన అనుమతి అవసరం")</f>
        <v>స్థాన అనుమతి అవసరం</v>
      </c>
    </row>
    <row r="750">
      <c r="A750" s="4" t="s">
        <v>1728</v>
      </c>
      <c r="B750" s="9" t="s">
        <v>1729</v>
      </c>
      <c r="C750" s="6" t="s">
        <v>1730</v>
      </c>
      <c r="D750" s="6" t="str">
        <f>IFERROR(__xludf.DUMMYFUNCTION("GOOGLETRANSLATE(B750, ""en"", ""hi"")"),"स्थान सेवाएँ अक्षम हैं")</f>
        <v>स्थान सेवाएँ अक्षम हैं</v>
      </c>
      <c r="E750" s="6" t="str">
        <f>IFERROR(__xludf.DUMMYFUNCTION("GOOGLETRANSLATE(B750, ""en"", ""kn"")"),"ಸ್ಥಳ ಸೇವೆಗಳನ್ನು ನಿಷ್ಕ್ರಿಯಗೊಳಿಸಲಾಗಿದೆ")</f>
        <v>ಸ್ಥಳ ಸೇವೆಗಳನ್ನು ನಿಷ್ಕ್ರಿಯಗೊಳಿಸಲಾಗಿದೆ</v>
      </c>
      <c r="F750" s="7" t="str">
        <f>IFERROR(__xludf.DUMMYFUNCTION("GOOGLETRANSLATE(B750, ""en"", ""ml"")"),"ലൊക്കേഷൻ സേവനങ്ങൾ പ്രവർത്തനരഹിതമാക്കി")</f>
        <v>ലൊക്കേഷൻ സേവനങ്ങൾ പ്രവർത്തനരഹിതമാക്കി</v>
      </c>
      <c r="G750" s="7" t="str">
        <f>IFERROR(__xludf.DUMMYFUNCTION("GOOGLETRANSLATE(B750, ""en"", ""te"")"),"స్థాన సేవలు నిలిపివేయబడ్డాయి")</f>
        <v>స్థాన సేవలు నిలిపివేయబడ్డాయి</v>
      </c>
    </row>
    <row r="751">
      <c r="A751" s="4" t="s">
        <v>1731</v>
      </c>
      <c r="B751" s="9" t="s">
        <v>1732</v>
      </c>
      <c r="C751" s="6" t="s">
        <v>1733</v>
      </c>
      <c r="D751" s="6" t="str">
        <f>IFERROR(__xludf.DUMMYFUNCTION("GOOGLETRANSLATE(B751, ""en"", ""hi"")"),"आपको {त्रिज्या} किलोमीटर के दायरे में एक स्थान का चयन करना होगा।")</f>
        <v>आपको {त्रिज्या} किलोमीटर के दायरे में एक स्थान का चयन करना होगा।</v>
      </c>
      <c r="E751" s="6" t="str">
        <f>IFERROR(__xludf.DUMMYFUNCTION("GOOGLETRANSLATE(B751, ""en"", ""kn"")"),"ನೀವು {ತ್ರಿಜ್ಯ} ಕಿಮೀ ವ್ಯಾಪ್ತಿಯೊಳಗಿನ ಸ್ಥಳವನ್ನು ಆಯ್ಕೆ ಮಾಡಬೇಕು.")</f>
        <v>ನೀವು {ತ್ರಿಜ್ಯ} ಕಿಮೀ ವ್ಯಾಪ್ತಿಯೊಳಗಿನ ಸ್ಥಳವನ್ನು ಆಯ್ಕೆ ಮಾಡಬೇಕು.</v>
      </c>
      <c r="F751" s="7" t="str">
        <f>IFERROR(__xludf.DUMMYFUNCTION("GOOGLETRANSLATE(B751, ""en"", ""ml"")"),"നിങ്ങൾ {radius} കിലോമീറ്റർ ചുറ്റളവിൽ ഒരു സ്ഥലം തിരഞ്ഞെടുക്കണം.")</f>
        <v>നിങ്ങൾ {radius} കിലോമീറ്റർ ചുറ്റളവിൽ ഒരു സ്ഥലം തിരഞ്ഞെടുക്കണം.</v>
      </c>
      <c r="G751" s="7" t="str">
        <f>IFERROR(__xludf.DUMMYFUNCTION("GOOGLETRANSLATE(B751, ""en"", ""te"")"),"మీరు {radius} కిమీ వ్యాసార్థంలోపు స్థానాన్ని ఎంచుకోవాలి.")</f>
        <v>మీరు {radius} కిమీ వ్యాసార్థంలోపు స్థానాన్ని ఎంచుకోవాలి.</v>
      </c>
    </row>
    <row r="752">
      <c r="A752" s="4" t="s">
        <v>1734</v>
      </c>
      <c r="B752" s="9" t="s">
        <v>1735</v>
      </c>
      <c r="C752" s="6" t="s">
        <v>1736</v>
      </c>
      <c r="D752" s="6" t="str">
        <f>IFERROR(__xludf.DUMMYFUNCTION("GOOGLETRANSLATE(B752, ""en"", ""hi"")"),"लॉगिन विफल")</f>
        <v>लॉगिन विफल</v>
      </c>
      <c r="E752" s="6" t="str">
        <f>IFERROR(__xludf.DUMMYFUNCTION("GOOGLETRANSLATE(B752, ""en"", ""kn"")"),"ಲಾಗಿನ್ ವಿಫಲವಾಗಿದೆ")</f>
        <v>ಲಾಗಿನ್ ವಿಫಲವಾಗಿದೆ</v>
      </c>
      <c r="F752" s="7" t="str">
        <f>IFERROR(__xludf.DUMMYFUNCTION("GOOGLETRANSLATE(B752, ""en"", ""ml"")"),"ലോഗിൻ ചെയ്യുന്നത് പരാജയപ്പെട്ടു")</f>
        <v>ലോഗിൻ ചെയ്യുന്നത് പരാജയപ്പെട്ടു</v>
      </c>
      <c r="G752" s="7" t="str">
        <f>IFERROR(__xludf.DUMMYFUNCTION("GOOGLETRANSLATE(B752, ""en"", ""te"")"),"లాగిన్ విఫలమైంది")</f>
        <v>లాగిన్ విఫలమైంది</v>
      </c>
    </row>
    <row r="753">
      <c r="A753" s="4" t="s">
        <v>1737</v>
      </c>
      <c r="B753" s="9" t="s">
        <v>1738</v>
      </c>
      <c r="C753" s="6" t="s">
        <v>1739</v>
      </c>
      <c r="D753" s="6" t="str">
        <f>IFERROR(__xludf.DUMMYFUNCTION("GOOGLETRANSLATE(B753, ""en"", ""hi"")"),"ऑनलाइन भुगतान करने में विफल रहा।")</f>
        <v>ऑनलाइन भुगतान करने में विफल रहा।</v>
      </c>
      <c r="E753" s="6" t="str">
        <f>IFERROR(__xludf.DUMMYFUNCTION("GOOGLETRANSLATE(B753, ""en"", ""kn"")"),"ಆನ್‌ಲೈನ್ ಪಾವತಿ ಮಾಡಲು ವಿಫಲವಾಗಿದೆ.")</f>
        <v>ಆನ್‌ಲೈನ್ ಪಾವತಿ ಮಾಡಲು ವಿಫಲವಾಗಿದೆ.</v>
      </c>
      <c r="F753" s="7" t="str">
        <f>IFERROR(__xludf.DUMMYFUNCTION("GOOGLETRANSLATE(B753, ""en"", ""ml"")"),"ഓൺലൈൻ പേയ്‌മെന്റ് നടത്താനായില്ല.")</f>
        <v>ഓൺലൈൻ പേയ്‌മെന്റ് നടത്താനായില്ല.</v>
      </c>
      <c r="G753" s="7" t="str">
        <f>IFERROR(__xludf.DUMMYFUNCTION("GOOGLETRANSLATE(B753, ""en"", ""te"")"),"ఆన్‌లైన్ చెల్లింపు చేయడంలో విఫలమైంది.")</f>
        <v>ఆన్‌లైన్ చెల్లింపు చేయడంలో విఫలమైంది.</v>
      </c>
    </row>
    <row r="754">
      <c r="A754" s="4" t="s">
        <v>1740</v>
      </c>
      <c r="B754" s="9" t="s">
        <v>1741</v>
      </c>
      <c r="C754" s="6" t="s">
        <v>1742</v>
      </c>
      <c r="D754" s="6" t="str">
        <f>IFERROR(__xludf.DUMMYFUNCTION("GOOGLETRANSLATE(B754, ""en"", ""hi"")"),"पुरुष")</f>
        <v>पुरुष</v>
      </c>
      <c r="E754" s="6" t="str">
        <f>IFERROR(__xludf.DUMMYFUNCTION("GOOGLETRANSLATE(B754, ""en"", ""kn"")"),"ಗಂಡು")</f>
        <v>ಗಂಡು</v>
      </c>
      <c r="F754" s="7" t="str">
        <f>IFERROR(__xludf.DUMMYFUNCTION("GOOGLETRANSLATE(B754, ""en"", ""ml"")"),"ആൺ")</f>
        <v>ആൺ</v>
      </c>
      <c r="G754" s="7" t="str">
        <f>IFERROR(__xludf.DUMMYFUNCTION("GOOGLETRANSLATE(B754, ""en"", ""te"")"),"పురుషుడు")</f>
        <v>పురుషుడు</v>
      </c>
    </row>
    <row r="755">
      <c r="A755" s="4" t="s">
        <v>1743</v>
      </c>
      <c r="B755" s="9" t="s">
        <v>1744</v>
      </c>
      <c r="C755" s="6" t="s">
        <v>1745</v>
      </c>
      <c r="D755" s="6" t="str">
        <f>IFERROR(__xludf.DUMMYFUNCTION("GOOGLETRANSLATE(B755, ""en"", ""hi"")"),"चयनित वाहन अपनी अधिकतम दूरी सीमा से अधिक है। कृपया कोई दूसरा वाहन चुनें या यात्रा की दूरी कम करें।")</f>
        <v>चयनित वाहन अपनी अधिकतम दूरी सीमा से अधिक है। कृपया कोई दूसरा वाहन चुनें या यात्रा की दूरी कम करें।</v>
      </c>
      <c r="E755" s="6" t="str">
        <f>IFERROR(__xludf.DUMMYFUNCTION("GOOGLETRANSLATE(B755, ""en"", ""kn"")"),"ಆಯ್ಕೆಮಾಡಿದ ವಾಹನವು ಅದರ ಗರಿಷ್ಠ ದೂರ ಮಿತಿಯನ್ನು ಮೀರಿದೆ. ದಯವಿಟ್ಟು ಬೇರೆ ವಾಹನವನ್ನು ಆಯ್ಕೆಮಾಡಿ ಅಥವಾ ಪ್ರಯಾಣದ ದೂರವನ್ನು ಕಡಿಮೆ ಮಾಡಿ.")</f>
        <v>ಆಯ್ಕೆಮಾಡಿದ ವಾಹನವು ಅದರ ಗರಿಷ್ಠ ದೂರ ಮಿತಿಯನ್ನು ಮೀರಿದೆ. ದಯವಿಟ್ಟು ಬೇರೆ ವಾಹನವನ್ನು ಆಯ್ಕೆಮಾಡಿ ಅಥವಾ ಪ್ರಯಾಣದ ದೂರವನ್ನು ಕಡಿಮೆ ಮಾಡಿ.</v>
      </c>
      <c r="F755" s="7" t="str">
        <f>IFERROR(__xludf.DUMMYFUNCTION("GOOGLETRANSLATE(B755, ""en"", ""ml"")"),"തിരഞ്ഞെടുത്ത വാഹനം പരമാവധി ദൂര പരിധി കവിയുന്നു. ദയവായി മറ്റൊരു വാഹനം തിരഞ്ഞെടുക്കുകയോ യാത്രാ ദൂരം കുറയ്ക്കുകയോ ചെയ്യുക.")</f>
        <v>തിരഞ്ഞെടുത്ത വാഹനം പരമാവധി ദൂര പരിധി കവിയുന്നു. ദയവായി മറ്റൊരു വാഹനം തിരഞ്ഞെടുക്കുകയോ യാത്രാ ദൂരം കുറയ്ക്കുകയോ ചെയ്യുക.</v>
      </c>
      <c r="G755" s="7" t="str">
        <f>IFERROR(__xludf.DUMMYFUNCTION("GOOGLETRANSLATE(B755, ""en"", ""te"")"),"ఎంచుకున్న వాహనం దాని గరిష్ట దూర పరిమితిని మించిపోయింది. దయచేసి వేరే వాహనాన్ని ఎంచుకోండి లేదా ప్రయాణ దూరాన్ని తగ్గించండి.")</f>
        <v>ఎంచుకున్న వాహనం దాని గరిష్ట దూర పరిమితిని మించిపోయింది. దయచేసి వేరే వాహనాన్ని ఎంచుకోండి లేదా ప్రయాణ దూరాన్ని తగ్గించండి.</v>
      </c>
    </row>
    <row r="756">
      <c r="A756" s="4" t="s">
        <v>1746</v>
      </c>
      <c r="B756" s="9" t="s">
        <v>1746</v>
      </c>
      <c r="C756" s="6" t="s">
        <v>1747</v>
      </c>
      <c r="D756" s="6" t="str">
        <f>IFERROR(__xludf.DUMMYFUNCTION("GOOGLETRANSLATE(B756, ""en"", ""hi"")"),"मिन")</f>
        <v>मिन</v>
      </c>
      <c r="E756" s="6" t="str">
        <f>IFERROR(__xludf.DUMMYFUNCTION("GOOGLETRANSLATE(B756, ""en"", ""kn"")"),"ನಿಮಿಷ")</f>
        <v>ನಿಮಿಷ</v>
      </c>
      <c r="F756" s="7" t="str">
        <f>IFERROR(__xludf.DUMMYFUNCTION("GOOGLETRANSLATE(B756, ""en"", ""ml"")"),"മിനിറ്റ്")</f>
        <v>മിനിറ്റ്</v>
      </c>
      <c r="G756" s="7" t="str">
        <f>IFERROR(__xludf.DUMMYFUNCTION("GOOGLETRANSLATE(B756, ""en"", ""te"")"),"నిమి")</f>
        <v>నిమి</v>
      </c>
    </row>
    <row r="757">
      <c r="A757" s="4" t="s">
        <v>1748</v>
      </c>
      <c r="B757" s="9" t="s">
        <v>1749</v>
      </c>
      <c r="C757" s="6" t="s">
        <v>1750</v>
      </c>
      <c r="D757" s="6" t="str">
        <f>IFERROR(__xludf.DUMMYFUNCTION("GOOGLETRANSLATE(B757, ""en"", ""hi"")"),"न्यूनतम प्रतीक्षा समय {defaultwaitingTime} मिनट है")</f>
        <v>न्यूनतम प्रतीक्षा समय {defaultwaitingTime} मिनट है</v>
      </c>
      <c r="E757" s="6" t="str">
        <f>IFERROR(__xludf.DUMMYFUNCTION("GOOGLETRANSLATE(B757, ""en"", ""kn"")"),"ಕನಿಷ್ಠ ಕಾಯುವ ಸಮಯ {defaultwaitingTime} ನಿಮಿಷಗಳು")</f>
        <v>ಕನಿಷ್ಠ ಕಾಯುವ ಸಮಯ {defaultwaitingTime} ನಿಮಿಷಗಳು</v>
      </c>
      <c r="F757" s="7" t="str">
        <f>IFERROR(__xludf.DUMMYFUNCTION("GOOGLETRANSLATE(B757, ""en"", ""ml"")"),"കുറഞ്ഞ കാത്തിരിപ്പ് സമയം {defaultwaitingTime} മിനിറ്റാണ്")</f>
        <v>കുറഞ്ഞ കാത്തിരിപ്പ് സമയം {defaultwaitingTime} മിനിറ്റാണ്</v>
      </c>
      <c r="G757" s="7" t="str">
        <f>IFERROR(__xludf.DUMMYFUNCTION("GOOGLETRANSLATE(B757, ""en"", ""te"")"),"కనీస నిరీక్షణ సమయం {defaultwaitingTime} నిమిషాలు")</f>
        <v>కనీస నిరీక్షణ సమయం {defaultwaitingTime} నిమిషాలు</v>
      </c>
    </row>
    <row r="758">
      <c r="A758" s="4" t="s">
        <v>1751</v>
      </c>
      <c r="B758" s="9" t="s">
        <v>1752</v>
      </c>
      <c r="C758" s="6" t="s">
        <v>1747</v>
      </c>
      <c r="D758" s="6" t="str">
        <f>IFERROR(__xludf.DUMMYFUNCTION("GOOGLETRANSLATE(B758, ""en"", ""hi"")"),"मिनट")</f>
        <v>मिनट</v>
      </c>
      <c r="E758" s="6" t="str">
        <f>IFERROR(__xludf.DUMMYFUNCTION("GOOGLETRANSLATE(B758, ""en"", ""kn"")"),"ನಿಮಿಷಗಳು")</f>
        <v>ನಿಮಿಷಗಳು</v>
      </c>
      <c r="F758" s="7" t="str">
        <f>IFERROR(__xludf.DUMMYFUNCTION("GOOGLETRANSLATE(B758, ""en"", ""ml"")"),"മിനിറ്റ്")</f>
        <v>മിനിറ്റ്</v>
      </c>
      <c r="G758" s="7" t="str">
        <f>IFERROR(__xludf.DUMMYFUNCTION("GOOGLETRANSLATE(B758, ""en"", ""te"")"),"నిమిషాలు")</f>
        <v>నిమిషాలు</v>
      </c>
    </row>
    <row r="759">
      <c r="A759" s="4" t="s">
        <v>1753</v>
      </c>
      <c r="B759" s="9" t="s">
        <v>1754</v>
      </c>
      <c r="C759" s="6" t="s">
        <v>1755</v>
      </c>
      <c r="D759" s="6" t="str">
        <f>IFERROR(__xludf.DUMMYFUNCTION("GOOGLETRANSLATE(B759, ""en"", ""hi"")"),"अधिक जानकारी")</f>
        <v>अधिक जानकारी</v>
      </c>
      <c r="E759" s="6" t="str">
        <f>IFERROR(__xludf.DUMMYFUNCTION("GOOGLETRANSLATE(B759, ""en"", ""kn"")"),"ಹೆಚ್ಚಿನ ವಿವರಗಳು")</f>
        <v>ಹೆಚ್ಚಿನ ವಿವರಗಳು</v>
      </c>
      <c r="F759" s="7" t="str">
        <f>IFERROR(__xludf.DUMMYFUNCTION("GOOGLETRANSLATE(B759, ""en"", ""ml"")"),"കൂടുതൽ വിശദാംശങ്ങൾ")</f>
        <v>കൂടുതൽ വിശദാംശങ്ങൾ</v>
      </c>
      <c r="G759" s="7" t="str">
        <f>IFERROR(__xludf.DUMMYFUNCTION("GOOGLETRANSLATE(B759, ""en"", ""te"")"),"మరిన్ని వివరాలు")</f>
        <v>మరిన్ని వివరాలు</v>
      </c>
    </row>
    <row r="760">
      <c r="A760" s="4" t="s">
        <v>1756</v>
      </c>
      <c r="B760" s="9" t="s">
        <v>1757</v>
      </c>
      <c r="C760" s="6" t="s">
        <v>1758</v>
      </c>
      <c r="D760" s="6" t="str">
        <f>IFERROR(__xludf.DUMMYFUNCTION("GOOGLETRANSLATE(B760, ""en"", ""hi"")"),"मानचित्र पर स्थान चिह्नित करने के लिए मानचित्र को हिलाएं")</f>
        <v>मानचित्र पर स्थान चिह्नित करने के लिए मानचित्र को हिलाएं</v>
      </c>
      <c r="E760" s="6" t="str">
        <f>IFERROR(__xludf.DUMMYFUNCTION("GOOGLETRANSLATE(B760, ""en"", ""kn"")"),"ನಕ್ಷೆಯಲ್ಲಿ ಸ್ಥಳವನ್ನು ಗುರುತಿಸಲು ನಕ್ಷೆಯನ್ನು ಸರಿಸಿ.")</f>
        <v>ನಕ್ಷೆಯಲ್ಲಿ ಸ್ಥಳವನ್ನು ಗುರುತಿಸಲು ನಕ್ಷೆಯನ್ನು ಸರಿಸಿ.</v>
      </c>
      <c r="F760" s="7" t="str">
        <f>IFERROR(__xludf.DUMMYFUNCTION("GOOGLETRANSLATE(B760, ""en"", ""ml"")"),"മാപ്പിൽ ലൊക്കേഷൻ അടയാളപ്പെടുത്താൻ മാപ്പ് നീക്കുക")</f>
        <v>മാപ്പിൽ ലൊക്കേഷൻ അടയാളപ്പെടുത്താൻ മാപ്പ് നീക്കുക</v>
      </c>
      <c r="G760" s="7" t="str">
        <f>IFERROR(__xludf.DUMMYFUNCTION("GOOGLETRANSLATE(B760, ""en"", ""te"")"),"మ్యాప్‌లో స్థానాన్ని గుర్తించడానికి మ్యాప్‌ను తరలించండి")</f>
        <v>మ్యాప్‌లో స్థానాన్ని గుర్తించడానికి మ్యాప్‌ను తరలించండి</v>
      </c>
    </row>
    <row r="761">
      <c r="A761" s="4" t="s">
        <v>1759</v>
      </c>
      <c r="B761" s="9" t="s">
        <v>1760</v>
      </c>
      <c r="C761" s="6" t="s">
        <v>1761</v>
      </c>
      <c r="D761" s="6" t="str">
        <f>IFERROR(__xludf.DUMMYFUNCTION("GOOGLETRANSLATE(B761, ""en"", ""hi"")"),"मेरी सवारी")</f>
        <v>मेरी सवारी</v>
      </c>
      <c r="E761" s="6" t="str">
        <f>IFERROR(__xludf.DUMMYFUNCTION("GOOGLETRANSLATE(B761, ""en"", ""kn"")"),"ನನ್ನ ಸವಾರಿಗಳು")</f>
        <v>ನನ್ನ ಸವಾರಿಗಳು</v>
      </c>
      <c r="F761" s="7" t="str">
        <f>IFERROR(__xludf.DUMMYFUNCTION("GOOGLETRANSLATE(B761, ""en"", ""ml"")"),"എന്റെ റൈഡുകൾ")</f>
        <v>എന്റെ റൈഡുകൾ</v>
      </c>
      <c r="G761" s="7" t="str">
        <f>IFERROR(__xludf.DUMMYFUNCTION("GOOGLETRANSLATE(B761, ""en"", ""te"")"),"నా రైడ్‌లు")</f>
        <v>నా రైడ్‌లు</v>
      </c>
    </row>
    <row r="762">
      <c r="A762" s="4" t="s">
        <v>1762</v>
      </c>
      <c r="B762" s="9" t="s">
        <v>1763</v>
      </c>
      <c r="C762" s="6" t="s">
        <v>1764</v>
      </c>
      <c r="D762" s="6" t="str">
        <f>IFERROR(__xludf.DUMMYFUNCTION("GOOGLETRANSLATE(B762, ""en"", ""hi"")"),"खुद")</f>
        <v>खुद</v>
      </c>
      <c r="E762" s="6" t="str">
        <f>IFERROR(__xludf.DUMMYFUNCTION("GOOGLETRANSLATE(B762, ""en"", ""kn"")"),"ನಾನೇ")</f>
        <v>ನಾನೇ</v>
      </c>
      <c r="F762" s="7" t="str">
        <f>IFERROR(__xludf.DUMMYFUNCTION("GOOGLETRANSLATE(B762, ""en"", ""ml"")"),"ഞാൻ തന്നെ")</f>
        <v>ഞാൻ തന്നെ</v>
      </c>
      <c r="G762" s="7" t="str">
        <f>IFERROR(__xludf.DUMMYFUNCTION("GOOGLETRANSLATE(B762, ""en"", ""te"")"),"నేనే")</f>
        <v>నేనే</v>
      </c>
    </row>
    <row r="763">
      <c r="A763" s="4" t="s">
        <v>1765</v>
      </c>
      <c r="B763" s="17" t="s">
        <v>1766</v>
      </c>
      <c r="C763" s="6" t="s">
        <v>1767</v>
      </c>
      <c r="D763" s="6" t="str">
        <f>IFERROR(__xludf.DUMMYFUNCTION("GOOGLETRANSLATE(B763, ""en"", ""hi"")"),"नाम कम से कम 2 अक्षरों का होना चाहिए और उसमें केवल अक्षर ही होने चाहिए।")</f>
        <v>नाम कम से कम 2 अक्षरों का होना चाहिए और उसमें केवल अक्षर ही होने चाहिए।</v>
      </c>
      <c r="E763" s="6" t="str">
        <f>IFERROR(__xludf.DUMMYFUNCTION("GOOGLETRANSLATE(B763, ""en"", ""kn"")"),"ಹೆಸರಿನಲ್ಲಿ ಕನಿಷ್ಠ 2 ಅಕ್ಷರಗಳಿರಬೇಕು ಮತ್ತು ಕೇವಲ ಅಕ್ಷರಗಳಿರಬೇಕು.")</f>
        <v>ಹೆಸರಿನಲ್ಲಿ ಕನಿಷ್ಠ 2 ಅಕ್ಷರಗಳಿರಬೇಕು ಮತ್ತು ಕೇವಲ ಅಕ್ಷರಗಳಿರಬೇಕು.</v>
      </c>
      <c r="F763" s="7" t="str">
        <f>IFERROR(__xludf.DUMMYFUNCTION("GOOGLETRANSLATE(B763, ""en"", ""ml"")"),"പേരിൽ കുറഞ്ഞത് 2 പ്രതീകങ്ങളെങ്കിലും ഉണ്ടായിരിക്കണം, അക്ഷരങ്ങൾ മാത്രമേ ഉണ്ടാകാവൂ.")</f>
        <v>പേരിൽ കുറഞ്ഞത് 2 പ്രതീകങ്ങളെങ്കിലും ഉണ്ടായിരിക്കണം, അക്ഷരങ്ങൾ മാത്രമേ ഉണ്ടാകാവൂ.</v>
      </c>
      <c r="G763" s="7" t="str">
        <f>IFERROR(__xludf.DUMMYFUNCTION("GOOGLETRANSLATE(B763, ""en"", ""te"")"),"పేరు కనీసం 2 అక్షరాలు ఉండాలి మరియు అక్షరాలు మాత్రమే ఉండాలి.")</f>
        <v>పేరు కనీసం 2 అక్షరాలు ఉండాలి మరియు అక్షరాలు మాత్రమే ఉండాలి.</v>
      </c>
    </row>
    <row r="764">
      <c r="A764" s="4" t="s">
        <v>1768</v>
      </c>
      <c r="B764" s="9" t="s">
        <v>1769</v>
      </c>
      <c r="C764" s="6" t="s">
        <v>1770</v>
      </c>
      <c r="D764" s="6" t="str">
        <f>IFERROR(__xludf.DUMMYFUNCTION("GOOGLETRANSLATE(B764, ""en"", ""hi"")"),"नेटवर्क त्रुटि")</f>
        <v>नेटवर्क त्रुटि</v>
      </c>
      <c r="E764" s="6" t="str">
        <f>IFERROR(__xludf.DUMMYFUNCTION("GOOGLETRANSLATE(B764, ""en"", ""kn"")"),"ನೆಟ್‌ವರ್ಕ್ ದೋಷ")</f>
        <v>ನೆಟ್‌ವರ್ಕ್ ದೋಷ</v>
      </c>
      <c r="F764" s="7" t="str">
        <f>IFERROR(__xludf.DUMMYFUNCTION("GOOGLETRANSLATE(B764, ""en"", ""ml"")"),"നെറ്റ്‌വർക്ക് പിശക്")</f>
        <v>നെറ്റ്‌വർക്ക് പിശക്</v>
      </c>
      <c r="G764" s="7" t="str">
        <f>IFERROR(__xludf.DUMMYFUNCTION("GOOGLETRANSLATE(B764, ""en"", ""te"")"),"నెట్‌వర్క్ లోపం")</f>
        <v>నెట్‌వర్క్ లోపం</v>
      </c>
    </row>
    <row r="765">
      <c r="A765" s="4" t="s">
        <v>1771</v>
      </c>
      <c r="B765" s="9" t="s">
        <v>1772</v>
      </c>
      <c r="C765" s="6" t="s">
        <v>1773</v>
      </c>
      <c r="D765" s="6" t="str">
        <f>IFERROR(__xludf.DUMMYFUNCTION("GOOGLETRANSLATE(B765, ""en"", ""hi"")"),"नेटवर्क में गड़बड़ी है। कृपया अपना कनेक्शन जांचें और दोबारा कोशिश करें।")</f>
        <v>नेटवर्क में गड़बड़ी है। कृपया अपना कनेक्शन जांचें और दोबारा कोशिश करें।</v>
      </c>
      <c r="E765" s="6" t="str">
        <f>IFERROR(__xludf.DUMMYFUNCTION("GOOGLETRANSLATE(B765, ""en"", ""kn"")"),"ನೆಟ್‌ವರ್ಕ್ ದೋಷ. ದಯವಿಟ್ಟು ನಿಮ್ಮ ಸಂಪರ್ಕವನ್ನು ಪರಿಶೀಲಿಸಿ ಹಾಗೂ ಮತ್ತೆ ಪ್ರಯತ್ನಿಸಿ.")</f>
        <v>ನೆಟ್‌ವರ್ಕ್ ದೋಷ. ದಯವಿಟ್ಟು ನಿಮ್ಮ ಸಂಪರ್ಕವನ್ನು ಪರಿಶೀಲಿಸಿ ಹಾಗೂ ಮತ್ತೆ ಪ್ರಯತ್ನಿಸಿ.</v>
      </c>
      <c r="F765" s="7" t="str">
        <f>IFERROR(__xludf.DUMMYFUNCTION("GOOGLETRANSLATE(B765, ""en"", ""ml"")"),"നെറ്റ്‌വർക്ക് പിശക്. നിങ്ങളുടെ കണക്ഷൻ പരിശോധിച്ച് വീണ്ടും ശ്രമിക്കുക.")</f>
        <v>നെറ്റ്‌വർക്ക് പിശക്. നിങ്ങളുടെ കണക്ഷൻ പരിശോധിച്ച് വീണ്ടും ശ്രമിക്കുക.</v>
      </c>
      <c r="G765" s="7" t="str">
        <f>IFERROR(__xludf.DUMMYFUNCTION("GOOGLETRANSLATE(B765, ""en"", ""te"")"),"నెట్‌వర్క్ లోపం. దయచేసి మీ కనెక్షన్‌ను తనిఖీ చేసి, మళ్లీ ప్రయత్నించండి.")</f>
        <v>నెట్‌వర్క్ లోపం. దయచేసి మీ కనెక్షన్‌ను తనిఖీ చేసి, మళ్లీ ప్రయత్నించండి.</v>
      </c>
    </row>
    <row r="766">
      <c r="A766" s="4" t="s">
        <v>1774</v>
      </c>
      <c r="B766" s="9" t="s">
        <v>1775</v>
      </c>
      <c r="C766" s="6" t="s">
        <v>1776</v>
      </c>
      <c r="D766" s="6" t="str">
        <f>IFERROR(__xludf.DUMMYFUNCTION("GOOGLETRANSLATE(B766, ""en"", ""hi"")"),"नेटवर्क त्रुटि उत्पन्न हुई")</f>
        <v>नेटवर्क त्रुटि उत्पन्न हुई</v>
      </c>
      <c r="E766" s="6" t="str">
        <f>IFERROR(__xludf.DUMMYFUNCTION("GOOGLETRANSLATE(B766, ""en"", ""kn"")"),"ನೆಟ್‌ವರ್ಕ್ ದೋಷ ಸಂಭವಿಸಿದೆ.")</f>
        <v>ನೆಟ್‌ವರ್ಕ್ ದೋಷ ಸಂಭವಿಸಿದೆ.</v>
      </c>
      <c r="F766" s="7" t="str">
        <f>IFERROR(__xludf.DUMMYFUNCTION("GOOGLETRANSLATE(B766, ""en"", ""ml"")"),"നെറ്റ്‌വർക്ക് പിശക് സംഭവിച്ചു")</f>
        <v>നെറ്റ്‌വർക്ക് പിശക് സംഭവിച്ചു</v>
      </c>
      <c r="G766" s="7" t="str">
        <f>IFERROR(__xludf.DUMMYFUNCTION("GOOGLETRANSLATE(B766, ""en"", ""te"")"),"నెట్‌వర్క్ లోపం సంభవించింది")</f>
        <v>నెట్‌వర్క్ లోపం సంభవించింది</v>
      </c>
    </row>
    <row r="767">
      <c r="A767" s="4" t="s">
        <v>1777</v>
      </c>
      <c r="B767" s="9" t="s">
        <v>1778</v>
      </c>
      <c r="C767" s="6" t="s">
        <v>1779</v>
      </c>
      <c r="D767" s="6" t="str">
        <f>IFERROR(__xludf.DUMMYFUNCTION("GOOGLETRANSLATE(B767, ""en"", ""hi"")"),"हमारे सर्वश्रेष्ठ और सबसे भरोसेमंद ड्राइवरों के साथ रात में सुरक्षित यात्रा करें।")</f>
        <v>हमारे सर्वश्रेष्ठ और सबसे भरोसेमंद ड्राइवरों के साथ रात में सुरक्षित यात्रा करें।</v>
      </c>
      <c r="E767" s="6" t="str">
        <f>IFERROR(__xludf.DUMMYFUNCTION("GOOGLETRANSLATE(B767, ""en"", ""kn"")"),"ನಮ್ಮ ಉನ್ನತ ದರ್ಜೆಯ, ಅತ್ಯಂತ ವಿಶ್ವಾಸಾರ್ಹ ಚಾಲಕರೊಂದಿಗೆ ರಾತ್ರಿಯಲ್ಲಿ ಸುರಕ್ಷಿತವಾಗಿ ಸವಾರಿ ಮಾಡಿ")</f>
        <v>ನಮ್ಮ ಉನ್ನತ ದರ್ಜೆಯ, ಅತ್ಯಂತ ವಿಶ್ವಾಸಾರ್ಹ ಚಾಲಕರೊಂದಿಗೆ ರಾತ್ರಿಯಲ್ಲಿ ಸುರಕ್ಷಿತವಾಗಿ ಸವಾರಿ ಮಾಡಿ</v>
      </c>
      <c r="F767" s="7" t="str">
        <f>IFERROR(__xludf.DUMMYFUNCTION("GOOGLETRANSLATE(B767, ""en"", ""ml"")"),"ഞങ്ങളുടെ ഏറ്റവും മികച്ചതും വിശ്വസനീയവുമായ ഡ്രൈവർമാർക്കൊപ്പം രാത്രിയിൽ സുരക്ഷിതമായി യാത്ര ചെയ്യുക")</f>
        <v>ഞങ്ങളുടെ ഏറ്റവും മികച്ചതും വിശ്വസനീയവുമായ ഡ്രൈവർമാർക്കൊപ്പം രാത്രിയിൽ സുരക്ഷിതമായി യാത്ര ചെയ്യുക</v>
      </c>
      <c r="G767" s="7" t="str">
        <f>IFERROR(__xludf.DUMMYFUNCTION("GOOGLETRANSLATE(B767, ""en"", ""te"")"),"మా అగ్రశ్రేణి, అత్యంత విశ్వసనీయ డ్రైవర్లతో రాత్రిపూట సురక్షితంగా ప్రయాణించండి")</f>
        <v>మా అగ్రశ్రేణి, అత్యంత విశ్వసనీయ డ్రైవర్లతో రాత్రిపూట సురక్షితంగా ప్రయాణించండి</v>
      </c>
    </row>
    <row r="768">
      <c r="A768" s="4" t="s">
        <v>1780</v>
      </c>
      <c r="B768" s="9" t="s">
        <v>1781</v>
      </c>
      <c r="C768" s="6" t="s">
        <v>1782</v>
      </c>
      <c r="D768" s="6" t="str">
        <f>IFERROR(__xludf.DUMMYFUNCTION("GOOGLETRANSLATE(B768, ""en"", ""hi"")"),"(रात 12 बजे से सुबह 4 बजे तक)")</f>
        <v>(रात 12 बजे से सुबह 4 बजे तक)</v>
      </c>
      <c r="E768" s="6" t="str">
        <f>IFERROR(__xludf.DUMMYFUNCTION("GOOGLETRANSLATE(B768, ""en"", ""kn"")"),"(ಬೆಳಿಗ್ಗೆ 12 - ಬೆಳಿಗ್ಗೆ 4)")</f>
        <v>(ಬೆಳಿಗ್ಗೆ 12 - ಬೆಳಿಗ್ಗೆ 4)</v>
      </c>
      <c r="F768" s="7" t="str">
        <f>IFERROR(__xludf.DUMMYFUNCTION("GOOGLETRANSLATE(B768, ""en"", ""ml"")"),"(രാവിലെ 12 മുതൽ രാവിലെ 4 വരെ)")</f>
        <v>(രാവിലെ 12 മുതൽ രാവിലെ 4 വരെ)</v>
      </c>
      <c r="G768" s="7" t="str">
        <f>IFERROR(__xludf.DUMMYFUNCTION("GOOGLETRANSLATE(B768, ""en"", ""te"")"),"(ఉదయం 12 - ఉదయం 4)")</f>
        <v>(ఉదయం 12 - ఉదయం 4)</v>
      </c>
    </row>
    <row r="769">
      <c r="A769" s="4" t="s">
        <v>1783</v>
      </c>
      <c r="B769" s="9" t="s">
        <v>1784</v>
      </c>
      <c r="C769" s="6" t="s">
        <v>1785</v>
      </c>
      <c r="D769" s="6" t="str">
        <f>IFERROR(__xludf.DUMMYFUNCTION("GOOGLETRANSLATE(B769, ""en"", ""hi"")"),"रद्द करने पर कोई शुल्क नहीं लिया जाएगा")</f>
        <v>रद्द करने पर कोई शुल्क नहीं लिया जाएगा</v>
      </c>
      <c r="E769" s="6" t="str">
        <f>IFERROR(__xludf.DUMMYFUNCTION("GOOGLETRANSLATE(B769, ""en"", ""kn"")"),"ಯಾವುದೇ ರದ್ದತಿ ಶುಲ್ಕವನ್ನು ವಿಧಿಸಲಾಗುವುದಿಲ್ಲ.")</f>
        <v>ಯಾವುದೇ ರದ್ದತಿ ಶುಲ್ಕವನ್ನು ವಿಧಿಸಲಾಗುವುದಿಲ್ಲ.</v>
      </c>
      <c r="F769" s="7" t="str">
        <f>IFERROR(__xludf.DUMMYFUNCTION("GOOGLETRANSLATE(B769, ""en"", ""ml"")"),"റദ്ദാക്കൽ ഫീസ് ഈടാക്കില്ല.")</f>
        <v>റദ്ദാക്കൽ ഫീസ് ഈടാക്കില്ല.</v>
      </c>
      <c r="G769" s="7" t="str">
        <f>IFERROR(__xludf.DUMMYFUNCTION("GOOGLETRANSLATE(B769, ""en"", ""te"")"),"రద్దు రుసుములు వసూలు చేయబడవు")</f>
        <v>రద్దు రుసుములు వసూలు చేయబడవు</v>
      </c>
    </row>
    <row r="770">
      <c r="A770" s="4" t="s">
        <v>1786</v>
      </c>
      <c r="B770" s="9" t="s">
        <v>1787</v>
      </c>
      <c r="C770" s="6" t="s">
        <v>1788</v>
      </c>
      <c r="D770" s="6" t="str">
        <f>IFERROR(__xludf.DUMMYFUNCTION("GOOGLETRANSLATE(B770, ""en"", ""hi"")"),"कोई संपर्क नहीं मिला")</f>
        <v>कोई संपर्क नहीं मिला</v>
      </c>
      <c r="E770" s="6" t="str">
        <f>IFERROR(__xludf.DUMMYFUNCTION("GOOGLETRANSLATE(B770, ""en"", ""kn"")"),"ಯಾವುದೇ ಸಂಪರ್ಕಗಳು ಕಂಡುಬಂದಿಲ್ಲ")</f>
        <v>ಯಾವುದೇ ಸಂಪರ್ಕಗಳು ಕಂಡುಬಂದಿಲ್ಲ</v>
      </c>
      <c r="F770" s="7" t="str">
        <f>IFERROR(__xludf.DUMMYFUNCTION("GOOGLETRANSLATE(B770, ""en"", ""ml"")"),"കോൺടാക്റ്റുകളൊന്നും കണ്ടെത്തിയില്ല")</f>
        <v>കോൺടാക്റ്റുകളൊന്നും കണ്ടെത്തിയില്ല</v>
      </c>
      <c r="G770" s="7" t="str">
        <f>IFERROR(__xludf.DUMMYFUNCTION("GOOGLETRANSLATE(B770, ""en"", ""te"")"),"పరిచయాలు ఏవీ కనుగొనబడలేదు")</f>
        <v>పరిచయాలు ఏవీ కనుగొనబడలేదు</v>
      </c>
    </row>
    <row r="771">
      <c r="A771" s="4" t="s">
        <v>1789</v>
      </c>
      <c r="B771" s="5" t="s">
        <v>1790</v>
      </c>
      <c r="C771" s="6" t="s">
        <v>1791</v>
      </c>
      <c r="D771" s="6" t="str">
        <f>IFERROR(__xludf.DUMMYFUNCTION("GOOGLETRANSLATE(B771, ""en"", ""hi"")"),"कोई कूपन उपलब्ध नहीं हैं")</f>
        <v>कोई कूपन उपलब्ध नहीं हैं</v>
      </c>
      <c r="E771" s="6" t="str">
        <f>IFERROR(__xludf.DUMMYFUNCTION("GOOGLETRANSLATE(B771, ""en"", ""kn"")"),"ಯಾವುದೇ ಕೂಪನ್‌ಗಳು ಲಭ್ಯವಿಲ್ಲ.")</f>
        <v>ಯಾವುದೇ ಕೂಪನ್‌ಗಳು ಲಭ್ಯವಿಲ್ಲ.</v>
      </c>
      <c r="F771" s="7" t="str">
        <f>IFERROR(__xludf.DUMMYFUNCTION("GOOGLETRANSLATE(B771, ""en"", ""ml"")"),"കൂപ്പണുകളൊന്നും ലഭ്യമല്ല.")</f>
        <v>കൂപ്പണുകളൊന്നും ലഭ്യമല്ല.</v>
      </c>
      <c r="G771" s="7" t="str">
        <f>IFERROR(__xludf.DUMMYFUNCTION("GOOGLETRANSLATE(B771, ""en"", ""te"")"),"కూపన్లు అందుబాటులో లేవు")</f>
        <v>కూపన్లు అందుబాటులో లేవు</v>
      </c>
    </row>
    <row r="772">
      <c r="A772" s="4" t="s">
        <v>1792</v>
      </c>
      <c r="B772" s="5" t="s">
        <v>1793</v>
      </c>
      <c r="C772" s="6" t="s">
        <v>1794</v>
      </c>
      <c r="D772" s="6" t="str">
        <f>IFERROR(__xludf.DUMMYFUNCTION("GOOGLETRANSLATE(B772, ""en"", ""hi"")"),"चयनित वाहन प्रकार के लिए फिलहाल कोई चालक उपलब्ध नहीं है। कृपया बाद में पुनः प्रयास करें या कोई अन्य वाहन चुनें।")</f>
        <v>चयनित वाहन प्रकार के लिए फिलहाल कोई चालक उपलब्ध नहीं है। कृपया बाद में पुनः प्रयास करें या कोई अन्य वाहन चुनें।</v>
      </c>
      <c r="E772" s="6" t="str">
        <f>IFERROR(__xludf.DUMMYFUNCTION("GOOGLETRANSLATE(B772, ""en"", ""kn"")"),"ಆಯ್ಕೆಮಾಡಿದ ವಾಹನ ಪ್ರಕಾರಕ್ಕೆ ಪ್ರಸ್ತುತ ಯಾವುದೇ ಚಾಲಕರು ಲಭ್ಯವಿಲ್ಲ. ದಯವಿಟ್ಟು ನಂತರ ಮತ್ತೆ ಪ್ರಯತ್ನಿಸಿ ಅಥವಾ ಬೇರೆ ವಾಹನವನ್ನು ಆರಿಸಿ.")</f>
        <v>ಆಯ್ಕೆಮಾಡಿದ ವಾಹನ ಪ್ರಕಾರಕ್ಕೆ ಪ್ರಸ್ತುತ ಯಾವುದೇ ಚಾಲಕರು ಲಭ್ಯವಿಲ್ಲ. ದಯವಿಟ್ಟು ನಂತರ ಮತ್ತೆ ಪ್ರಯತ್ನಿಸಿ ಅಥವಾ ಬೇರೆ ವಾಹನವನ್ನು ಆರಿಸಿ.</v>
      </c>
      <c r="F772" s="7" t="str">
        <f>IFERROR(__xludf.DUMMYFUNCTION("GOOGLETRANSLATE(B772, ""en"", ""ml"")"),"തിരഞ്ഞെടുത്ത വാഹന തരത്തിന് നിലവിൽ ഡ്രൈവറുകളൊന്നും ലഭ്യമല്ല. പിന്നീട് വീണ്ടും ശ്രമിക്കുകയോ മറ്റൊരു വാഹനം തിരഞ്ഞെടുക്കുകയോ ചെയ്യുക.")</f>
        <v>തിരഞ്ഞെടുത്ത വാഹന തരത്തിന് നിലവിൽ ഡ്രൈവറുകളൊന്നും ലഭ്യമല്ല. പിന്നീട് വീണ്ടും ശ്രമിക്കുകയോ മറ്റൊരു വാഹനം തിരഞ്ഞെടുക്കുകയോ ചെയ്യുക.</v>
      </c>
      <c r="G772" s="7" t="str">
        <f>IFERROR(__xludf.DUMMYFUNCTION("GOOGLETRANSLATE(B772, ""en"", ""te"")"),"ఎంచుకున్న వాహన రకానికి ప్రస్తుతం డ్రైవర్లు అందుబాటులో లేరు. దయచేసి తర్వాత మళ్ళీ ప్రయత్నించండి లేదా వేరే వాహనాన్ని ఎంచుకోండి.")</f>
        <v>ఎంచుకున్న వాహన రకానికి ప్రస్తుతం డ్రైవర్లు అందుబాటులో లేరు. దయచేసి తర్వాత మళ్ళీ ప్రయత్నించండి లేదా వేరే వాహనాన్ని ఎంచుకోండి.</v>
      </c>
    </row>
    <row r="773">
      <c r="A773" s="4" t="s">
        <v>1795</v>
      </c>
      <c r="B773" s="5" t="s">
        <v>1796</v>
      </c>
      <c r="C773" s="6" t="s">
        <v>1797</v>
      </c>
      <c r="D773" s="6" t="str">
        <f>IFERROR(__xludf.DUMMYFUNCTION("GOOGLETRANSLATE(B773, ""en"", ""hi"")"),"आस-पास कोई ड्राइवर उपलब्ध नहीं है। कृपया पिकअप और ड्रॉप लोकेशन में बदलाव करें।")</f>
        <v>आस-पास कोई ड्राइवर उपलब्ध नहीं है। कृपया पिकअप और ड्रॉप लोकेशन में बदलाव करें।</v>
      </c>
      <c r="E773" s="6" t="str">
        <f>IFERROR(__xludf.DUMMYFUNCTION("GOOGLETRANSLATE(B773, ""en"", ""kn"")"),"ಹತ್ತಿರದಲ್ಲಿ ಯಾವುದೇ ಚಾಲಕರು ಲಭ್ಯವಿಲ್ಲ. ದಯವಿಟ್ಟು ಪಿಕಪ್ ಮತ್ತು ಡ್ರಾಪ್ ಸ್ಥಳಗಳನ್ನು ಸಂಪಾದಿಸಿ.")</f>
        <v>ಹತ್ತಿರದಲ್ಲಿ ಯಾವುದೇ ಚಾಲಕರು ಲಭ್ಯವಿಲ್ಲ. ದಯವಿಟ್ಟು ಪಿಕಪ್ ಮತ್ತು ಡ್ರಾಪ್ ಸ್ಥಳಗಳನ್ನು ಸಂಪಾದಿಸಿ.</v>
      </c>
      <c r="F773" s="7" t="str">
        <f>IFERROR(__xludf.DUMMYFUNCTION("GOOGLETRANSLATE(B773, ""en"", ""ml"")"),"സമീപത്ത് ഡ്രൈവറുകളൊന്നും ലഭ്യമല്ല. പിക്കപ്പ്, ഡ്രോപ്പ് ലൊക്കേഷനുകൾ എഡിറ്റ് ചെയ്യുക.")</f>
        <v>സമീപത്ത് ഡ്രൈവറുകളൊന്നും ലഭ്യമല്ല. പിക്കപ്പ്, ഡ്രോപ്പ് ലൊക്കേഷനുകൾ എഡിറ്റ് ചെയ്യുക.</v>
      </c>
      <c r="G773" s="7" t="str">
        <f>IFERROR(__xludf.DUMMYFUNCTION("GOOGLETRANSLATE(B773, ""en"", ""te"")"),"సమీపంలో డ్రైవర్లు అందుబాటులో లేరు. దయచేసి పికప్ మరియు డ్రాప్ స్థానాలను సవరించండి.")</f>
        <v>సమీపంలో డ్రైవర్లు అందుబాటులో లేరు. దయచేసి పికప్ మరియు డ్రాప్ స్థానాలను సవరించండి.</v>
      </c>
    </row>
    <row r="774">
      <c r="A774" s="4" t="s">
        <v>1798</v>
      </c>
      <c r="B774" s="5" t="s">
        <v>1799</v>
      </c>
      <c r="C774" s="6"/>
      <c r="D774" s="6" t="str">
        <f>IFERROR(__xludf.DUMMYFUNCTION("GOOGLETRANSLATE(B774, ""en"", ""hi"")"),"कोई ड्राइवर उपलब्ध नहीं है")</f>
        <v>कोई ड्राइवर उपलब्ध नहीं है</v>
      </c>
      <c r="E774" s="6" t="str">
        <f>IFERROR(__xludf.DUMMYFUNCTION("GOOGLETRANSLATE(B774, ""en"", ""kn"")"),"ಯಾವುದೇ ಚಾಲಕರು ಲಭ್ಯವಿಲ್ಲ.")</f>
        <v>ಯಾವುದೇ ಚಾಲಕರು ಲಭ್ಯವಿಲ್ಲ.</v>
      </c>
      <c r="F774" s="7" t="str">
        <f>IFERROR(__xludf.DUMMYFUNCTION("GOOGLETRANSLATE(B774, ""en"", ""ml"")"),"ഡ്രൈവറുകളൊന്നും ലഭ്യമല്ല.")</f>
        <v>ഡ്രൈവറുകളൊന്നും ലഭ്യമല്ല.</v>
      </c>
      <c r="G774" s="7" t="str">
        <f>IFERROR(__xludf.DUMMYFUNCTION("GOOGLETRANSLATE(B774, ""en"", ""te"")"),"డ్రైవర్లు అందుబాటులో లేరు")</f>
        <v>డ్రైవర్లు అందుబాటులో లేరు</v>
      </c>
    </row>
    <row r="775">
      <c r="A775" s="4" t="s">
        <v>1800</v>
      </c>
      <c r="B775" s="5" t="s">
        <v>1801</v>
      </c>
      <c r="C775" s="6" t="s">
        <v>1802</v>
      </c>
      <c r="D775" s="6" t="str">
        <f>IFERROR(__xludf.DUMMYFUNCTION("GOOGLETRANSLATE(B775, ""en"", ""hi"")"),"{वाहन} के लिए कोई चालक उपलब्ध नहीं हैं।")</f>
        <v>{वाहन} के लिए कोई चालक उपलब्ध नहीं हैं।</v>
      </c>
      <c r="E775" s="6" t="str">
        <f>IFERROR(__xludf.DUMMYFUNCTION("GOOGLETRANSLATE(B775, ""en"", ""kn"")"),"{ವಾಹನ} ಕ್ಕೆ ಚಾಲಕರಿಲ್ಲ.")</f>
        <v>{ವಾಹನ} ಕ್ಕೆ ಚಾಲಕರಿಲ್ಲ.</v>
      </c>
      <c r="F775" s="7" t="str">
        <f>IFERROR(__xludf.DUMMYFUNCTION("GOOGLETRANSLATE(B775, ""en"", ""ml"")"),"{vehicle} ന് ഡ്രൈവറുകൾ ഇല്ല.")</f>
        <v>{vehicle} ന് ഡ്രൈവറുകൾ ഇല്ല.</v>
      </c>
      <c r="G775" s="7" t="str">
        <f>IFERROR(__xludf.DUMMYFUNCTION("GOOGLETRANSLATE(B775, ""en"", ""te"")"),"{vehicle} కి డ్రైవర్లు లేరు")</f>
        <v>{vehicle} కి డ్రైవర్లు లేరు</v>
      </c>
    </row>
    <row r="776">
      <c r="A776" s="4" t="s">
        <v>1803</v>
      </c>
      <c r="B776" s="5" t="s">
        <v>1804</v>
      </c>
      <c r="C776" s="6" t="s">
        <v>1805</v>
      </c>
      <c r="D776" s="6" t="str">
        <f>IFERROR(__xludf.DUMMYFUNCTION("GOOGLETRANSLATE(B776, ""en"", ""hi"")"),"आपके द्वारा चुनी गई {वाहन} के लिए आस-पास कोई चालक उपलब्ध नहीं है। हमने चालक उपलब्ध वाला दूसरा वाहन चुना है।")</f>
        <v>आपके द्वारा चुनी गई {वाहन} के लिए आस-पास कोई चालक उपलब्ध नहीं है। हमने चालक उपलब्ध वाला दूसरा वाहन चुना है।</v>
      </c>
      <c r="E776" s="6" t="str">
        <f>IFERROR(__xludf.DUMMYFUNCTION("GOOGLETRANSLATE(B776, ""en"", ""kn"")"),"ನೀವು ಆಯ್ಕೆ ಮಾಡಿದ {ವಾಹನ} ಹತ್ತಿರದಲ್ಲಿ ಯಾವುದೇ ಚಾಲಕರಿಲ್ಲ. ಲಭ್ಯವಿರುವ ಚಾಲಕರಿರುವ ಮತ್ತೊಂದು ವಾಹನವನ್ನು ನಾವು ಆರಿಸಿಕೊಂಡಿದ್ದೇವೆ.")</f>
        <v>ನೀವು ಆಯ್ಕೆ ಮಾಡಿದ {ವಾಹನ} ಹತ್ತಿರದಲ್ಲಿ ಯಾವುದೇ ಚಾಲಕರಿಲ್ಲ. ಲಭ್ಯವಿರುವ ಚಾಲಕರಿರುವ ಮತ್ತೊಂದು ವಾಹನವನ್ನು ನಾವು ಆರಿಸಿಕೊಂಡಿದ್ದೇವೆ.</v>
      </c>
      <c r="F776" s="7" t="str">
        <f>IFERROR(__xludf.DUMMYFUNCTION("GOOGLETRANSLATE(B776, ""en"", ""ml"")"),"നിങ്ങൾ തിരഞ്ഞെടുത്ത {വാഹനത്തിന്} സമീപത്ത് ഡ്രൈവറില്ല. ലഭ്യമായ ഡ്രൈവറുകളുള്ള മറ്റൊരു വാഹനം ഞങ്ങൾ തിരഞ്ഞെടുത്തു.")</f>
        <v>നിങ്ങൾ തിരഞ്ഞെടുത്ത {വാഹനത്തിന്} സമീപത്ത് ഡ്രൈവറില്ല. ലഭ്യമായ ഡ്രൈവറുകളുള്ള മറ്റൊരു വാഹനം ഞങ്ങൾ തിരഞ്ഞെടുത്തു.</v>
      </c>
      <c r="G776" s="7" t="str">
        <f>IFERROR(__xludf.DUMMYFUNCTION("GOOGLETRANSLATE(B776, ""en"", ""te"")"),"మీరు ఎంచుకున్న {vehicle} కి సమీపంలో డ్రైవర్లు లేరు. అందుబాటులో ఉన్న డ్రైవర్లతో మేము మరొక వాహనాన్ని ఎంచుకున్నాము.")</f>
        <v>మీరు ఎంచుకున్న {vehicle} కి సమీపంలో డ్రైవర్లు లేరు. అందుబాటులో ఉన్న డ్రైవర్లతో మేము మరొక వాహనాన్ని ఎంచుకున్నాము.</v>
      </c>
    </row>
    <row r="777">
      <c r="A777" s="4" t="s">
        <v>1806</v>
      </c>
      <c r="B777" s="5" t="s">
        <v>1807</v>
      </c>
      <c r="C777" s="6" t="s">
        <v>1808</v>
      </c>
      <c r="D777" s="6" t="str">
        <f>IFERROR(__xludf.DUMMYFUNCTION("GOOGLETRANSLATE(B777, ""en"", ""hi"")"),"कोई महिला ड्राइवर उपलब्ध नहीं है")</f>
        <v>कोई महिला ड्राइवर उपलब्ध नहीं है</v>
      </c>
      <c r="E777" s="6" t="str">
        <f>IFERROR(__xludf.DUMMYFUNCTION("GOOGLETRANSLATE(B777, ""en"", ""kn"")"),"ಮಹಿಳಾ ಚಾಲಕರು ಲಭ್ಯವಿಲ್ಲ.")</f>
        <v>ಮಹಿಳಾ ಚಾಲಕರು ಲಭ್ಯವಿಲ್ಲ.</v>
      </c>
      <c r="F777" s="7" t="str">
        <f>IFERROR(__xludf.DUMMYFUNCTION("GOOGLETRANSLATE(B777, ""en"", ""ml"")"),"വനിതാ ഡ്രൈവർമാർ ലഭ്യമല്ല.")</f>
        <v>വനിതാ ഡ്രൈവർമാർ ലഭ്യമല്ല.</v>
      </c>
      <c r="G777" s="7" t="str">
        <f>IFERROR(__xludf.DUMMYFUNCTION("GOOGLETRANSLATE(B777, ""en"", ""te"")"),"మహిళా డ్రైవర్లు అందుబాటులో లేరు.")</f>
        <v>మహిళా డ్రైవర్లు అందుబాటులో లేరు.</v>
      </c>
    </row>
    <row r="778">
      <c r="A778" s="4" t="s">
        <v>1809</v>
      </c>
      <c r="B778" s="5" t="s">
        <v>1810</v>
      </c>
      <c r="C778" s="6" t="s">
        <v>1811</v>
      </c>
      <c r="D778" s="6" t="str">
        <f>IFERROR(__xludf.DUMMYFUNCTION("GOOGLETRANSLATE(B778, ""en"", ""hi"")"),"इस समय आस-पास कोई महिला ड्राइवर नहीं है। आप चाहें तो सभी ड्राइवरों को खोज सकते हैं।")</f>
        <v>इस समय आस-पास कोई महिला ड्राइवर नहीं है। आप चाहें तो सभी ड्राइवरों को खोज सकते हैं।</v>
      </c>
      <c r="E778" s="6" t="str">
        <f>IFERROR(__xludf.DUMMYFUNCTION("GOOGLETRANSLATE(B778, ""en"", ""kn"")"),"ಈಗ ಹತ್ತಿರದಲ್ಲಿ ಯಾವುದೇ ಮಹಿಳಾ ಚಾಲಕರು ಇಲ್ಲ. ಬದಲಿಗೆ ನೀವು ಎಲ್ಲಾ ಚಾಲಕರನ್ನು ಹುಡುಕಬಹುದು.")</f>
        <v>ಈಗ ಹತ್ತಿರದಲ್ಲಿ ಯಾವುದೇ ಮಹಿಳಾ ಚಾಲಕರು ಇಲ್ಲ. ಬದಲಿಗೆ ನೀವು ಎಲ್ಲಾ ಚಾಲಕರನ್ನು ಹುಡುಕಬಹುದು.</v>
      </c>
      <c r="F778" s="7" t="str">
        <f>IFERROR(__xludf.DUMMYFUNCTION("GOOGLETRANSLATE(B778, ""en"", ""ml"")"),"ഇപ്പോൾ അടുത്ത് വനിതാ ഡ്രൈവർമാരില്ല. പകരം നിങ്ങൾക്ക് എല്ലാ ഡ്രൈവർമാരെയും തിരയാൻ കഴിയും.")</f>
        <v>ഇപ്പോൾ അടുത്ത് വനിതാ ഡ്രൈവർമാരില്ല. പകരം നിങ്ങൾക്ക് എല്ലാ ഡ്രൈവർമാരെയും തിരയാൻ കഴിയും.</v>
      </c>
      <c r="G778" s="7" t="str">
        <f>IFERROR(__xludf.DUMMYFUNCTION("GOOGLETRANSLATE(B778, ""en"", ""te"")"),"ప్రస్తుతం సమీపంలో మహిళా డ్రైవర్లు ఎవరూ లేరు. బదులుగా మీరు అన్ని డ్రైవర్లను శోధించవచ్చు.")</f>
        <v>ప్రస్తుతం సమీపంలో మహిళా డ్రైవర్లు ఎవరూ లేరు. బదులుగా మీరు అన్ని డ్రైవర్లను శోధించవచ్చు.</v>
      </c>
    </row>
    <row r="779">
      <c r="A779" s="4" t="s">
        <v>1812</v>
      </c>
      <c r="B779" s="5" t="s">
        <v>1813</v>
      </c>
      <c r="C779" s="6" t="s">
        <v>1814</v>
      </c>
      <c r="D779" s="6" t="str">
        <f>IFERROR(__xludf.DUMMYFUNCTION("GOOGLETRANSLATE(B779, ""en"", ""hi"")"),"अभी तक कोई संदेश नहीं")</f>
        <v>अभी तक कोई संदेश नहीं</v>
      </c>
      <c r="E779" s="6" t="str">
        <f>IFERROR(__xludf.DUMMYFUNCTION("GOOGLETRANSLATE(B779, ""en"", ""kn"")"),"ಇನ್ನೂ ಯಾವುದೇ ಸಂದೇಶಗಳಿಲ್ಲ.")</f>
        <v>ಇನ್ನೂ ಯಾವುದೇ ಸಂದೇಶಗಳಿಲ್ಲ.</v>
      </c>
      <c r="F779" s="7" t="str">
        <f>IFERROR(__xludf.DUMMYFUNCTION("GOOGLETRANSLATE(B779, ""en"", ""ml"")"),"ഇതുവരെ സന്ദേശങ്ങളൊന്നുമില്ല.")</f>
        <v>ഇതുവരെ സന്ദേശങ്ങളൊന്നുമില്ല.</v>
      </c>
      <c r="G779" s="7" t="str">
        <f>IFERROR(__xludf.DUMMYFUNCTION("GOOGLETRANSLATE(B779, ""en"", ""te"")"),"ఇంకా సందేశాలు లేవు")</f>
        <v>ఇంకా సందేశాలు లేవు</v>
      </c>
    </row>
    <row r="780">
      <c r="A780" s="4" t="s">
        <v>1815</v>
      </c>
      <c r="B780" s="5" t="s">
        <v>1816</v>
      </c>
      <c r="C780" s="6" t="s">
        <v>1817</v>
      </c>
      <c r="D780" s="6" t="str">
        <f>IFERROR(__xludf.DUMMYFUNCTION("GOOGLETRANSLATE(B780, ""en"", ""hi"")"),"हाल ही में कोई खोज नहीं हुई")</f>
        <v>हाल ही में कोई खोज नहीं हुई</v>
      </c>
      <c r="E780" s="6" t="str">
        <f>IFERROR(__xludf.DUMMYFUNCTION("GOOGLETRANSLATE(B780, ""en"", ""kn"")"),"ಇತ್ತೀಚಿನ ಹುಡುಕಾಟಗಳಿಲ್ಲ")</f>
        <v>ಇತ್ತೀಚಿನ ಹುಡುಕಾಟಗಳಿಲ್ಲ</v>
      </c>
      <c r="F780" s="7" t="str">
        <f>IFERROR(__xludf.DUMMYFUNCTION("GOOGLETRANSLATE(B780, ""en"", ""ml"")"),"സമീപകാല തിരയലുകളൊന്നുമില്ല")</f>
        <v>സമീപകാല തിരയലുകളൊന്നുമില്ല</v>
      </c>
      <c r="G780" s="7" t="str">
        <f>IFERROR(__xludf.DUMMYFUNCTION("GOOGLETRANSLATE(B780, ""en"", ""te"")"),"ఇటీవలి శోధనలు లేవు")</f>
        <v>ఇటీవలి శోధనలు లేవు</v>
      </c>
    </row>
    <row r="781">
      <c r="A781" s="4" t="s">
        <v>1818</v>
      </c>
      <c r="B781" s="5" t="s">
        <v>1819</v>
      </c>
      <c r="C781" s="6" t="s">
        <v>1820</v>
      </c>
      <c r="D781" s="6" t="str">
        <f>IFERROR(__xludf.DUMMYFUNCTION("GOOGLETRANSLATE(B781, ""en"", ""hi"")"),"कोई परिणाम नहीं मिला")</f>
        <v>कोई परिणाम नहीं मिला</v>
      </c>
      <c r="E781" s="6" t="str">
        <f>IFERROR(__xludf.DUMMYFUNCTION("GOOGLETRANSLATE(B781, ""en"", ""kn"")"),"ಯಾವುದೇ ಫಲಿತಾಂಶಗಳು ಕಂಡುಬಂದಿಲ್ಲ")</f>
        <v>ಯಾವುದೇ ಫಲಿತಾಂಶಗಳು ಕಂಡುಬಂದಿಲ್ಲ</v>
      </c>
      <c r="F781" s="7" t="str">
        <f>IFERROR(__xludf.DUMMYFUNCTION("GOOGLETRANSLATE(B781, ""en"", ""ml"")"),"ഫലങ്ങളൊന്നും കണ്ടെത്തിയില്ല")</f>
        <v>ഫലങ്ങളൊന്നും കണ്ടെത്തിയില്ല</v>
      </c>
      <c r="G781" s="7" t="str">
        <f>IFERROR(__xludf.DUMMYFUNCTION("GOOGLETRANSLATE(B781, ""en"", ""te"")"),"ఫలితాలు కనుగొనబడలేదు")</f>
        <v>ఫలితాలు కనుగొనబడలేదు</v>
      </c>
    </row>
    <row r="782">
      <c r="A782" s="4" t="s">
        <v>1821</v>
      </c>
      <c r="B782" s="5" t="s">
        <v>1822</v>
      </c>
      <c r="C782" s="6" t="s">
        <v>1823</v>
      </c>
      <c r="D782" s="6" t="str">
        <f>IFERROR(__xludf.DUMMYFUNCTION("GOOGLETRANSLATE(B782, ""en"", ""hi"")"),"कोई सुरक्षित स्थान नहीं")</f>
        <v>कोई सुरक्षित स्थान नहीं</v>
      </c>
      <c r="E782" s="6" t="str">
        <f>IFERROR(__xludf.DUMMYFUNCTION("GOOGLETRANSLATE(B782, ""en"", ""kn"")"),"ಉಳಿಸಿದ ಸ್ಥಳಗಳಿಲ್ಲ")</f>
        <v>ಉಳಿಸಿದ ಸ್ಥಳಗಳಿಲ್ಲ</v>
      </c>
      <c r="F782" s="7" t="str">
        <f>IFERROR(__xludf.DUMMYFUNCTION("GOOGLETRANSLATE(B782, ""en"", ""ml"")"),"സംരക്ഷിച്ച സ്ഥലങ്ങളൊന്നുമില്ല.")</f>
        <v>സംരക്ഷിച്ച സ്ഥലങ്ങളൊന്നുമില്ല.</v>
      </c>
      <c r="G782" s="7" t="str">
        <f>IFERROR(__xludf.DUMMYFUNCTION("GOOGLETRANSLATE(B782, ""en"", ""te"")"),"సేవ్ చేసిన స్థలాలు లేవు")</f>
        <v>సేవ్ చేసిన స్థలాలు లేవు</v>
      </c>
    </row>
    <row r="783">
      <c r="A783" s="4" t="s">
        <v>1824</v>
      </c>
      <c r="B783" s="5" t="s">
        <v>1825</v>
      </c>
      <c r="C783" s="6" t="s">
        <v>1826</v>
      </c>
      <c r="D783" s="6" t="str">
        <f>IFERROR(__xludf.DUMMYFUNCTION("GOOGLETRANSLATE(B783, ""en"", ""hi"")"),"रात में गाड़ी चलाने वाले ड्राइवर उपलब्ध नहीं हैं")</f>
        <v>रात में गाड़ी चलाने वाले ड्राइवर उपलब्ध नहीं हैं</v>
      </c>
      <c r="E783" s="6" t="str">
        <f>IFERROR(__xludf.DUMMYFUNCTION("GOOGLETRANSLATE(B783, ""en"", ""kn"")"),"ರಾತ್ರಿ ಚಾಲಕರು ಲಭ್ಯವಿಲ್ಲ.")</f>
        <v>ರಾತ್ರಿ ಚಾಲಕರು ಲಭ್ಯವಿಲ್ಲ.</v>
      </c>
      <c r="F783" s="7" t="str">
        <f>IFERROR(__xludf.DUMMYFUNCTION("GOOGLETRANSLATE(B783, ""en"", ""ml"")"),"രാത്രി ഡ്രൈവർമാർ ലഭ്യമല്ല.")</f>
        <v>രാത്രി ഡ്രൈവർമാർ ലഭ്യമല്ല.</v>
      </c>
      <c r="G783" s="7" t="str">
        <f>IFERROR(__xludf.DUMMYFUNCTION("GOOGLETRANSLATE(B783, ""en"", ""te"")"),"రాత్రి డ్రైవర్లు అందుబాటులో లేరు")</f>
        <v>రాత్రి డ్రైవర్లు అందుబాటులో లేరు</v>
      </c>
    </row>
    <row r="784">
      <c r="A784" s="4" t="s">
        <v>1827</v>
      </c>
      <c r="B784" s="5" t="s">
        <v>1828</v>
      </c>
      <c r="C784" s="6" t="s">
        <v>1829</v>
      </c>
      <c r="D784" s="6" t="str">
        <f>IFERROR(__xludf.DUMMYFUNCTION("GOOGLETRANSLATE(B784, ""en"", ""hi"")"),"इस समय आस-पास कोई नाइट ड्राइवर उपलब्ध नहीं है। आप चाहें तो सभी ड्राइवरों को खोज सकते हैं।")</f>
        <v>इस समय आस-पास कोई नाइट ड्राइवर उपलब्ध नहीं है। आप चाहें तो सभी ड्राइवरों को खोज सकते हैं।</v>
      </c>
      <c r="E784" s="6" t="str">
        <f>IFERROR(__xludf.DUMMYFUNCTION("GOOGLETRANSLATE(B784, ""en"", ""kn"")"),"ಈಗ ಹತ್ತಿರದಲ್ಲಿ ಯಾವುದೇ ರಾತ್ರಿ ಚಾಲಕರು ಇಲ್ಲ. ಬದಲಿಗೆ ನೀವು ಎಲ್ಲಾ ಚಾಲಕರನ್ನು ಹುಡುಕಬಹುದು.")</f>
        <v>ಈಗ ಹತ್ತಿರದಲ್ಲಿ ಯಾವುದೇ ರಾತ್ರಿ ಚಾಲಕರು ಇಲ್ಲ. ಬದಲಿಗೆ ನೀವು ಎಲ್ಲಾ ಚಾಲಕರನ್ನು ಹುಡುಕಬಹುದು.</v>
      </c>
      <c r="F784" s="7" t="str">
        <f>IFERROR(__xludf.DUMMYFUNCTION("GOOGLETRANSLATE(B784, ""en"", ""ml"")"),"ഇപ്പോൾ അടുത്ത് ഒരു നൈറ്റ് ഡ്രൈവർമാരുമില്ല. പകരം നിങ്ങൾക്ക് എല്ലാ ഡ്രൈവറുകളും തിരയാം.")</f>
        <v>ഇപ്പോൾ അടുത്ത് ഒരു നൈറ്റ് ഡ്രൈവർമാരുമില്ല. പകരം നിങ്ങൾക്ക് എല്ലാ ഡ്രൈവറുകളും തിരയാം.</v>
      </c>
      <c r="G784" s="7" t="str">
        <f>IFERROR(__xludf.DUMMYFUNCTION("GOOGLETRANSLATE(B784, ""en"", ""te"")"),"ప్రస్తుతం సమీపంలో నైట్ డ్రైవర్లు ఎవరూ లేరు. బదులుగా మీరు అన్ని డ్రైవర్లను శోధించవచ్చు.")</f>
        <v>ప్రస్తుతం సమీపంలో నైట్ డ్రైవర్లు ఎవరూ లేరు. బదులుగా మీరు అన్ని డ్రైవర్లను శోధించవచ్చు.</v>
      </c>
    </row>
    <row r="785">
      <c r="A785" s="4" t="s">
        <v>1830</v>
      </c>
      <c r="B785" s="5" t="s">
        <v>1831</v>
      </c>
      <c r="C785" s="6" t="s">
        <v>1832</v>
      </c>
      <c r="D785" s="6" t="str">
        <f>IFERROR(__xludf.DUMMYFUNCTION("GOOGLETRANSLATE(B785, ""en"", ""hi"")"),"नहीं पहुंचा")</f>
        <v>नहीं पहुंचा</v>
      </c>
      <c r="E785" s="6" t="str">
        <f>IFERROR(__xludf.DUMMYFUNCTION("GOOGLETRANSLATE(B785, ""en"", ""kn"")"),"ತಲುಪಿಲ್ಲ")</f>
        <v>ತಲುಪಿಲ್ಲ</v>
      </c>
      <c r="F785" s="7" t="str">
        <f>IFERROR(__xludf.DUMMYFUNCTION("GOOGLETRANSLATE(B785, ""en"", ""ml"")"),"എത്തിയിട്ടില്ല")</f>
        <v>എത്തിയിട്ടില്ല</v>
      </c>
      <c r="G785" s="7" t="str">
        <f>IFERROR(__xludf.DUMMYFUNCTION("GOOGLETRANSLATE(B785, ""en"", ""te"")"),"చేరుకోలేదు")</f>
        <v>చేరుకోలేదు</v>
      </c>
    </row>
    <row r="786">
      <c r="A786" s="4" t="s">
        <v>1833</v>
      </c>
      <c r="B786" s="5" t="s">
        <v>1834</v>
      </c>
      <c r="C786" s="6" t="s">
        <v>1835</v>
      </c>
      <c r="D786" s="6" t="str">
        <f>IFERROR(__xludf.DUMMYFUNCTION("GOOGLETRANSLATE(B786, ""en"", ""hi"")"),"हमें खेद है, लेकिन हम वर्तमान में आपके क्षेत्र में सेवा प्रदान नहीं कर रहे हैं।")</f>
        <v>हमें खेद है, लेकिन हम वर्तमान में आपके क्षेत्र में सेवा प्रदान नहीं कर रहे हैं।</v>
      </c>
      <c r="E786" s="6" t="str">
        <f>IFERROR(__xludf.DUMMYFUNCTION("GOOGLETRANSLATE(B786, ""en"", ""kn"")"),"ಕ್ಷಮಿಸಿ, ಆದರೆ ನಾವು ಪ್ರಸ್ತುತ ನಿಮ್ಮ ಪ್ರದೇಶದಲ್ಲಿ ಸೇವೆ ಸಲ್ಲಿಸುತ್ತಿಲ್ಲ.")</f>
        <v>ಕ್ಷಮಿಸಿ, ಆದರೆ ನಾವು ಪ್ರಸ್ತುತ ನಿಮ್ಮ ಪ್ರದೇಶದಲ್ಲಿ ಸೇವೆ ಸಲ್ಲಿಸುತ್ತಿಲ್ಲ.</v>
      </c>
      <c r="F786" s="7" t="str">
        <f>IFERROR(__xludf.DUMMYFUNCTION("GOOGLETRANSLATE(B786, ""en"", ""ml"")"),"ക്ഷമിക്കണം, ഞങ്ങൾ നിലവിൽ നിങ്ങളുടെ പ്രദേശത്ത് സേവനം നൽകുന്നില്ല.")</f>
        <v>ക്ഷമിക്കണം, ഞങ്ങൾ നിലവിൽ നിങ്ങളുടെ പ്രദേശത്ത് സേവനം നൽകുന്നില്ല.</v>
      </c>
      <c r="G786" s="7" t="str">
        <f>IFERROR(__xludf.DUMMYFUNCTION("GOOGLETRANSLATE(B786, ""en"", ""te"")"),"క్షమించండి, కానీ మేము ప్రస్తుతం మీ ప్రాంతంలో సేవ చేయడం లేదు.")</f>
        <v>క్షమించండి, కానీ మేము ప్రస్తుతం మీ ప్రాంతంలో సేవ చేయడం లేదు.</v>
      </c>
    </row>
    <row r="787">
      <c r="A787" s="4" t="s">
        <v>1836</v>
      </c>
      <c r="B787" s="5" t="s">
        <v>1837</v>
      </c>
      <c r="C787" s="6" t="s">
        <v>1838</v>
      </c>
      <c r="D787" s="6" t="str">
        <f>IFERROR(__xludf.DUMMYFUNCTION("GOOGLETRANSLATE(B787, ""en"", ""hi"")"),"सेवा अनुपलब्ध है")</f>
        <v>सेवा अनुपलब्ध है</v>
      </c>
      <c r="E787" s="6" t="str">
        <f>IFERROR(__xludf.DUMMYFUNCTION("GOOGLETRANSLATE(B787, ""en"", ""kn"")"),"ಸೇವೆ ಲಭ್ಯವಿಲ್ಲ")</f>
        <v>ಸೇವೆ ಲಭ್ಯವಿಲ್ಲ</v>
      </c>
      <c r="F787" s="7" t="str">
        <f>IFERROR(__xludf.DUMMYFUNCTION("GOOGLETRANSLATE(B787, ""en"", ""ml"")"),"സേവനം ലഭ്യമല്ല")</f>
        <v>സേവനം ലഭ്യമല്ല</v>
      </c>
      <c r="G787" s="7" t="str">
        <f>IFERROR(__xludf.DUMMYFUNCTION("GOOGLETRANSLATE(B787, ""en"", ""te"")"),"సేవ అందుబాటులో లేదు")</f>
        <v>సేవ అందుబాటులో లేదు</v>
      </c>
    </row>
    <row r="788">
      <c r="A788" s="4" t="s">
        <v>1839</v>
      </c>
      <c r="B788" s="5" t="s">
        <v>1840</v>
      </c>
      <c r="C788" s="6" t="s">
        <v>1841</v>
      </c>
      <c r="D788" s="6" t="str">
        <f>IFERROR(__xludf.DUMMYFUNCTION("GOOGLETRANSLATE(B788, ""en"", ""hi"")"),"अधिसूचना")</f>
        <v>अधिसूचना</v>
      </c>
      <c r="E788" s="6" t="str">
        <f>IFERROR(__xludf.DUMMYFUNCTION("GOOGLETRANSLATE(B788, ""en"", ""kn"")"),"ಅಧಿಸೂಚನೆ")</f>
        <v>ಅಧಿಸೂಚನೆ</v>
      </c>
      <c r="F788" s="7" t="str">
        <f>IFERROR(__xludf.DUMMYFUNCTION("GOOGLETRANSLATE(B788, ""en"", ""ml"")"),"അറിയിപ്പ്")</f>
        <v>അറിയിപ്പ്</v>
      </c>
      <c r="G788" s="7" t="str">
        <f>IFERROR(__xludf.DUMMYFUNCTION("GOOGLETRANSLATE(B788, ""en"", ""te"")"),"నోటిఫికేషన్")</f>
        <v>నోటిఫికేషన్</v>
      </c>
    </row>
    <row r="789">
      <c r="A789" s="4" t="s">
        <v>1842</v>
      </c>
      <c r="B789" s="5" t="s">
        <v>1843</v>
      </c>
      <c r="C789" s="6" t="s">
        <v>1844</v>
      </c>
      <c r="D789" s="6" t="str">
        <f>IFERROR(__xludf.DUMMYFUNCTION("GOOGLETRANSLATE(B789, ""en"", ""hi"")"),"सूचनाएं")</f>
        <v>सूचनाएं</v>
      </c>
      <c r="E789" s="6" t="str">
        <f>IFERROR(__xludf.DUMMYFUNCTION("GOOGLETRANSLATE(B789, ""en"", ""kn"")"),"ಅಧಿಸೂಚನೆಗಳು")</f>
        <v>ಅಧಿಸೂಚನೆಗಳು</v>
      </c>
      <c r="F789" s="7" t="str">
        <f>IFERROR(__xludf.DUMMYFUNCTION("GOOGLETRANSLATE(B789, ""en"", ""ml"")"),"അറിയിപ്പുകൾ")</f>
        <v>അറിയിപ്പുകൾ</v>
      </c>
      <c r="G789" s="7" t="str">
        <f>IFERROR(__xludf.DUMMYFUNCTION("GOOGLETRANSLATE(B789, ""en"", ""te"")"),"నోటిఫికేషన్‌లు")</f>
        <v>నోటిఫికేషన్‌లు</v>
      </c>
    </row>
    <row r="790">
      <c r="A790" s="4" t="s">
        <v>1845</v>
      </c>
      <c r="B790" s="5" t="s">
        <v>1846</v>
      </c>
      <c r="C790" s="6" t="s">
        <v>1847</v>
      </c>
      <c r="D790" s="6" t="str">
        <f>IFERROR(__xludf.DUMMYFUNCTION("GOOGLETRANSLATE(B790, ""en"", ""hi"")"),"ऑफ़र कूपन")</f>
        <v>ऑफ़र कूपन</v>
      </c>
      <c r="E790" s="6" t="str">
        <f>IFERROR(__xludf.DUMMYFUNCTION("GOOGLETRANSLATE(B790, ""en"", ""kn"")"),"ಕೂಪನ್‌ಗಳನ್ನು ನೀಡಿ")</f>
        <v>ಕೂಪನ್‌ಗಳನ್ನು ನೀಡಿ</v>
      </c>
      <c r="F790" s="7" t="str">
        <f>IFERROR(__xludf.DUMMYFUNCTION("GOOGLETRANSLATE(B790, ""en"", ""ml"")"),"കൂപ്പണുകൾ വാഗ്ദാനം ചെയ്യുക")</f>
        <v>കൂപ്പണുകൾ വാഗ്ദാനം ചെയ്യുക</v>
      </c>
      <c r="G790" s="7" t="str">
        <f>IFERROR(__xludf.DUMMYFUNCTION("GOOGLETRANSLATE(B790, ""en"", ""te"")"),"కూపన్లను ఆఫర్ చేయండి")</f>
        <v>కూపన్లను ఆఫర్ చేయండి</v>
      </c>
    </row>
    <row r="791">
      <c r="A791" s="4" t="s">
        <v>1848</v>
      </c>
      <c r="B791" s="5" t="s">
        <v>1849</v>
      </c>
      <c r="C791" s="6" t="s">
        <v>1850</v>
      </c>
      <c r="D791" s="6" t="str">
        <f>IFERROR(__xludf.DUMMYFUNCTION("GOOGLETRANSLATE(B791, ""en"", ""hi"")"),"ठीक है")</f>
        <v>ठीक है</v>
      </c>
      <c r="E791" s="6" t="str">
        <f>IFERROR(__xludf.DUMMYFUNCTION("GOOGLETRANSLATE(B791, ""en"", ""kn"")"),"ಸರಿ")</f>
        <v>ಸರಿ</v>
      </c>
      <c r="F791" s="7" t="str">
        <f>IFERROR(__xludf.DUMMYFUNCTION("GOOGLETRANSLATE(B791, ""en"", ""ml"")"),"ശരി")</f>
        <v>ശരി</v>
      </c>
      <c r="G791" s="7" t="str">
        <f>IFERROR(__xludf.DUMMYFUNCTION("GOOGLETRANSLATE(B791, ""en"", ""te"")"),"సరే")</f>
        <v>సరే</v>
      </c>
    </row>
    <row r="792">
      <c r="A792" s="4" t="s">
        <v>1851</v>
      </c>
      <c r="B792" s="5" t="s">
        <v>1852</v>
      </c>
      <c r="C792" s="6" t="s">
        <v>1853</v>
      </c>
      <c r="D792" s="6" t="str">
        <f>IFERROR(__xludf.DUMMYFUNCTION("GOOGLETRANSLATE(B792, ""en"", ""hi"")"),"सवारी पर")</f>
        <v>सवारी पर</v>
      </c>
      <c r="E792" s="6" t="str">
        <f>IFERROR(__xludf.DUMMYFUNCTION("GOOGLETRANSLATE(B792, ""en"", ""kn"")"),"ಸವಾರಿಯಲ್ಲಿ")</f>
        <v>ಸವಾರಿಯಲ್ಲಿ</v>
      </c>
      <c r="F792" s="7" t="str">
        <f>IFERROR(__xludf.DUMMYFUNCTION("GOOGLETRANSLATE(B792, ""en"", ""ml"")"),"യാത്രയിൽ")</f>
        <v>യാത്രയിൽ</v>
      </c>
      <c r="G792" s="7" t="str">
        <f>IFERROR(__xludf.DUMMYFUNCTION("GOOGLETRANSLATE(B792, ""en"", ""te"")"),"ప్రయాణంలో ఉంది")</f>
        <v>ప్రయాణంలో ఉంది</v>
      </c>
    </row>
    <row r="793">
      <c r="A793" s="4" t="s">
        <v>1854</v>
      </c>
      <c r="B793" s="5" t="s">
        <v>1855</v>
      </c>
      <c r="C793" s="6" t="s">
        <v>1856</v>
      </c>
      <c r="D793" s="6" t="str">
        <f>IFERROR(__xludf.DUMMYFUNCTION("GOOGLETRANSLATE(B793, ""en"", ""hi"")"),"चल रहे")</f>
        <v>चल रहे</v>
      </c>
      <c r="E793" s="6" t="str">
        <f>IFERROR(__xludf.DUMMYFUNCTION("GOOGLETRANSLATE(B793, ""en"", ""kn"")"),"ನಡೆಯುತ್ತಿದೆ")</f>
        <v>ನಡೆಯುತ್ತಿದೆ</v>
      </c>
      <c r="F793" s="7" t="str">
        <f>IFERROR(__xludf.DUMMYFUNCTION("GOOGLETRANSLATE(B793, ""en"", ""ml"")"),"തുടരുന്നു")</f>
        <v>തുടരുന്നു</v>
      </c>
      <c r="G793" s="7" t="str">
        <f>IFERROR(__xludf.DUMMYFUNCTION("GOOGLETRANSLATE(B793, ""en"", ""te"")"),"కొనసాగుతున్న")</f>
        <v>కొనసాగుతున్న</v>
      </c>
    </row>
    <row r="794">
      <c r="A794" s="4" t="s">
        <v>1857</v>
      </c>
      <c r="B794" s="5" t="s">
        <v>1858</v>
      </c>
      <c r="C794" s="6" t="s">
        <v>1859</v>
      </c>
      <c r="D794" s="6" t="str">
        <f>IFERROR(__xludf.DUMMYFUNCTION("GOOGLETRANSLATE(B794, ""en"", ""hi"")"),"खुली सेटिंग")</f>
        <v>खुली सेटिंग</v>
      </c>
      <c r="E794" s="6" t="str">
        <f>IFERROR(__xludf.DUMMYFUNCTION("GOOGLETRANSLATE(B794, ""en"", ""kn"")"),"ಸೆಟ್ಟಿಂಗ್‌ಗಳನ್ನು ತೆರೆಯಿರಿ")</f>
        <v>ಸೆಟ್ಟಿಂಗ್‌ಗಳನ್ನು ತೆರೆಯಿರಿ</v>
      </c>
      <c r="F794" s="7" t="str">
        <f>IFERROR(__xludf.DUMMYFUNCTION("GOOGLETRANSLATE(B794, ""en"", ""ml"")"),"ക്രമീകരണങ്ങൾ തുറക്കുക")</f>
        <v>ക്രമീകരണങ്ങൾ തുറക്കുക</v>
      </c>
      <c r="G794" s="7" t="str">
        <f>IFERROR(__xludf.DUMMYFUNCTION("GOOGLETRANSLATE(B794, ""en"", ""te"")"),"సెట్టింగ్‌లను తెరవండి")</f>
        <v>సెట్టింగ్‌లను తెరవండి</v>
      </c>
    </row>
    <row r="795">
      <c r="A795" s="4" t="s">
        <v>1860</v>
      </c>
      <c r="B795" s="5" t="s">
        <v>1861</v>
      </c>
      <c r="C795" s="6" t="s">
        <v>1862</v>
      </c>
      <c r="D795" s="6" t="str">
        <f>IFERROR(__xludf.DUMMYFUNCTION("GOOGLETRANSLATE(B795, ""en"", ""hi"")"),"ऑर्डर निर्माण विफल")</f>
        <v>ऑर्डर निर्माण विफल</v>
      </c>
      <c r="E795" s="6" t="str">
        <f>IFERROR(__xludf.DUMMYFUNCTION("GOOGLETRANSLATE(B795, ""en"", ""kn"")"),"ಆರ್ಡರ್ ರಚನೆ ವಿಫಲವಾಗಿದೆ")</f>
        <v>ಆರ್ಡರ್ ರಚನೆ ವಿಫಲವಾಗಿದೆ</v>
      </c>
      <c r="F795" s="7" t="str">
        <f>IFERROR(__xludf.DUMMYFUNCTION("GOOGLETRANSLATE(B795, ""en"", ""ml"")"),"ഓർഡർ സൃഷ്ടിക്കൽ പരാജയപ്പെട്ടു")</f>
        <v>ഓർഡർ സൃഷ്ടിക്കൽ പരാജയപ്പെട്ടു</v>
      </c>
      <c r="G795" s="7" t="str">
        <f>IFERROR(__xludf.DUMMYFUNCTION("GOOGLETRANSLATE(B795, ""en"", ""te"")"),"ఆర్డర్ సృష్టి విఫలమైంది")</f>
        <v>ఆర్డర్ సృష్టి విఫలమైంది</v>
      </c>
    </row>
    <row r="796">
      <c r="A796" s="4" t="s">
        <v>1863</v>
      </c>
      <c r="B796" s="5" t="s">
        <v>1864</v>
      </c>
      <c r="C796" s="6" t="s">
        <v>1865</v>
      </c>
      <c r="D796" s="6" t="str">
        <f>IFERROR(__xludf.DUMMYFUNCTION("GOOGLETRANSLATE(B796, ""en"", ""hi"")"),"अन्य")</f>
        <v>अन्य</v>
      </c>
      <c r="E796" s="6" t="str">
        <f>IFERROR(__xludf.DUMMYFUNCTION("GOOGLETRANSLATE(B796, ""en"", ""kn"")"),"ಇತರೆ")</f>
        <v>ಇತರೆ</v>
      </c>
      <c r="F796" s="7" t="str">
        <f>IFERROR(__xludf.DUMMYFUNCTION("GOOGLETRANSLATE(B796, ""en"", ""ml"")"),"മറ്റുള്ളവ")</f>
        <v>മറ്റുള്ളവ</v>
      </c>
      <c r="G796" s="7" t="str">
        <f>IFERROR(__xludf.DUMMYFUNCTION("GOOGLETRANSLATE(B796, ""en"", ""te"")"),"ఇతర")</f>
        <v>ఇతర</v>
      </c>
    </row>
    <row r="797">
      <c r="A797" s="4" t="s">
        <v>1866</v>
      </c>
      <c r="B797" s="5" t="s">
        <v>1867</v>
      </c>
      <c r="C797" s="6" t="s">
        <v>1865</v>
      </c>
      <c r="D797" s="6" t="str">
        <f>IFERROR(__xludf.DUMMYFUNCTION("GOOGLETRANSLATE(B797, ""en"", ""hi"")"),"अन्य")</f>
        <v>अन्य</v>
      </c>
      <c r="E797" s="6" t="str">
        <f>IFERROR(__xludf.DUMMYFUNCTION("GOOGLETRANSLATE(B797, ""en"", ""kn"")"),"ಇತರರು")</f>
        <v>ಇತರರು</v>
      </c>
      <c r="F797" s="7" t="str">
        <f>IFERROR(__xludf.DUMMYFUNCTION("GOOGLETRANSLATE(B797, ""en"", ""ml"")"),"മറ്റുള്ളവ")</f>
        <v>മറ്റുള്ളവ</v>
      </c>
      <c r="G797" s="7" t="str">
        <f>IFERROR(__xludf.DUMMYFUNCTION("GOOGLETRANSLATE(B797, ""en"", ""te"")"),"ఇతరులు")</f>
        <v>ఇతరులు</v>
      </c>
    </row>
    <row r="798">
      <c r="A798" s="4" t="s">
        <v>1868</v>
      </c>
      <c r="B798" s="5" t="s">
        <v>1869</v>
      </c>
      <c r="C798" s="6" t="s">
        <v>1870</v>
      </c>
      <c r="D798" s="6" t="str">
        <f>IFERROR(__xludf.DUMMYFUNCTION("GOOGLETRANSLATE(B798, ""en"", ""hi"")"),"ओटीपी पुनः भेजें")</f>
        <v>ओटीपी पुनः भेजें</v>
      </c>
      <c r="E798" s="6" t="str">
        <f>IFERROR(__xludf.DUMMYFUNCTION("GOOGLETRANSLATE(B798, ""en"", ""kn"")"),"OTP ಮರುಕಳುಹಿಸಿ")</f>
        <v>OTP ಮರುಕಳುಹಿಸಿ</v>
      </c>
      <c r="F798" s="7" t="str">
        <f>IFERROR(__xludf.DUMMYFUNCTION("GOOGLETRANSLATE(B798, ""en"", ""ml"")"),"OTP വീണ്ടും അയയ്ക്കുക")</f>
        <v>OTP വീണ്ടും അയയ്ക്കുക</v>
      </c>
      <c r="G798" s="7" t="str">
        <f>IFERROR(__xludf.DUMMYFUNCTION("GOOGLETRANSLATE(B798, ""en"", ""te"")"),"OTP మళ్ళీ పంపు")</f>
        <v>OTP మళ్ళీ పంపు</v>
      </c>
    </row>
    <row r="799">
      <c r="A799" s="4" t="s">
        <v>1871</v>
      </c>
      <c r="B799" s="5" t="s">
        <v>1872</v>
      </c>
      <c r="C799" s="6" t="s">
        <v>1873</v>
      </c>
      <c r="D799" s="6" t="str">
        <f>IFERROR(__xludf.DUMMYFUNCTION("GOOGLETRANSLATE(B799, ""en"", ""hi"")"),"ओटीपी सफलतापूर्वक पुनः भेजा गया")</f>
        <v>ओटीपी सफलतापूर्वक पुनः भेजा गया</v>
      </c>
      <c r="E799" s="6" t="str">
        <f>IFERROR(__xludf.DUMMYFUNCTION("GOOGLETRANSLATE(B799, ""en"", ""kn"")"),"OTP ಯಶಸ್ವಿಯಾಗಿ ಕಳುಹಿಸಲಾಗಿದೆ")</f>
        <v>OTP ಯಶಸ್ವಿಯಾಗಿ ಕಳುಹಿಸಲಾಗಿದೆ</v>
      </c>
      <c r="F799" s="7" t="str">
        <f>IFERROR(__xludf.DUMMYFUNCTION("GOOGLETRANSLATE(B799, ""en"", ""ml"")"),"OTP വിജയകരമായി അയച്ചു")</f>
        <v>OTP വിജയകരമായി അയച്ചു</v>
      </c>
      <c r="G799" s="7" t="str">
        <f>IFERROR(__xludf.DUMMYFUNCTION("GOOGLETRANSLATE(B799, ""en"", ""te"")"),"OTP విజయవంతంగా పంపబడింది")</f>
        <v>OTP విజయవంతంగా పంపబడింది</v>
      </c>
    </row>
    <row r="800">
      <c r="A800" s="4" t="s">
        <v>1874</v>
      </c>
      <c r="B800" s="5" t="s">
        <v>1875</v>
      </c>
      <c r="C800" s="6" t="s">
        <v>1876</v>
      </c>
      <c r="D800" s="6" t="str">
        <f>IFERROR(__xludf.DUMMYFUNCTION("GOOGLETRANSLATE(B800, ""en"", ""hi"")"),"ओटीपी पुनः भेजा गया")</f>
        <v>ओटीपी पुनः भेजा गया</v>
      </c>
      <c r="E800" s="6" t="str">
        <f>IFERROR(__xludf.DUMMYFUNCTION("GOOGLETRANSLATE(B800, ""en"", ""kn"")"),"OTP ಮರುಕಳುಹಿಸಲಾಗಿದೆ")</f>
        <v>OTP ಮರುಕಳುಹಿಸಲಾಗಿದೆ</v>
      </c>
      <c r="F800" s="7" t="str">
        <f>IFERROR(__xludf.DUMMYFUNCTION("GOOGLETRANSLATE(B800, ""en"", ""ml"")"),"OTP വീണ്ടും അയച്ചു")</f>
        <v>OTP വീണ്ടും അയച്ചു</v>
      </c>
      <c r="G800" s="7" t="str">
        <f>IFERROR(__xludf.DUMMYFUNCTION("GOOGLETRANSLATE(B800, ""en"", ""te"")"),"OTP మళ్ళీ పంపబడింది")</f>
        <v>OTP మళ్ళీ పంపబడింది</v>
      </c>
    </row>
    <row r="801">
      <c r="A801" s="4" t="s">
        <v>1877</v>
      </c>
      <c r="B801" s="5" t="s">
        <v>1878</v>
      </c>
      <c r="C801" s="6" t="s">
        <v>1879</v>
      </c>
      <c r="D801" s="6" t="str">
        <f>IFERROR(__xludf.DUMMYFUNCTION("GOOGLETRANSLATE(B801, ""en"", ""hi"")"),"ओटीपी भेजा गया")</f>
        <v>ओटीपी भेजा गया</v>
      </c>
      <c r="E801" s="6" t="str">
        <f>IFERROR(__xludf.DUMMYFUNCTION("GOOGLETRANSLATE(B801, ""en"", ""kn"")"),"OTP ಕಳುಹಿಸಲಾಗಿದೆ")</f>
        <v>OTP ಕಳುಹಿಸಲಾಗಿದೆ</v>
      </c>
      <c r="F801" s="7" t="str">
        <f>IFERROR(__xludf.DUMMYFUNCTION("GOOGLETRANSLATE(B801, ""en"", ""ml"")"),"OTP അയച്ചു")</f>
        <v>OTP അയച്ചു</v>
      </c>
      <c r="G801" s="7" t="str">
        <f>IFERROR(__xludf.DUMMYFUNCTION("GOOGLETRANSLATE(B801, ""en"", ""te"")"),"OTP పంపబడింది")</f>
        <v>OTP పంపబడింది</v>
      </c>
    </row>
    <row r="802">
      <c r="A802" s="4" t="s">
        <v>1880</v>
      </c>
      <c r="B802" s="5" t="s">
        <v>1881</v>
      </c>
      <c r="C802" s="6" t="s">
        <v>1882</v>
      </c>
      <c r="D802" s="6" t="str">
        <f>IFERROR(__xludf.DUMMYFUNCTION("GOOGLETRANSLATE(B802, ""en"", ""hi"")"),"आपके मोबाइल नंबर पर ओटीपी भेजा गया है")</f>
        <v>आपके मोबाइल नंबर पर ओटीपी भेजा गया है</v>
      </c>
      <c r="E802" s="6" t="str">
        <f>IFERROR(__xludf.DUMMYFUNCTION("GOOGLETRANSLATE(B802, ""en"", ""kn"")"),"ನಿಮ್ಮ ಮೊಬೈಲ್ ಸಂಖ್ಯೆಗೆ OTP ಕಳುಹಿಸಲಾಗಿದೆ")</f>
        <v>ನಿಮ್ಮ ಮೊಬೈಲ್ ಸಂಖ್ಯೆಗೆ OTP ಕಳುಹಿಸಲಾಗಿದೆ</v>
      </c>
      <c r="F802" s="7" t="str">
        <f>IFERROR(__xludf.DUMMYFUNCTION("GOOGLETRANSLATE(B802, ""en"", ""ml"")"),"നിങ്ങളുടെ മൊബൈൽ നമ്പറിലേക്ക് OTP അയച്ചു")</f>
        <v>നിങ്ങളുടെ മൊബൈൽ നമ്പറിലേക്ക് OTP അയച്ചു</v>
      </c>
      <c r="G802" s="7" t="str">
        <f>IFERROR(__xludf.DUMMYFUNCTION("GOOGLETRANSLATE(B802, ""en"", ""te"")"),"మీ మొబైల్ నంబర్‌కు OTP పంపబడింది")</f>
        <v>మీ మొబైల్ నంబర్‌కు OTP పంపబడింది</v>
      </c>
    </row>
    <row r="803">
      <c r="A803" s="4" t="s">
        <v>1883</v>
      </c>
      <c r="B803" s="5" t="s">
        <v>1884</v>
      </c>
      <c r="C803" s="6" t="s">
        <v>1885</v>
      </c>
      <c r="D803" s="6" t="str">
        <f>IFERROR(__xludf.DUMMYFUNCTION("GOOGLETRANSLATE(B803, ""en"", ""hi"")"),"ओटीपी सत्यापित")</f>
        <v>ओटीपी सत्यापित</v>
      </c>
      <c r="E803" s="6" t="str">
        <f>IFERROR(__xludf.DUMMYFUNCTION("GOOGLETRANSLATE(B803, ""en"", ""kn"")"),"OTP ಪರಿಶೀಲಿಸಲಾಗಿದೆ")</f>
        <v>OTP ಪರಿಶೀಲಿಸಲಾಗಿದೆ</v>
      </c>
      <c r="F803" s="7" t="str">
        <f>IFERROR(__xludf.DUMMYFUNCTION("GOOGLETRANSLATE(B803, ""en"", ""ml"")"),"OTP പരിശോധിച്ചുറപ്പിച്ചു")</f>
        <v>OTP പരിശോധിച്ചുറപ്പിച്ചു</v>
      </c>
      <c r="G803" s="7" t="str">
        <f>IFERROR(__xludf.DUMMYFUNCTION("GOOGLETRANSLATE(B803, ""en"", ""te"")"),"OTP ధృవీకరించబడింది")</f>
        <v>OTP ధృవీకరించబడింది</v>
      </c>
    </row>
    <row r="804">
      <c r="A804" s="4" t="s">
        <v>1886</v>
      </c>
      <c r="B804" s="5" t="s">
        <v>1887</v>
      </c>
      <c r="C804" s="6" t="s">
        <v>1888</v>
      </c>
      <c r="D804" s="6" t="str">
        <f>IFERROR(__xludf.DUMMYFUNCTION("GOOGLETRANSLATE(B804, ""en"", ""hi"")"),"हम इस सूचना को सहायता विभाग के साथ साझा करेंगे।")</f>
        <v>हम इस सूचना को सहायता विभाग के साथ साझा करेंगे।</v>
      </c>
      <c r="E804" s="6" t="str">
        <f>IFERROR(__xludf.DUMMYFUNCTION("GOOGLETRANSLATE(B804, ""en"", ""kn"")"),"ನಾವು ಈ ಟಿಪ್ಪಣಿಯನ್ನು ಬೆಂಬಲದೊಂದಿಗೆ ಹಂಚಿಕೊಳ್ಳುತ್ತೇವೆ.")</f>
        <v>ನಾವು ಈ ಟಿಪ್ಪಣಿಯನ್ನು ಬೆಂಬಲದೊಂದಿಗೆ ಹಂಚಿಕೊಳ್ಳುತ್ತೇವೆ.</v>
      </c>
      <c r="F804" s="7" t="str">
        <f>IFERROR(__xludf.DUMMYFUNCTION("GOOGLETRANSLATE(B804, ""en"", ""ml"")"),"പിന്തുണയോടെ ഞങ്ങൾ ഈ കുറിപ്പ് പങ്കിടും.")</f>
        <v>പിന്തുണയോടെ ഞങ്ങൾ ഈ കുറിപ്പ് പങ്കിടും.</v>
      </c>
      <c r="G804" s="7" t="str">
        <f>IFERROR(__xludf.DUMMYFUNCTION("GOOGLETRANSLATE(B804, ""en"", ""te"")"),"మేము ఈ గమనికను మద్దతుతో పంచుకుంటాము.")</f>
        <v>మేము ఈ గమనికను మద్దతుతో పంచుకుంటాము.</v>
      </c>
    </row>
    <row r="805">
      <c r="A805" s="4" t="s">
        <v>1889</v>
      </c>
      <c r="B805" s="5" t="s">
        <v>1890</v>
      </c>
      <c r="C805" s="6" t="s">
        <v>1891</v>
      </c>
      <c r="D805" s="6" t="str">
        <f>IFERROR(__xludf.DUMMYFUNCTION("GOOGLETRANSLATE(B805, ""en"", ""hi"")"),"हमें बताएं कि आप यात्रा क्यों समाप्त कर रहे हैं।")</f>
        <v>हमें बताएं कि आप यात्रा क्यों समाप्त कर रहे हैं।</v>
      </c>
      <c r="E805" s="6" t="str">
        <f>IFERROR(__xludf.DUMMYFUNCTION("GOOGLETRANSLATE(B805, ""en"", ""kn"")"),"ನೀವು ಪ್ರವಾಸವನ್ನು ಏಕೆ ಕೊನೆಗೊಳಿಸುತ್ತಿದ್ದೀರಿ ಎಂದು ನಮಗೆ ತಿಳಿಸಿ.")</f>
        <v>ನೀವು ಪ್ರವಾಸವನ್ನು ಏಕೆ ಕೊನೆಗೊಳಿಸುತ್ತಿದ್ದೀರಿ ಎಂದು ನಮಗೆ ತಿಳಿಸಿ.</v>
      </c>
      <c r="F805" s="7" t="str">
        <f>IFERROR(__xludf.DUMMYFUNCTION("GOOGLETRANSLATE(B805, ""en"", ""ml"")"),"എന്തുകൊണ്ടാണ് നിങ്ങൾ യാത്ര അവസാനിപ്പിക്കുന്നതെന്ന് ഞങ്ങളോട് പറയൂ.")</f>
        <v>എന്തുകൊണ്ടാണ് നിങ്ങൾ യാത്ര അവസാനിപ്പിക്കുന്നതെന്ന് ഞങ്ങളോട് പറയൂ.</v>
      </c>
      <c r="G805" s="7" t="str">
        <f>IFERROR(__xludf.DUMMYFUNCTION("GOOGLETRANSLATE(B805, ""en"", ""te"")"),"మీరు ప్రయాణాన్ని ఎందుకు ముగించారో మాకు చెప్పండి.")</f>
        <v>మీరు ప్రయాణాన్ని ఎందుకు ముగించారో మాకు చెప్పండి.</v>
      </c>
    </row>
    <row r="806">
      <c r="A806" s="4" t="s">
        <v>1892</v>
      </c>
      <c r="B806" s="5" t="s">
        <v>1893</v>
      </c>
      <c r="C806" s="6" t="s">
        <v>1894</v>
      </c>
      <c r="D806" s="6" t="str">
        <f>IFERROR(__xludf.DUMMYFUNCTION("GOOGLETRANSLATE(B806, ""en"", ""hi"")"),"बीच में ही रद्द कर दिया गया")</f>
        <v>बीच में ही रद्द कर दिया गया</v>
      </c>
      <c r="E806" s="6" t="str">
        <f>IFERROR(__xludf.DUMMYFUNCTION("GOOGLETRANSLATE(B806, ""en"", ""kn"")"),"ಮಧ್ಯದಲ್ಲಿ ರದ್ದುಗೊಳಿಸಲಾಗಿದೆ")</f>
        <v>ಮಧ್ಯದಲ್ಲಿ ರದ್ದುಗೊಳಿಸಲಾಗಿದೆ</v>
      </c>
      <c r="F806" s="7" t="str">
        <f>IFERROR(__xludf.DUMMYFUNCTION("GOOGLETRANSLATE(B806, ""en"", ""ml"")"),"പകുതി വഴിയിൽ റദ്ദാക്കി")</f>
        <v>പകുതി വഴിയിൽ റദ്ദാക്കി</v>
      </c>
      <c r="G806" s="7" t="str">
        <f>IFERROR(__xludf.DUMMYFUNCTION("GOOGLETRANSLATE(B806, ""en"", ""te"")"),"మధ్యలో రద్దు చేయబడింది")</f>
        <v>మధ్యలో రద్దు చేయబడింది</v>
      </c>
    </row>
    <row r="807">
      <c r="A807" s="4" t="s">
        <v>1895</v>
      </c>
      <c r="B807" s="5" t="s">
        <v>583</v>
      </c>
      <c r="C807" s="6" t="s">
        <v>1896</v>
      </c>
      <c r="D807" s="6" t="str">
        <f>IFERROR(__xludf.DUMMYFUNCTION("GOOGLETRANSLATE(B807, ""en"", ""hi"")"),"यात्रा समाप्त")</f>
        <v>यात्रा समाप्त</v>
      </c>
      <c r="E807" s="6" t="str">
        <f>IFERROR(__xludf.DUMMYFUNCTION("GOOGLETRANSLATE(B807, ""en"", ""kn"")"),"ಪ್ರವಾಸ ಅಂತ್ಯಗೊಳಿಸಿ")</f>
        <v>ಪ್ರವಾಸ ಅಂತ್ಯಗೊಳಿಸಿ</v>
      </c>
      <c r="F807" s="7" t="str">
        <f>IFERROR(__xludf.DUMMYFUNCTION("GOOGLETRANSLATE(B807, ""en"", ""ml"")"),"യാത്ര അവസാനിപ്പിക്കുക")</f>
        <v>യാത്ര അവസാനിപ്പിക്കുക</v>
      </c>
      <c r="G807" s="7" t="str">
        <f>IFERROR(__xludf.DUMMYFUNCTION("GOOGLETRANSLATE(B807, ""en"", ""te"")"),"యాత్రను ముగించు")</f>
        <v>యాత్రను ముగించు</v>
      </c>
    </row>
    <row r="808">
      <c r="A808" s="4" t="s">
        <v>1897</v>
      </c>
      <c r="B808" s="5" t="s">
        <v>1898</v>
      </c>
      <c r="C808" s="6" t="s">
        <v>1899</v>
      </c>
      <c r="D808" s="6" t="str">
        <f>IFERROR(__xludf.DUMMYFUNCTION("GOOGLETRANSLATE(B808, ""en"", ""hi"")"),"यात्रा में देरी का चित्रण")</f>
        <v>यात्रा में देरी का चित्रण</v>
      </c>
      <c r="E808" s="6" t="str">
        <f>IFERROR(__xludf.DUMMYFUNCTION("GOOGLETRANSLATE(B808, ""en"", ""kn"")"),"ಪ್ರಯಾಣದ ಬಾಕಿ ಇರುವ ವಿವರಣೆ")</f>
        <v>ಪ್ರಯಾಣದ ಬಾಕಿ ಇರುವ ವಿವರಣೆ</v>
      </c>
      <c r="F808" s="7" t="str">
        <f>IFERROR(__xludf.DUMMYFUNCTION("GOOGLETRANSLATE(B808, ""en"", ""ml"")"),"യാത്രാ സമയപരിധി കഴിഞ്ഞുള്ള ചിത്രീകരണം")</f>
        <v>യാത്രാ സമയപരിധി കഴിഞ്ഞുള്ള ചിത്രീകരണം</v>
      </c>
      <c r="G808" s="7" t="str">
        <f>IFERROR(__xludf.DUMMYFUNCTION("GOOGLETRANSLATE(B808, ""en"", ""te"")"),"ట్రిప్ గడువు ముగిసిన తేదీల ఉదాహరణ")</f>
        <v>ట్రిప్ గడువు ముగిసిన తేదీల ఉదాహరణ</v>
      </c>
    </row>
    <row r="809">
      <c r="A809" s="4" t="s">
        <v>1900</v>
      </c>
      <c r="B809" s="5" t="s">
        <v>1901</v>
      </c>
      <c r="C809" s="6" t="s">
        <v>1902</v>
      </c>
      <c r="D809" s="6" t="str">
        <f>IFERROR(__xludf.DUMMYFUNCTION("GOOGLETRANSLATE(B809, ""en"", ""hi"")"),"क्या मैं आपकी यात्रा की स्थिति जान सकता हूँ? कृपया नीचे दिए गए विकल्पों में से एक चुनें।")</f>
        <v>क्या मैं आपकी यात्रा की स्थिति जान सकता हूँ? कृपया नीचे दिए गए विकल्पों में से एक चुनें।</v>
      </c>
      <c r="E809" s="6" t="str">
        <f>IFERROR(__xludf.DUMMYFUNCTION("GOOGLETRANSLATE(B809, ""en"", ""kn"")"),"ನಿಮ್ಮ ಪ್ರವಾಸದ ಸ್ಥಿತಿಯನ್ನು ನಾನು ತಿಳಿದುಕೊಳ್ಳಬಹುದೇ? ದಯವಿಟ್ಟು ಕೆಳಗಿನ ಒಂದು ಆಯ್ಕೆಯನ್ನು ಆರಿಸಿ.")</f>
        <v>ನಿಮ್ಮ ಪ್ರವಾಸದ ಸ್ಥಿತಿಯನ್ನು ನಾನು ತಿಳಿದುಕೊಳ್ಳಬಹುದೇ? ದಯವಿಟ್ಟು ಕೆಳಗಿನ ಒಂದು ಆಯ್ಕೆಯನ್ನು ಆರಿಸಿ.</v>
      </c>
      <c r="F809" s="7" t="str">
        <f>IFERROR(__xludf.DUMMYFUNCTION("GOOGLETRANSLATE(B809, ""en"", ""ml"")"),"നിങ്ങളുടെ യാത്രാ സ്റ്റാറ്റസ് എനിക്ക് അറിയാമോ? താഴെയുള്ള ഒരു ഓപ്ഷൻ തിരഞ്ഞെടുക്കുക.")</f>
        <v>നിങ്ങളുടെ യാത്രാ സ്റ്റാറ്റസ് എനിക്ക് അറിയാമോ? താഴെയുള്ള ഒരു ഓപ്ഷൻ തിരഞ്ഞെടുക്കുക.</v>
      </c>
      <c r="G809" s="7" t="str">
        <f>IFERROR(__xludf.DUMMYFUNCTION("GOOGLETRANSLATE(B809, ""en"", ""te"")"),"మీ ట్రిప్ స్టేటస్ నాకు తెలియదా? దయచేసి కింద ఒక ఆప్షన్ ఎంచుకోండి.")</f>
        <v>మీ ట్రిప్ స్టేటస్ నాకు తెలియదా? దయచేసి కింద ఒక ఆప్షన్ ఎంచుకోండి.</v>
      </c>
    </row>
    <row r="810">
      <c r="A810" s="4" t="s">
        <v>1903</v>
      </c>
      <c r="B810" s="5" t="s">
        <v>1904</v>
      </c>
      <c r="C810" s="6" t="s">
        <v>1905</v>
      </c>
      <c r="D810" s="6" t="str">
        <f>IFERROR(__xludf.DUMMYFUNCTION("GOOGLETRANSLATE(B810, ""en"", ""hi"")"),"नहीं, मैं सवारी पर हूँ।")</f>
        <v>नहीं, मैं सवारी पर हूँ।</v>
      </c>
      <c r="E810" s="6" t="str">
        <f>IFERROR(__xludf.DUMMYFUNCTION("GOOGLETRANSLATE(B810, ""en"", ""kn"")"),"ಇಲ್ಲ, ನಾನು ಸವಾರಿಯಲ್ಲಿದ್ದೇನೆ.")</f>
        <v>ಇಲ್ಲ, ನಾನು ಸವಾರಿಯಲ್ಲಿದ್ದೇನೆ.</v>
      </c>
      <c r="F810" s="7" t="str">
        <f>IFERROR(__xludf.DUMMYFUNCTION("GOOGLETRANSLATE(B810, ""en"", ""ml"")"),"ഇല്ല, ഞാൻ യാത്രയിലാണ്.")</f>
        <v>ഇല്ല, ഞാൻ യാത്രയിലാണ്.</v>
      </c>
      <c r="G810" s="7" t="str">
        <f>IFERROR(__xludf.DUMMYFUNCTION("GOOGLETRANSLATE(B810, ""en"", ""te"")"),"లేదు, నేను ప్రయాణంలో ఉన్నాను.")</f>
        <v>లేదు, నేను ప్రయాణంలో ఉన్నాను.</v>
      </c>
    </row>
    <row r="811">
      <c r="A811" s="4" t="s">
        <v>1906</v>
      </c>
      <c r="B811" s="5" t="s">
        <v>1907</v>
      </c>
      <c r="C811" s="6" t="s">
        <v>1908</v>
      </c>
      <c r="D811" s="6" t="str">
        <f>IFERROR(__xludf.DUMMYFUNCTION("GOOGLETRANSLATE(B811, ""en"", ""hi"")"),"यात्रा भेजें और समाप्त करें")</f>
        <v>यात्रा भेजें और समाप्त करें</v>
      </c>
      <c r="E811" s="6" t="str">
        <f>IFERROR(__xludf.DUMMYFUNCTION("GOOGLETRANSLATE(B811, ""en"", ""kn"")"),"ಪ್ರವಾಸ ಕಳುಹಿಸಿ ಮತ್ತು ಕೊನೆಗೊಳಿಸಿ")</f>
        <v>ಪ್ರವಾಸ ಕಳುಹಿಸಿ ಮತ್ತು ಕೊನೆಗೊಳಿಸಿ</v>
      </c>
      <c r="F811" s="7" t="str">
        <f>IFERROR(__xludf.DUMMYFUNCTION("GOOGLETRANSLATE(B811, ""en"", ""ml"")"),"യാത്ര അയയ്ക്കുക, അവസാനിപ്പിക്കുക")</f>
        <v>യാത്ര അയയ്ക്കുക, അവസാനിപ്പിക്കുക</v>
      </c>
      <c r="G811" s="7" t="str">
        <f>IFERROR(__xludf.DUMMYFUNCTION("GOOGLETRANSLATE(B811, ""en"", ""te"")"),"ట్రిప్ పంపండి &amp; ముగించండి")</f>
        <v>ట్రిప్ పంపండి &amp; ముగించండి</v>
      </c>
    </row>
    <row r="812">
      <c r="A812" s="4" t="s">
        <v>1909</v>
      </c>
      <c r="B812" s="5" t="s">
        <v>1910</v>
      </c>
      <c r="C812" s="6" t="s">
        <v>1911</v>
      </c>
      <c r="D812" s="6" t="str">
        <f>IFERROR(__xludf.DUMMYFUNCTION("GOOGLETRANSLATE(B812, ""en"", ""hi"")"),"यात्रा की अवधि अनुमान से अधिक हो गई।")</f>
        <v>यात्रा की अवधि अनुमान से अधिक हो गई।</v>
      </c>
      <c r="E812" s="6" t="str">
        <f>IFERROR(__xludf.DUMMYFUNCTION("GOOGLETRANSLATE(B812, ""en"", ""kn"")"),"ಪ್ರಯಾಣದ ಅವಧಿಯು ಅಂದಾಜನ್ನು ಮೀರಿದೆ.")</f>
        <v>ಪ್ರಯಾಣದ ಅವಧಿಯು ಅಂದಾಜನ್ನು ಮೀರಿದೆ.</v>
      </c>
      <c r="F812" s="7" t="str">
        <f>IFERROR(__xludf.DUMMYFUNCTION("GOOGLETRANSLATE(B812, ""en"", ""ml"")"),"യാത്രാ ദൈർഘ്യം കണക്കാക്കിയതിലും അധികമായി")</f>
        <v>യാത്രാ ദൈർഘ്യം കണക്കാക്കിയതിലും അധികമായി</v>
      </c>
      <c r="G812" s="7" t="str">
        <f>IFERROR(__xludf.DUMMYFUNCTION("GOOGLETRANSLATE(B812, ""en"", ""te"")"),"ప్రయాణ వ్యవధి అంచనాను మించిపోయింది")</f>
        <v>ప్రయాణ వ్యవధి అంచనాను మించిపోయింది</v>
      </c>
    </row>
    <row r="813">
      <c r="A813" s="4" t="s">
        <v>1912</v>
      </c>
      <c r="B813" s="5" t="s">
        <v>1913</v>
      </c>
      <c r="C813" s="6" t="s">
        <v>1914</v>
      </c>
      <c r="D813" s="6" t="str">
        <f>IFERROR(__xludf.DUMMYFUNCTION("GOOGLETRANSLATE(B813, ""en"", ""hi"")"),"वेतन")</f>
        <v>वेतन</v>
      </c>
      <c r="E813" s="6" t="str">
        <f>IFERROR(__xludf.DUMMYFUNCTION("GOOGLETRANSLATE(B813, ""en"", ""kn"")"),"ಪಾವತಿಸಿ")</f>
        <v>ಪಾವತಿಸಿ</v>
      </c>
      <c r="F813" s="7" t="str">
        <f>IFERROR(__xludf.DUMMYFUNCTION("GOOGLETRANSLATE(B813, ""en"", ""ml"")"),"പണം നൽകുക")</f>
        <v>പണം നൽകുക</v>
      </c>
      <c r="G813" s="7" t="str">
        <f>IFERROR(__xludf.DUMMYFUNCTION("GOOGLETRANSLATE(B813, ""en"", ""te"")"),"చెల్లించండి")</f>
        <v>చెల్లించండి</v>
      </c>
    </row>
    <row r="814">
      <c r="A814" s="8" t="s">
        <v>1915</v>
      </c>
      <c r="B814" s="5" t="s">
        <v>1916</v>
      </c>
      <c r="C814" s="6" t="s">
        <v>1917</v>
      </c>
      <c r="D814" s="6" t="str">
        <f>IFERROR(__xludf.DUMMYFUNCTION("GOOGLETRANSLATE(B814, ""en"", ""hi"")"),"भुगतान करें")</f>
        <v>भुगतान करें</v>
      </c>
      <c r="E814" s="6" t="str">
        <f>IFERROR(__xludf.DUMMYFUNCTION("GOOGLETRANSLATE(B814, ""en"", ""kn"")"),"ಪಾವತಿಸಿ")</f>
        <v>ಪಾವತಿಸಿ</v>
      </c>
      <c r="F814" s="7" t="str">
        <f>IFERROR(__xludf.DUMMYFUNCTION("GOOGLETRANSLATE(B814, ""en"", ""ml"")"),"പണമടയ്ക്കുക")</f>
        <v>പണമടയ്ക്കുക</v>
      </c>
      <c r="G814" s="7" t="str">
        <f>IFERROR(__xludf.DUMMYFUNCTION("GOOGLETRANSLATE(B814, ""en"", ""te"")"),"దీని ద్వారా చెల్లించండి")</f>
        <v>దీని ద్వారా చెల్లించండి</v>
      </c>
    </row>
    <row r="815">
      <c r="A815" s="8" t="s">
        <v>1918</v>
      </c>
      <c r="B815" s="5" t="s">
        <v>1919</v>
      </c>
      <c r="C815" s="6" t="s">
        <v>1920</v>
      </c>
      <c r="D815" s="6" t="str">
        <f>IFERROR(__xludf.DUMMYFUNCTION("GOOGLETRANSLATE(B815, ""en"", ""hi"")"),"यूपीआई के माध्यम से भुगतान करें")</f>
        <v>यूपीआई के माध्यम से भुगतान करें</v>
      </c>
      <c r="E815" s="6" t="str">
        <f>IFERROR(__xludf.DUMMYFUNCTION("GOOGLETRANSLATE(B815, ""en"", ""kn"")"),"UPI ಮೂಲಕ ಪಾವತಿಸಿ")</f>
        <v>UPI ಮೂಲಕ ಪಾವತಿಸಿ</v>
      </c>
      <c r="F815" s="7" t="str">
        <f>IFERROR(__xludf.DUMMYFUNCTION("GOOGLETRANSLATE(B815, ""en"", ""ml"")"),"UPI വഴി പണമടയ്ക്കുക")</f>
        <v>UPI വഴി പണമടയ്ക്കുക</v>
      </c>
      <c r="G815" s="7" t="str">
        <f>IFERROR(__xludf.DUMMYFUNCTION("GOOGLETRANSLATE(B815, ""en"", ""te"")"),"UPI ద్వారా చెల్లించండి")</f>
        <v>UPI ద్వారా చెల్లించండి</v>
      </c>
    </row>
    <row r="816">
      <c r="A816" s="8" t="s">
        <v>1921</v>
      </c>
      <c r="B816" s="5" t="s">
        <v>1922</v>
      </c>
      <c r="C816" s="6" t="s">
        <v>1923</v>
      </c>
      <c r="D816" s="6" t="str">
        <f>IFERROR(__xludf.DUMMYFUNCTION("GOOGLETRANSLATE(B816, ""en"", ""hi"")"),"भुगतान")</f>
        <v>भुगतान</v>
      </c>
      <c r="E816" s="6" t="str">
        <f>IFERROR(__xludf.DUMMYFUNCTION("GOOGLETRANSLATE(B816, ""en"", ""kn"")"),"ಪಾವತಿ")</f>
        <v>ಪಾವತಿ</v>
      </c>
      <c r="F816" s="7" t="str">
        <f>IFERROR(__xludf.DUMMYFUNCTION("GOOGLETRANSLATE(B816, ""en"", ""ml"")"),"പേയ്മെന്റ്")</f>
        <v>പേയ്മെന്റ്</v>
      </c>
      <c r="G816" s="7" t="str">
        <f>IFERROR(__xludf.DUMMYFUNCTION("GOOGLETRANSLATE(B816, ""en"", ""te"")"),"చెల్లింపు")</f>
        <v>చెల్లింపు</v>
      </c>
    </row>
    <row r="817">
      <c r="A817" s="8" t="s">
        <v>1924</v>
      </c>
      <c r="B817" s="5" t="s">
        <v>1925</v>
      </c>
      <c r="C817" s="6" t="s">
        <v>1926</v>
      </c>
      <c r="D817" s="6" t="str">
        <f>IFERROR(__xludf.DUMMYFUNCTION("GOOGLETRANSLATE(B817, ""en"", ""hi"")"),"भुगतान विफल रही")</f>
        <v>भुगतान विफल रही</v>
      </c>
      <c r="E817" s="6" t="str">
        <f>IFERROR(__xludf.DUMMYFUNCTION("GOOGLETRANSLATE(B817, ""en"", ""kn"")"),"ಪಾವತಿ ವಿಫಲವಾಗಿದೆ")</f>
        <v>ಪಾವತಿ ವಿಫಲವಾಗಿದೆ</v>
      </c>
      <c r="F817" s="7" t="str">
        <f>IFERROR(__xludf.DUMMYFUNCTION("GOOGLETRANSLATE(B817, ""en"", ""ml"")"),"പേയ്‌മെന്റ് പരാജയപ്പെട്ടു")</f>
        <v>പേയ്‌മെന്റ് പരാജയപ്പെട്ടു</v>
      </c>
      <c r="G817" s="7" t="str">
        <f>IFERROR(__xludf.DUMMYFUNCTION("GOOGLETRANSLATE(B817, ""en"", ""te"")"),"చెల్లింపు విఫలమైంది")</f>
        <v>చెల్లింపు విఫలమైంది</v>
      </c>
    </row>
    <row r="818">
      <c r="A818" s="8" t="s">
        <v>1927</v>
      </c>
      <c r="B818" s="5" t="s">
        <v>1928</v>
      </c>
      <c r="C818" s="6" t="str">
        <f>IFERROR(__xludf.DUMMYFUNCTION("GOOGLETRANSLATE(B818, ""en"", ""ta"")"),"கட்டண நுழைவாயில் கட்டணம்")</f>
        <v>கட்டண நுழைவாயில் கட்டணம்</v>
      </c>
      <c r="D818" s="6" t="str">
        <f>IFERROR(__xludf.DUMMYFUNCTION("GOOGLETRANSLATE(B818, ""en"", ""hi"")"),"भुगतान गेटवे शुल्क")</f>
        <v>भुगतान गेटवे शुल्क</v>
      </c>
      <c r="E818" s="6" t="str">
        <f>IFERROR(__xludf.DUMMYFUNCTION("GOOGLETRANSLATE(B818, ""en"", ""kn"")"),"ಪಾವತಿ ಗೇಟ್‌ವೇ ಶುಲ್ಕ")</f>
        <v>ಪಾವತಿ ಗೇಟ್‌ವೇ ಶುಲ್ಕ</v>
      </c>
      <c r="F818" s="7" t="str">
        <f>IFERROR(__xludf.DUMMYFUNCTION("GOOGLETRANSLATE(B818, ""en"", ""ml"")"),"പേയ്‌മെന്റ് ഗേറ്റ്‌വേ ഫീസ്")</f>
        <v>പേയ്‌മെന്റ് ഗേറ്റ്‌വേ ഫീസ്</v>
      </c>
      <c r="G818" s="7" t="str">
        <f>IFERROR(__xludf.DUMMYFUNCTION("GOOGLETRANSLATE(B818, ""en"", ""te"")"),"చెల్లింపు గేట్‌వే రుసుము")</f>
        <v>చెల్లింపు గేట్‌వే రుసుము</v>
      </c>
    </row>
    <row r="819">
      <c r="A819" s="8" t="s">
        <v>1929</v>
      </c>
      <c r="B819" s="5" t="s">
        <v>1930</v>
      </c>
      <c r="C819" s="6" t="str">
        <f>IFERROR(__xludf.DUMMYFUNCTION("GOOGLETRANSLATE(B819, ""en"", ""ta"")"),"கட்டண நுழைவாயில் கட்டணம் + ஜிஎஸ்டி")</f>
        <v>கட்டண நுழைவாயில் கட்டணம் + ஜிஎஸ்டி</v>
      </c>
      <c r="D819" s="6" t="str">
        <f>IFERROR(__xludf.DUMMYFUNCTION("GOOGLETRANSLATE(B819, ""en"", ""hi"")"),"भुगतान गेटवे शुल्क + जीएसटी")</f>
        <v>भुगतान गेटवे शुल्क + जीएसटी</v>
      </c>
      <c r="E819" s="6" t="str">
        <f>IFERROR(__xludf.DUMMYFUNCTION("GOOGLETRANSLATE(B819, ""en"", ""kn"")"),"ಪಾವತಿ ಗೇಟ್‌ವೇ ಶುಲ್ಕ + GST")</f>
        <v>ಪಾವತಿ ಗೇಟ್‌ವೇ ಶುಲ್ಕ + GST</v>
      </c>
      <c r="F819" s="7" t="str">
        <f>IFERROR(__xludf.DUMMYFUNCTION("GOOGLETRANSLATE(B819, ""en"", ""ml"")"),"പേയ്‌മെന്റ് ഗേറ്റ്‌വേ ഫീസ് + ജിഎസ്ടി")</f>
        <v>പേയ്‌മെന്റ് ഗേറ്റ്‌വേ ഫീസ് + ജിഎസ്ടി</v>
      </c>
      <c r="G819" s="7" t="str">
        <f>IFERROR(__xludf.DUMMYFUNCTION("GOOGLETRANSLATE(B819, ""en"", ""te"")"),"చెల్లింపు గేట్‌వే రుసుము + GST")</f>
        <v>చెల్లింపు గేట్‌వే రుసుము + GST</v>
      </c>
    </row>
    <row r="820">
      <c r="A820" s="8" t="s">
        <v>1931</v>
      </c>
      <c r="B820" s="5" t="s">
        <v>1932</v>
      </c>
      <c r="C820" s="6" t="str">
        <f>IFERROR(__xludf.DUMMYFUNCTION("GOOGLETRANSLATE(B820, ""en"", ""ta"")"),"கட்டண நுழைவாயில் ஜிஎஸ்டி")</f>
        <v>கட்டண நுழைவாயில் ஜிஎஸ்டி</v>
      </c>
      <c r="D820" s="6" t="str">
        <f>IFERROR(__xludf.DUMMYFUNCTION("GOOGLETRANSLATE(B820, ""en"", ""hi"")"),"भुगतान गेटवे जीएसटी")</f>
        <v>भुगतान गेटवे जीएसटी</v>
      </c>
      <c r="E820" s="6" t="str">
        <f>IFERROR(__xludf.DUMMYFUNCTION("GOOGLETRANSLATE(B820, ""en"", ""kn"")"),"ಪಾವತಿ ಗೇಟ್‌ವೇ GST")</f>
        <v>ಪಾವತಿ ಗೇಟ್‌ವೇ GST</v>
      </c>
      <c r="F820" s="7" t="str">
        <f>IFERROR(__xludf.DUMMYFUNCTION("GOOGLETRANSLATE(B820, ""en"", ""ml"")"),"പേയ്‌മെന്റ് ഗേറ്റ്‌വേ ജിഎസ്ടി")</f>
        <v>പേയ്‌മെന്റ് ഗേറ്റ്‌വേ ജിഎസ്ടി</v>
      </c>
      <c r="G820" s="7" t="str">
        <f>IFERROR(__xludf.DUMMYFUNCTION("GOOGLETRANSLATE(B820, ""en"", ""te"")"),"చెల్లింపు గేట్‌వే GST")</f>
        <v>చెల్లింపు గేట్‌వే GST</v>
      </c>
    </row>
    <row r="821">
      <c r="A821" s="8" t="s">
        <v>1933</v>
      </c>
      <c r="B821" s="5" t="s">
        <v>1934</v>
      </c>
      <c r="C821" s="6" t="s">
        <v>1935</v>
      </c>
      <c r="D821" s="6" t="str">
        <f>IFERROR(__xludf.DUMMYFUNCTION("GOOGLETRANSLATE(B821, ""en"", ""hi"")"),"भुगतान जानकारी")</f>
        <v>भुगतान जानकारी</v>
      </c>
      <c r="E821" s="6" t="str">
        <f>IFERROR(__xludf.DUMMYFUNCTION("GOOGLETRANSLATE(B821, ""en"", ""kn"")"),"ಪಾವತಿ ಮಾಹಿತಿ")</f>
        <v>ಪಾವತಿ ಮಾಹಿತಿ</v>
      </c>
      <c r="F821" s="7" t="str">
        <f>IFERROR(__xludf.DUMMYFUNCTION("GOOGLETRANSLATE(B821, ""en"", ""ml"")"),"പേയ്‌മെന്റ് വിവരങ്ങൾ")</f>
        <v>പേയ്‌മെന്റ് വിവരങ്ങൾ</v>
      </c>
      <c r="G821" s="7" t="str">
        <f>IFERROR(__xludf.DUMMYFUNCTION("GOOGLETRANSLATE(B821, ""en"", ""te"")"),"చెల్లింపు సమాచారం")</f>
        <v>చెల్లింపు సమాచారం</v>
      </c>
    </row>
    <row r="822">
      <c r="A822" s="8" t="s">
        <v>1936</v>
      </c>
      <c r="B822" s="5" t="s">
        <v>521</v>
      </c>
      <c r="C822" s="6" t="s">
        <v>1937</v>
      </c>
      <c r="D822" s="6" t="str">
        <f>IFERROR(__xludf.DUMMYFUNCTION("GOOGLETRANSLATE(B822, ""en"", ""hi"")"),"भुगतान विधि")</f>
        <v>भुगतान विधि</v>
      </c>
      <c r="E822" s="6" t="str">
        <f>IFERROR(__xludf.DUMMYFUNCTION("GOOGLETRANSLATE(B822, ""en"", ""kn"")"),"ಪಾವತಿ ವಿಧಾನ")</f>
        <v>ಪಾವತಿ ವಿಧಾನ</v>
      </c>
      <c r="F822" s="7" t="str">
        <f>IFERROR(__xludf.DUMMYFUNCTION("GOOGLETRANSLATE(B822, ""en"", ""ml"")"),"പണമടയ്ക്കൽ രീതി")</f>
        <v>പണമടയ്ക്കൽ രീതി</v>
      </c>
      <c r="G822" s="7" t="str">
        <f>IFERROR(__xludf.DUMMYFUNCTION("GOOGLETRANSLATE(B822, ""en"", ""te"")"),"చెల్లింపు విధానం")</f>
        <v>చెల్లింపు విధానం</v>
      </c>
    </row>
    <row r="823">
      <c r="A823" s="8" t="s">
        <v>1938</v>
      </c>
      <c r="B823" s="5" t="s">
        <v>1939</v>
      </c>
      <c r="C823" s="6" t="s">
        <v>1940</v>
      </c>
      <c r="D823" s="6" t="str">
        <f>IFERROR(__xludf.DUMMYFUNCTION("GOOGLETRANSLATE(B823, ""en"", ""hi"")"),"भुगतान विधि आवश्यक है")</f>
        <v>भुगतान विधि आवश्यक है</v>
      </c>
      <c r="E823" s="6" t="str">
        <f>IFERROR(__xludf.DUMMYFUNCTION("GOOGLETRANSLATE(B823, ""en"", ""kn"")"),"ಪಾವತಿ ವಿಧಾನದ ಅಗತ್ಯವಿದೆ")</f>
        <v>ಪಾವತಿ ವಿಧಾನದ ಅಗತ್ಯವಿದೆ</v>
      </c>
      <c r="F823" s="7" t="str">
        <f>IFERROR(__xludf.DUMMYFUNCTION("GOOGLETRANSLATE(B823, ""en"", ""ml"")"),"പേയ്‌മെന്റ് രീതി ആവശ്യമാണ്")</f>
        <v>പേയ്‌മെന്റ് രീതി ആവശ്യമാണ്</v>
      </c>
      <c r="G823" s="7" t="str">
        <f>IFERROR(__xludf.DUMMYFUNCTION("GOOGLETRANSLATE(B823, ""en"", ""te"")"),"చెల్లింపు పద్ధతి అవసరం")</f>
        <v>చెల్లింపు పద్ధతి అవసరం</v>
      </c>
    </row>
    <row r="824">
      <c r="A824" s="8" t="s">
        <v>1941</v>
      </c>
      <c r="B824" s="5" t="s">
        <v>1942</v>
      </c>
      <c r="C824" s="6" t="s">
        <v>1943</v>
      </c>
      <c r="D824" s="6" t="str">
        <f>IFERROR(__xludf.DUMMYFUNCTION("GOOGLETRANSLATE(B824, ""en"", ""hi"")"),"भुगतान के तरीके")</f>
        <v>भुगतान के तरीके</v>
      </c>
      <c r="E824" s="6" t="str">
        <f>IFERROR(__xludf.DUMMYFUNCTION("GOOGLETRANSLATE(B824, ""en"", ""kn"")"),"ಪಾವತಿ ವಿಧಾನಗಳು")</f>
        <v>ಪಾವತಿ ವಿಧಾನಗಳು</v>
      </c>
      <c r="F824" s="7" t="str">
        <f>IFERROR(__xludf.DUMMYFUNCTION("GOOGLETRANSLATE(B824, ""en"", ""ml"")"),"പേയ്‌മെന്റ് രീതികൾ")</f>
        <v>പേയ്‌മെന്റ് രീതികൾ</v>
      </c>
      <c r="G824" s="7" t="str">
        <f>IFERROR(__xludf.DUMMYFUNCTION("GOOGLETRANSLATE(B824, ""en"", ""te"")"),"చెల్లింపు పద్ధతులు")</f>
        <v>చెల్లింపు పద్ధతులు</v>
      </c>
    </row>
    <row r="825">
      <c r="A825" s="8" t="s">
        <v>1944</v>
      </c>
      <c r="B825" s="5" t="s">
        <v>683</v>
      </c>
      <c r="C825" s="6" t="s">
        <v>1945</v>
      </c>
      <c r="D825" s="6" t="str">
        <f>IFERROR(__xludf.DUMMYFUNCTION("GOOGLETRANSLATE(B825, ""en"", ""hi"")"),"स्थिति")</f>
        <v>स्थिति</v>
      </c>
      <c r="E825" s="6" t="str">
        <f>IFERROR(__xludf.DUMMYFUNCTION("GOOGLETRANSLATE(B825, ""en"", ""kn"")"),"ಸ್ಥಿತಿ")</f>
        <v>ಸ್ಥಿತಿ</v>
      </c>
      <c r="F825" s="7" t="str">
        <f>IFERROR(__xludf.DUMMYFUNCTION("GOOGLETRANSLATE(B825, ""en"", ""ml"")"),"പദവി")</f>
        <v>പദവി</v>
      </c>
      <c r="G825" s="7" t="str">
        <f>IFERROR(__xludf.DUMMYFUNCTION("GOOGLETRANSLATE(B825, ""en"", ""te"")"),"స్థితి")</f>
        <v>స్థితి</v>
      </c>
    </row>
    <row r="826">
      <c r="A826" s="8" t="s">
        <v>1946</v>
      </c>
      <c r="B826" s="5" t="s">
        <v>1947</v>
      </c>
      <c r="C826" s="6" t="s">
        <v>1948</v>
      </c>
      <c r="D826" s="6" t="str">
        <f>IFERROR(__xludf.DUMMYFUNCTION("GOOGLETRANSLATE(B826, ""en"", ""hi"")"),"भुगतान सफल रहा")</f>
        <v>भुगतान सफल रहा</v>
      </c>
      <c r="E826" s="6" t="str">
        <f>IFERROR(__xludf.DUMMYFUNCTION("GOOGLETRANSLATE(B826, ""en"", ""kn"")"),"ಪಾವತಿ ಯಶಸ್ವಿಯಾಗಿದೆ")</f>
        <v>ಪಾವತಿ ಯಶಸ್ವಿಯಾಗಿದೆ</v>
      </c>
      <c r="F826" s="7" t="str">
        <f>IFERROR(__xludf.DUMMYFUNCTION("GOOGLETRANSLATE(B826, ""en"", ""ml"")"),"പേയ്‌മെന്റ് വിജയകരം")</f>
        <v>പേയ്‌മെന്റ് വിജയകരം</v>
      </c>
      <c r="G826" s="7" t="str">
        <f>IFERROR(__xludf.DUMMYFUNCTION("GOOGLETRANSLATE(B826, ""en"", ""te"")"),"చెల్లింపు విజయవంతమైంది")</f>
        <v>చెల్లింపు విజయవంతమైంది</v>
      </c>
    </row>
    <row r="827">
      <c r="A827" s="8" t="s">
        <v>1949</v>
      </c>
      <c r="B827" s="5" t="s">
        <v>1950</v>
      </c>
      <c r="C827" s="6" t="s">
        <v>1951</v>
      </c>
      <c r="D827" s="6" t="str">
        <f>IFERROR(__xludf.DUMMYFUNCTION("GOOGLETRANSLATE(B827, ""en"", ""hi"")"),"स्थान चुनें")</f>
        <v>स्थान चुनें</v>
      </c>
      <c r="E827" s="6" t="str">
        <f>IFERROR(__xludf.DUMMYFUNCTION("GOOGLETRANSLATE(B827, ""en"", ""kn"")"),"ಸ್ಥಳವನ್ನು ಆರಿಸಿ")</f>
        <v>ಸ್ಥಳವನ್ನು ಆರಿಸಿ</v>
      </c>
      <c r="F827" s="7" t="str">
        <f>IFERROR(__xludf.DUMMYFUNCTION("GOOGLETRANSLATE(B827, ""en"", ""ml"")"),"സ്ഥലം തിരഞ്ഞെടുക്കുക")</f>
        <v>സ്ഥലം തിരഞ്ഞെടുക്കുക</v>
      </c>
      <c r="G827" s="7" t="str">
        <f>IFERROR(__xludf.DUMMYFUNCTION("GOOGLETRANSLATE(B827, ""en"", ""te"")"),"స్థానాన్ని ఎంచుకోండి")</f>
        <v>స్థానాన్ని ఎంచుకోండి</v>
      </c>
    </row>
    <row r="828">
      <c r="A828" s="8" t="s">
        <v>1952</v>
      </c>
      <c r="B828" s="17" t="s">
        <v>1553</v>
      </c>
      <c r="C828" s="6" t="s">
        <v>1953</v>
      </c>
      <c r="D828" s="6" t="str">
        <f>IFERROR(__xludf.DUMMYFUNCTION("GOOGLETRANSLATE(B828, ""en"", ""hi"")"),"उठाना")</f>
        <v>उठाना</v>
      </c>
      <c r="E828" s="6" t="str">
        <f>IFERROR(__xludf.DUMMYFUNCTION("GOOGLETRANSLATE(B828, ""en"", ""kn"")"),"ಪಿಕಪ್")</f>
        <v>ಪಿಕಪ್</v>
      </c>
      <c r="F828" s="7" t="str">
        <f>IFERROR(__xludf.DUMMYFUNCTION("GOOGLETRANSLATE(B828, ""en"", ""ml"")"),"പുരോഗമിക്കുക")</f>
        <v>പുരോഗമിക്കുക</v>
      </c>
      <c r="G828" s="7" t="str">
        <f>IFERROR(__xludf.DUMMYFUNCTION("GOOGLETRANSLATE(B828, ""en"", ""te"")"),"పికప్")</f>
        <v>పికప్</v>
      </c>
    </row>
    <row r="829">
      <c r="A829" s="8" t="s">
        <v>1954</v>
      </c>
      <c r="B829" s="5" t="s">
        <v>1955</v>
      </c>
      <c r="C829" s="6" t="s">
        <v>1956</v>
      </c>
      <c r="D829" s="6" t="str">
        <f>IFERROR(__xludf.DUMMYFUNCTION("GOOGLETRANSLATE(B829, ""en"", ""hi"")"),"लेने की जगह")</f>
        <v>लेने की जगह</v>
      </c>
      <c r="E829" s="6" t="str">
        <f>IFERROR(__xludf.DUMMYFUNCTION("GOOGLETRANSLATE(B829, ""en"", ""kn"")"),"ಪಿಕಪ್ ಸ್ಥಳ")</f>
        <v>ಪಿಕಪ್ ಸ್ಥಳ</v>
      </c>
      <c r="F829" s="7" t="str">
        <f>IFERROR(__xludf.DUMMYFUNCTION("GOOGLETRANSLATE(B829, ""en"", ""ml"")"),"പിക്കപ്പ് ലൊക്കേഷൻ")</f>
        <v>പിക്കപ്പ് ലൊക്കേഷൻ</v>
      </c>
      <c r="G829" s="7" t="str">
        <f>IFERROR(__xludf.DUMMYFUNCTION("GOOGLETRANSLATE(B829, ""en"", ""te"")"),"పికప్ స్థానం")</f>
        <v>పికప్ స్థానం</v>
      </c>
    </row>
    <row r="830">
      <c r="A830" s="8" t="s">
        <v>1957</v>
      </c>
      <c r="B830" s="5" t="s">
        <v>1958</v>
      </c>
      <c r="C830" s="6" t="s">
        <v>1959</v>
      </c>
      <c r="D830" s="6" t="str">
        <f>IFERROR(__xludf.DUMMYFUNCTION("GOOGLETRANSLATE(B830, ""en"", ""hi"")"),"अभी उठाएँ")</f>
        <v>अभी उठाएँ</v>
      </c>
      <c r="E830" s="6" t="str">
        <f>IFERROR(__xludf.DUMMYFUNCTION("GOOGLETRANSLATE(B830, ""en"", ""kn"")"),"ಈಗಲೇ ತೆಗೆದುಕೊಳ್ಳಿ")</f>
        <v>ಈಗಲೇ ತೆಗೆದುಕೊಳ್ಳಿ</v>
      </c>
      <c r="F830" s="7" t="str">
        <f>IFERROR(__xludf.DUMMYFUNCTION("GOOGLETRANSLATE(B830, ""en"", ""ml"")"),"ഇപ്പോൾ പിക്കപ്പ് ചെയ്യുക")</f>
        <v>ഇപ്പോൾ പിക്കപ്പ് ചെയ്യുക</v>
      </c>
      <c r="G830" s="7" t="str">
        <f>IFERROR(__xludf.DUMMYFUNCTION("GOOGLETRANSLATE(B830, ""en"", ""te"")"),"ఇప్పుడే తీసుకోండి")</f>
        <v>ఇప్పుడే తీసుకోండి</v>
      </c>
    </row>
    <row r="831">
      <c r="A831" s="8" t="s">
        <v>1960</v>
      </c>
      <c r="B831" s="5" t="s">
        <v>1961</v>
      </c>
      <c r="C831" s="6" t="s">
        <v>1962</v>
      </c>
      <c r="D831" s="6" t="str">
        <f>IFERROR(__xludf.DUMMYFUNCTION("GOOGLETRANSLATE(B831, ""en"", ""hi"")"),"पिक अप बिंदु")</f>
        <v>पिक अप बिंदु</v>
      </c>
      <c r="E831" s="6" t="str">
        <f>IFERROR(__xludf.DUMMYFUNCTION("GOOGLETRANSLATE(B831, ""en"", ""kn"")"),"ಪಿಕಪ್ ಪಾಯಿಂಟ್")</f>
        <v>ಪಿಕಪ್ ಪಾಯಿಂಟ್</v>
      </c>
      <c r="F831" s="7" t="str">
        <f>IFERROR(__xludf.DUMMYFUNCTION("GOOGLETRANSLATE(B831, ""en"", ""ml"")"),"പിക്കപ്പ് പോയിന്റ്")</f>
        <v>പിക്കപ്പ് പോയിന്റ്</v>
      </c>
      <c r="G831" s="7" t="str">
        <f>IFERROR(__xludf.DUMMYFUNCTION("GOOGLETRANSLATE(B831, ""en"", ""te"")"),"పికప్ పాయింట్")</f>
        <v>పికప్ పాయింట్</v>
      </c>
    </row>
    <row r="832">
      <c r="A832" s="8" t="s">
        <v>1963</v>
      </c>
      <c r="B832" s="5" t="s">
        <v>1964</v>
      </c>
      <c r="C832" s="6" t="s">
        <v>1965</v>
      </c>
      <c r="D832" s="6" t="str">
        <f>IFERROR(__xludf.DUMMYFUNCTION("GOOGLETRANSLATE(B832, ""en"", ""hi"")"),"स्थान सफलतापूर्वक हटा दिया गया")</f>
        <v>स्थान सफलतापूर्वक हटा दिया गया</v>
      </c>
      <c r="E832" s="6" t="str">
        <f>IFERROR(__xludf.DUMMYFUNCTION("GOOGLETRANSLATE(B832, ""en"", ""kn"")"),"ಸ್ಥಳವನ್ನು ಯಶಸ್ವಿಯಾಗಿ ಅಳಿಸಲಾಗಿದೆ.")</f>
        <v>ಸ್ಥಳವನ್ನು ಯಶಸ್ವಿಯಾಗಿ ಅಳಿಸಲಾಗಿದೆ.</v>
      </c>
      <c r="F832" s="7" t="str">
        <f>IFERROR(__xludf.DUMMYFUNCTION("GOOGLETRANSLATE(B832, ""en"", ""ml"")"),"സ്ഥലം വിജയകരമായി ഇല്ലാതാക്കി")</f>
        <v>സ്ഥലം വിജയകരമായി ഇല്ലാതാക്കി</v>
      </c>
      <c r="G832" s="7" t="str">
        <f>IFERROR(__xludf.DUMMYFUNCTION("GOOGLETRANSLATE(B832, ""en"", ""te"")"),"స్థలం విజయవంతంగా తొలగించబడింది")</f>
        <v>స్థలం విజయవంతంగా తొలగించబడింది</v>
      </c>
    </row>
    <row r="833">
      <c r="A833" s="4" t="s">
        <v>1966</v>
      </c>
      <c r="B833" s="5" t="s">
        <v>1967</v>
      </c>
      <c r="C833" s="6" t="s">
        <v>1968</v>
      </c>
      <c r="D833" s="6" t="str">
        <f>IFERROR(__xludf.DUMMYFUNCTION("GOOGLETRANSLATE(B833, ""en"", ""hi"")"),"स्थान सफलतापूर्वक सहेज लिया गया")</f>
        <v>स्थान सफलतापूर्वक सहेज लिया गया</v>
      </c>
      <c r="E833" s="6" t="str">
        <f>IFERROR(__xludf.DUMMYFUNCTION("GOOGLETRANSLATE(B833, ""en"", ""kn"")"),"ಸ್ಥಳವನ್ನು ಯಶಸ್ವಿಯಾಗಿ ಉಳಿಸಲಾಗಿದೆ.")</f>
        <v>ಸ್ಥಳವನ್ನು ಯಶಸ್ವಿಯಾಗಿ ಉಳಿಸಲಾಗಿದೆ.</v>
      </c>
      <c r="F833" s="7" t="str">
        <f>IFERROR(__xludf.DUMMYFUNCTION("GOOGLETRANSLATE(B833, ""en"", ""ml"")"),"സ്ഥലം വിജയകരമായി സംരക്ഷിച്ചു.")</f>
        <v>സ്ഥലം വിജയകരമായി സംരക്ഷിച്ചു.</v>
      </c>
      <c r="G833" s="7" t="str">
        <f>IFERROR(__xludf.DUMMYFUNCTION("GOOGLETRANSLATE(B833, ""en"", ""te"")"),"స్థలం విజయవంతంగా సేవ్ చేయబడింది")</f>
        <v>స్థలం విజయవంతంగా సేవ్ చేయబడింది</v>
      </c>
    </row>
    <row r="834">
      <c r="A834" s="4" t="s">
        <v>1969</v>
      </c>
      <c r="B834" s="5" t="s">
        <v>1970</v>
      </c>
      <c r="C834" s="6" t="s">
        <v>1971</v>
      </c>
      <c r="D834" s="6" t="str">
        <f>IFERROR(__xludf.DUMMYFUNCTION("GOOGLETRANSLATE(B834, ""en"", ""hi"")"),"स्थान सफलतापूर्वक अपडेट हो गया")</f>
        <v>स्थान सफलतापूर्वक अपडेट हो गया</v>
      </c>
      <c r="E834" s="6" t="str">
        <f>IFERROR(__xludf.DUMMYFUNCTION("GOOGLETRANSLATE(B834, ""en"", ""kn"")"),"ಸ್ಥಳವನ್ನು ಯಶಸ್ವಿಯಾಗಿ ನವೀಕರಿಸಲಾಗಿದೆ.")</f>
        <v>ಸ್ಥಳವನ್ನು ಯಶಸ್ವಿಯಾಗಿ ನವೀಕರಿಸಲಾಗಿದೆ.</v>
      </c>
      <c r="F834" s="7" t="str">
        <f>IFERROR(__xludf.DUMMYFUNCTION("GOOGLETRANSLATE(B834, ""en"", ""ml"")"),"സ്ഥലം വിജയകരമായി അപ്ഡേറ്റ് ചെയ്തു")</f>
        <v>സ്ഥലം വിജയകരമായി അപ്ഡേറ്റ് ചെയ്തു</v>
      </c>
      <c r="G834" s="7" t="str">
        <f>IFERROR(__xludf.DUMMYFUNCTION("GOOGLETRANSLATE(B834, ""en"", ""te"")"),"స్థలం విజయవంతంగా నవీకరించబడింది")</f>
        <v>స్థలం విజయవంతంగా నవీకరించబడింది</v>
      </c>
    </row>
    <row r="835">
      <c r="A835" s="4" t="s">
        <v>1972</v>
      </c>
      <c r="B835" s="5" t="s">
        <v>1973</v>
      </c>
      <c r="C835" s="6" t="s">
        <v>1974</v>
      </c>
      <c r="D835" s="6" t="str">
        <f>IFERROR(__xludf.DUMMYFUNCTION("GOOGLETRANSLATE(B835, ""en"", ""hi"")"),"अपनी यात्रा की योजना बनाएं")</f>
        <v>अपनी यात्रा की योजना बनाएं</v>
      </c>
      <c r="E835" s="6" t="str">
        <f>IFERROR(__xludf.DUMMYFUNCTION("GOOGLETRANSLATE(B835, ""en"", ""kn"")"),"ನಿಮ್ಮ ಪ್ರವಾಸವನ್ನು ಯೋಜಿಸಿ")</f>
        <v>ನಿಮ್ಮ ಪ್ರವಾಸವನ್ನು ಯೋಜಿಸಿ</v>
      </c>
      <c r="F835" s="7" t="str">
        <f>IFERROR(__xludf.DUMMYFUNCTION("GOOGLETRANSLATE(B835, ""en"", ""ml"")"),"നിങ്ങളുടെ യാത്ര ആസൂത്രണം ചെയ്യുക")</f>
        <v>നിങ്ങളുടെ യാത്ര ആസൂത്രണം ചെയ്യുക</v>
      </c>
      <c r="G835" s="7" t="str">
        <f>IFERROR(__xludf.DUMMYFUNCTION("GOOGLETRANSLATE(B835, ""en"", ""te"")"),"మీ యాత్రను ప్లాన్ చేసుకోండి")</f>
        <v>మీ యాత్రను ప్లాన్ చేసుకోండి</v>
      </c>
    </row>
    <row r="836">
      <c r="A836" s="4" t="s">
        <v>1975</v>
      </c>
      <c r="B836" s="5" t="s">
        <v>1976</v>
      </c>
      <c r="C836" s="6" t="s">
        <v>1089</v>
      </c>
      <c r="D836" s="6" t="str">
        <f>IFERROR(__xludf.DUMMYFUNCTION("GOOGLETRANSLATE(B836, ""en"", ""hi"")"),"कृपया सहायता टीम से संपर्क करें।")</f>
        <v>कृपया सहायता टीम से संपर्क करें।</v>
      </c>
      <c r="E836" s="6" t="str">
        <f>IFERROR(__xludf.DUMMYFUNCTION("GOOGLETRANSLATE(B836, ""en"", ""kn"")"),"ದಯವಿಟ್ಟು ಬೆಂಬಲವನ್ನು ಸಂಪರ್ಕಿಸಿ")</f>
        <v>ದಯವಿಟ್ಟು ಬೆಂಬಲವನ್ನು ಸಂಪರ್ಕಿಸಿ</v>
      </c>
      <c r="F836" s="7" t="str">
        <f>IFERROR(__xludf.DUMMYFUNCTION("GOOGLETRANSLATE(B836, ""en"", ""ml"")"),"പിന്തുണയുമായി ബന്ധപ്പെടുക")</f>
        <v>പിന്തുണയുമായി ബന്ധപ്പെടുക</v>
      </c>
      <c r="G836" s="7" t="str">
        <f>IFERROR(__xludf.DUMMYFUNCTION("GOOGLETRANSLATE(B836, ""en"", ""te"")"),"దయచేసి మద్దతును సంప్రదించండి")</f>
        <v>దయచేసి మద్దతును సంప్రదించండి</v>
      </c>
    </row>
    <row r="837">
      <c r="A837" s="4" t="s">
        <v>1977</v>
      </c>
      <c r="B837" s="5" t="s">
        <v>1978</v>
      </c>
      <c r="C837" s="6" t="s">
        <v>1979</v>
      </c>
      <c r="D837" s="6" t="str">
        <f>IFERROR(__xludf.DUMMYFUNCTION("GOOGLETRANSLATE(B837, ""en"", ""hi"")"),"कृपया एक मान्य ईमेल पता प्रविष्ट करें।")</f>
        <v>कृपया एक मान्य ईमेल पता प्रविष्ट करें।</v>
      </c>
      <c r="E837" s="6" t="str">
        <f>IFERROR(__xludf.DUMMYFUNCTION("GOOGLETRANSLATE(B837, ""en"", ""kn"")"),"ದಯವಿಟ್ಟು ಸರಿಯಾದ ಇಮೇಲ್ ವಿಳಾಸವನ್ನು ನಮೂದಿಸಿ.")</f>
        <v>ದಯವಿಟ್ಟು ಸರಿಯಾದ ಇಮೇಲ್ ವಿಳಾಸವನ್ನು ನಮೂದಿಸಿ.</v>
      </c>
      <c r="F837" s="7" t="str">
        <f>IFERROR(__xludf.DUMMYFUNCTION("GOOGLETRANSLATE(B837, ""en"", ""ml"")"),"സാധുവായ ഒരു ഇമെയിൽ വിലാസം നൽകുക.")</f>
        <v>സാധുവായ ഒരു ഇമെയിൽ വിലാസം നൽകുക.</v>
      </c>
      <c r="G837" s="7" t="str">
        <f>IFERROR(__xludf.DUMMYFUNCTION("GOOGLETRANSLATE(B837, ""en"", ""te"")"),"దయచేసి చెల్లుబాటు అయ్యే ఇమెయిల్ చిరునామాను నమోదు చేయండి.")</f>
        <v>దయచేసి చెల్లుబాటు అయ్యే ఇమెయిల్ చిరునామాను నమోదు చేయండి.</v>
      </c>
    </row>
    <row r="838">
      <c r="A838" s="4" t="s">
        <v>1980</v>
      </c>
      <c r="B838" s="5" t="s">
        <v>1981</v>
      </c>
      <c r="C838" s="6" t="s">
        <v>1982</v>
      </c>
      <c r="D838" s="6" t="str">
        <f>IFERROR(__xludf.DUMMYFUNCTION("GOOGLETRANSLATE(B838, ""en"", ""hi"")"),"कृपया अपना ईमेल एड्रेस इंटर करें।")</f>
        <v>कृपया अपना ईमेल एड्रेस इंटर करें।</v>
      </c>
      <c r="E838" s="6" t="str">
        <f>IFERROR(__xludf.DUMMYFUNCTION("GOOGLETRANSLATE(B838, ""en"", ""kn"")"),"ದಯವಿಟ್ಟು ನಿಮ್ಮ ಇಮೇಲ್ ವಿಳಾಸವನ್ನು ನಮೂದಿಸಿ.")</f>
        <v>ದಯವಿಟ್ಟು ನಿಮ್ಮ ಇಮೇಲ್ ವಿಳಾಸವನ್ನು ನಮೂದಿಸಿ.</v>
      </c>
      <c r="F838" s="7" t="str">
        <f>IFERROR(__xludf.DUMMYFUNCTION("GOOGLETRANSLATE(B838, ""en"", ""ml"")"),"ദയവായി നിങ്ങളുടെ ഇമെയിൽ വിലാസം നൽകുക.")</f>
        <v>ദയവായി നിങ്ങളുടെ ഇമെയിൽ വിലാസം നൽകുക.</v>
      </c>
      <c r="G838" s="7" t="str">
        <f>IFERROR(__xludf.DUMMYFUNCTION("GOOGLETRANSLATE(B838, ""en"", ""te"")"),"దయచేసి మీ ఇమెయిల్ చిరునామాను నమోదు చేయండి.")</f>
        <v>దయచేసి మీ ఇమెయిల్ చిరునామాను నమోదు చేయండి.</v>
      </c>
    </row>
    <row r="839">
      <c r="A839" s="4" t="s">
        <v>1983</v>
      </c>
      <c r="B839" s="5" t="s">
        <v>1984</v>
      </c>
      <c r="C839" s="6" t="s">
        <v>1985</v>
      </c>
      <c r="D839" s="6" t="str">
        <f>IFERROR(__xludf.DUMMYFUNCTION("GOOGLETRANSLATE(B839, ""en"", ""hi"")"),"कृपया अपना नाम दर्ज करें।")</f>
        <v>कृपया अपना नाम दर्ज करें।</v>
      </c>
      <c r="E839" s="6" t="str">
        <f>IFERROR(__xludf.DUMMYFUNCTION("GOOGLETRANSLATE(B839, ""en"", ""kn"")"),"ದಯವಿಟ್ಟು ನಿಮ್ಮ ಹೆಸರನ್ನು ನಮೂದಿಸಿ.")</f>
        <v>ದಯವಿಟ್ಟು ನಿಮ್ಮ ಹೆಸರನ್ನು ನಮೂದಿಸಿ.</v>
      </c>
      <c r="F839" s="7" t="str">
        <f>IFERROR(__xludf.DUMMYFUNCTION("GOOGLETRANSLATE(B839, ""en"", ""ml"")"),"ദയവായി നിങ്ങളുടെ പേര് നൽകുക.")</f>
        <v>ദയവായി നിങ്ങളുടെ പേര് നൽകുക.</v>
      </c>
      <c r="G839" s="7" t="str">
        <f>IFERROR(__xludf.DUMMYFUNCTION("GOOGLETRANSLATE(B839, ""en"", ""te"")"),"దయచేసి మీ పేరు నమోదు చేయండి.")</f>
        <v>దయచేసి మీ పేరు నమోదు చేయండి.</v>
      </c>
    </row>
    <row r="840">
      <c r="A840" s="4" t="s">
        <v>1986</v>
      </c>
      <c r="B840" s="5" t="s">
        <v>1987</v>
      </c>
      <c r="C840" s="6" t="s">
        <v>1988</v>
      </c>
      <c r="D840" s="6" t="str">
        <f>IFERROR(__xludf.DUMMYFUNCTION("GOOGLETRANSLATE(B840, ""en"", ""hi"")"),"कृपया यात्रा का किराया अदा करें")</f>
        <v>कृपया यात्रा का किराया अदा करें</v>
      </c>
      <c r="E840" s="6" t="str">
        <f>IFERROR(__xludf.DUMMYFUNCTION("GOOGLETRANSLATE(B840, ""en"", ""kn"")"),"ದಯವಿಟ್ಟು ಪ್ರಯಾಣ ದರ ಪಾವತಿಸಿ.")</f>
        <v>ದಯವಿಟ್ಟು ಪ್ರಯಾಣ ದರ ಪಾವತಿಸಿ.</v>
      </c>
      <c r="F840" s="7" t="str">
        <f>IFERROR(__xludf.DUMMYFUNCTION("GOOGLETRANSLATE(B840, ""en"", ""ml"")"),"ദയവായി യാത്രാക്കൂലി കൊടുക്കുക.")</f>
        <v>ദയവായി യാത്രാക്കൂലി കൊടുക്കുക.</v>
      </c>
      <c r="G840" s="7" t="str">
        <f>IFERROR(__xludf.DUMMYFUNCTION("GOOGLETRANSLATE(B840, ""en"", ""te"")"),"దయచేసి ప్రయాణ ఛార్జీలు చెల్లించండి.")</f>
        <v>దయచేసి ప్రయాణ ఛార్జీలు చెల్లించండి.</v>
      </c>
    </row>
    <row r="841">
      <c r="A841" s="4" t="s">
        <v>1989</v>
      </c>
      <c r="B841" s="5" t="s">
        <v>1990</v>
      </c>
      <c r="C841" s="6" t="s">
        <v>1991</v>
      </c>
      <c r="D841" s="6" t="str">
        <f>IFERROR(__xludf.DUMMYFUNCTION("GOOGLETRANSLATE(B841, ""en"", ""hi"")"),"कृपया भुगतान प्रक्रिया आगे बढ़ाएं।")</f>
        <v>कृपया भुगतान प्रक्रिया आगे बढ़ाएं।</v>
      </c>
      <c r="E841" s="6" t="str">
        <f>IFERROR(__xludf.DUMMYFUNCTION("GOOGLETRANSLATE(B841, ""en"", ""kn"")"),"ದಯವಿಟ್ಟು ಪಾವತಿಯನ್ನು ಮುಂದುವರಿಸಿ.")</f>
        <v>ದಯವಿಟ್ಟು ಪಾವತಿಯನ್ನು ಮುಂದುವರಿಸಿ.</v>
      </c>
      <c r="F841" s="7" t="str">
        <f>IFERROR(__xludf.DUMMYFUNCTION("GOOGLETRANSLATE(B841, ""en"", ""ml"")"),"ദയവായി പണമടയ്ക്കൽ തുടരുക.")</f>
        <v>ദയവായി പണമടയ്ക്കൽ തുടരുക.</v>
      </c>
      <c r="G841" s="7" t="str">
        <f>IFERROR(__xludf.DUMMYFUNCTION("GOOGLETRANSLATE(B841, ""en"", ""te"")"),"దయచేసి చెల్లింపును కొనసాగించండి.")</f>
        <v>దయచేసి చెల్లింపును కొనసాగించండి.</v>
      </c>
    </row>
    <row r="842">
      <c r="A842" s="4" t="s">
        <v>1992</v>
      </c>
      <c r="B842" s="12" t="s">
        <v>1993</v>
      </c>
      <c r="C842" s="6" t="str">
        <f>IFERROR(__xludf.DUMMYFUNCTION("GOOGLETRANSLATE(B842, ""en"", ""ta"")"),"அவசர தொடர்புகளைத் தேர்ந்தெடுக்கவும்.")</f>
        <v>அவசர தொடர்புகளைத் தேர்ந்தெடுக்கவும்.</v>
      </c>
      <c r="D842" s="6" t="str">
        <f>IFERROR(__xludf.DUMMYFUNCTION("GOOGLETRANSLATE(B842, ""en"", ""hi"")"),"कृपया आपातकालीन संपर्क चुनें")</f>
        <v>कृपया आपातकालीन संपर्क चुनें</v>
      </c>
      <c r="E842" s="6" t="str">
        <f>IFERROR(__xludf.DUMMYFUNCTION("GOOGLETRANSLATE(B842, ""en"", ""kn"")"),"ದಯವಿಟ್ಟು ತುರ್ತು ಸಂಪರ್ಕಗಳನ್ನು ಆಯ್ಕೆಮಾಡಿ.")</f>
        <v>ದಯವಿಟ್ಟು ತುರ್ತು ಸಂಪರ್ಕಗಳನ್ನು ಆಯ್ಕೆಮಾಡಿ.</v>
      </c>
      <c r="F842" s="7" t="str">
        <f>IFERROR(__xludf.DUMMYFUNCTION("GOOGLETRANSLATE(B842, ""en"", ""ml"")"),"ദയവായി അടിയന്തര കോൺടാക്റ്റുകൾ തിരഞ്ഞെടുക്കുക.")</f>
        <v>ദയവായി അടിയന്തര കോൺടാക്റ്റുകൾ തിരഞ്ഞെടുക്കുക.</v>
      </c>
      <c r="G842" s="7" t="str">
        <f>IFERROR(__xludf.DUMMYFUNCTION("GOOGLETRANSLATE(B842, ""en"", ""te"")"),"దయచేసి అత్యవసర పరిచయాలను ఎంచుకోండి.")</f>
        <v>దయచేసి అత్యవసర పరిచయాలను ఎంచుకోండి.</v>
      </c>
    </row>
    <row r="843">
      <c r="A843" s="4" t="s">
        <v>1994</v>
      </c>
      <c r="B843" s="5" t="s">
        <v>506</v>
      </c>
      <c r="C843" s="6" t="s">
        <v>1995</v>
      </c>
      <c r="D843" s="6" t="str">
        <f>IFERROR(__xludf.DUMMYFUNCTION("GOOGLETRANSLATE(B843, ""en"", ""hi"")"),"एक भुगतान पद्धति का चयन करें")</f>
        <v>एक भुगतान पद्धति का चयन करें</v>
      </c>
      <c r="E843" s="6" t="str">
        <f>IFERROR(__xludf.DUMMYFUNCTION("GOOGLETRANSLATE(B843, ""en"", ""kn"")"),"ದಯವಿಟ್ಟು ಪಾವತಿ ವಿಧಾನವನ್ನು ಆಯ್ಕೆಮಾಡಿ.")</f>
        <v>ದಯವಿಟ್ಟು ಪಾವತಿ ವಿಧಾನವನ್ನು ಆಯ್ಕೆಮಾಡಿ.</v>
      </c>
      <c r="F843" s="7" t="str">
        <f>IFERROR(__xludf.DUMMYFUNCTION("GOOGLETRANSLATE(B843, ""en"", ""ml"")"),"ഒരു പേയ്‌മെന്റ് രീതി തിരഞ്ഞെടുക്കുക.")</f>
        <v>ഒരു പേയ്‌മെന്റ് രീതി തിരഞ്ഞെടുക്കുക.</v>
      </c>
      <c r="G843" s="7" t="str">
        <f>IFERROR(__xludf.DUMMYFUNCTION("GOOGLETRANSLATE(B843, ""en"", ""te"")"),"దయచేసి చెల్లింపు పద్ధతిని ఎంచుకోండి.")</f>
        <v>దయచేసి చెల్లింపు పద్ధతిని ఎంచుకోండి.</v>
      </c>
    </row>
    <row r="844">
      <c r="A844" s="4" t="s">
        <v>1996</v>
      </c>
      <c r="B844" s="5" t="s">
        <v>1997</v>
      </c>
      <c r="C844" s="6" t="s">
        <v>1998</v>
      </c>
      <c r="D844" s="6" t="str">
        <f>IFERROR(__xludf.DUMMYFUNCTION("GOOGLETRANSLATE(B844, ""en"", ""hi"")"),"कृपया प्रारंभ और समाप्ति स्थान चुनें")</f>
        <v>कृपया प्रारंभ और समाप्ति स्थान चुनें</v>
      </c>
      <c r="E844" s="6" t="str">
        <f>IFERROR(__xludf.DUMMYFUNCTION("GOOGLETRANSLATE(B844, ""en"", ""kn"")"),"ದಯವಿಟ್ಟು ಆರಂಭ ಮತ್ತು ಅಂತ್ಯದ ಸ್ಥಳಗಳನ್ನು ಆಯ್ಕೆಮಾಡಿ.")</f>
        <v>ದಯವಿಟ್ಟು ಆರಂಭ ಮತ್ತು ಅಂತ್ಯದ ಸ್ಥಳಗಳನ್ನು ಆಯ್ಕೆಮಾಡಿ.</v>
      </c>
      <c r="F844" s="7" t="str">
        <f>IFERROR(__xludf.DUMMYFUNCTION("GOOGLETRANSLATE(B844, ""en"", ""ml"")"),"ദയവായി ആരംഭ, അവസാന സ്ഥാനങ്ങൾ തിരഞ്ഞെടുക്കുക.")</f>
        <v>ദയവായി ആരംഭ, അവസാന സ്ഥാനങ്ങൾ തിരഞ്ഞെടുക്കുക.</v>
      </c>
      <c r="G844" s="7" t="str">
        <f>IFERROR(__xludf.DUMMYFUNCTION("GOOGLETRANSLATE(B844, ""en"", ""te"")"),"దయచేసి ప్రారంభ మరియు ముగింపు స్థానాలను ఎంచుకోండి.")</f>
        <v>దయచేసి ప్రారంభ మరియు ముగింపు స్థానాలను ఎంచుకోండి.</v>
      </c>
    </row>
    <row r="845">
      <c r="A845" s="4" t="s">
        <v>1999</v>
      </c>
      <c r="B845" s="5" t="s">
        <v>2000</v>
      </c>
      <c r="C845" s="6" t="s">
        <v>2001</v>
      </c>
      <c r="D845" s="6" t="str">
        <f>IFERROR(__xludf.DUMMYFUNCTION("GOOGLETRANSLATE(B845, ""en"", ""hi"")"),"कृपया वर्तमान समय से अधिक का समय चुनें")</f>
        <v>कृपया वर्तमान समय से अधिक का समय चुनें</v>
      </c>
      <c r="E845" s="6" t="str">
        <f>IFERROR(__xludf.DUMMYFUNCTION("GOOGLETRANSLATE(B845, ""en"", ""kn"")"),"ದಯವಿಟ್ಟು ಪ್ರಸ್ತುತ ಸಮಯಕ್ಕಿಂತ ಹೆಚ್ಚಿನ ಸಮಯವನ್ನು ಆಯ್ಕೆಮಾಡಿ.")</f>
        <v>ದಯವಿಟ್ಟು ಪ್ರಸ್ತುತ ಸಮಯಕ್ಕಿಂತ ಹೆಚ್ಚಿನ ಸಮಯವನ್ನು ಆಯ್ಕೆಮಾಡಿ.</v>
      </c>
      <c r="F845" s="7" t="str">
        <f>IFERROR(__xludf.DUMMYFUNCTION("GOOGLETRANSLATE(B845, ""en"", ""ml"")"),"ദയവായി നിലവിലെ സമയത്തേക്കാൾ വലിയ സമയം തിരഞ്ഞെടുക്കുക.")</f>
        <v>ദയവായി നിലവിലെ സമയത്തേക്കാൾ വലിയ സമയം തിരഞ്ഞെടുക്കുക.</v>
      </c>
      <c r="G845" s="7" t="str">
        <f>IFERROR(__xludf.DUMMYFUNCTION("GOOGLETRANSLATE(B845, ""en"", ""te"")"),"దయచేసి ప్రస్తుత సమయం కంటే ఎక్కువ సమయాన్ని ఎంచుకోండి.")</f>
        <v>దయచేసి ప్రస్తుత సమయం కంటే ఎక్కువ సమయాన్ని ఎంచుకోండి.</v>
      </c>
    </row>
    <row r="846">
      <c r="A846" s="4" t="s">
        <v>2002</v>
      </c>
      <c r="B846" s="5" t="s">
        <v>2003</v>
      </c>
      <c r="C846" s="6" t="s">
        <v>2004</v>
      </c>
      <c r="D846" s="6" t="str">
        <f>IFERROR(__xludf.DUMMYFUNCTION("GOOGLETRANSLATE(B846, ""en"", ""hi"")"),"कृपया एक वाहन चुनें")</f>
        <v>कृपया एक वाहन चुनें</v>
      </c>
      <c r="E846" s="6" t="str">
        <f>IFERROR(__xludf.DUMMYFUNCTION("GOOGLETRANSLATE(B846, ""en"", ""kn"")"),"ದಯವಿಟ್ಟು ವಾಹನವನ್ನು ಆಯ್ಕೆಮಾಡಿ.")</f>
        <v>ದಯವಿಟ್ಟು ವಾಹನವನ್ನು ಆಯ್ಕೆಮಾಡಿ.</v>
      </c>
      <c r="F846" s="7" t="str">
        <f>IFERROR(__xludf.DUMMYFUNCTION("GOOGLETRANSLATE(B846, ""en"", ""ml"")"),"ദയവായി ഒരു വാഹനം തിരഞ്ഞെടുക്കുക.")</f>
        <v>ദയവായി ഒരു വാഹനം തിരഞ്ഞെടുക്കുക.</v>
      </c>
      <c r="G846" s="7" t="str">
        <f>IFERROR(__xludf.DUMMYFUNCTION("GOOGLETRANSLATE(B846, ""en"", ""te"")"),"దయచేసి ఒక వాహనాన్ని ఎంచుకోండి.")</f>
        <v>దయచేసి ఒక వాహనాన్ని ఎంచుకోండి.</v>
      </c>
    </row>
    <row r="847">
      <c r="A847" s="4" t="s">
        <v>2005</v>
      </c>
      <c r="B847" s="5" t="s">
        <v>2006</v>
      </c>
      <c r="C847" s="6" t="s">
        <v>2007</v>
      </c>
      <c r="D847" s="6" t="str">
        <f>IFERROR(__xludf.DUMMYFUNCTION("GOOGLETRANSLATE(B847, ""en"", ""hi"")"),"कृपया अपना लिंग चुनें।")</f>
        <v>कृपया अपना लिंग चुनें।</v>
      </c>
      <c r="E847" s="6" t="str">
        <f>IFERROR(__xludf.DUMMYFUNCTION("GOOGLETRANSLATE(B847, ""en"", ""kn"")"),"ದಯವಿಟ್ಟು ನಿಮ್ಮ ಲಿಂಗವನ್ನು ಆಯ್ಕೆಮಾಡಿ.")</f>
        <v>ದಯವಿಟ್ಟು ನಿಮ್ಮ ಲಿಂಗವನ್ನು ಆಯ್ಕೆಮಾಡಿ.</v>
      </c>
      <c r="F847" s="7" t="str">
        <f>IFERROR(__xludf.DUMMYFUNCTION("GOOGLETRANSLATE(B847, ""en"", ""ml"")"),"ദയവായി നിങ്ങളുടെ ലിംഗഭേദം തിരഞ്ഞെടുക്കുക.")</f>
        <v>ദയവായി നിങ്ങളുടെ ലിംഗഭേദം തിരഞ്ഞെടുക്കുക.</v>
      </c>
      <c r="G847" s="7" t="str">
        <f>IFERROR(__xludf.DUMMYFUNCTION("GOOGLETRANSLATE(B847, ""en"", ""te"")"),"దయచేసి మీ లింగాన్ని ఎంచుకోండి.")</f>
        <v>దయచేసి మీ లింగాన్ని ఎంచుకోండి.</v>
      </c>
    </row>
    <row r="848">
      <c r="A848" s="10" t="s">
        <v>2008</v>
      </c>
      <c r="B848" s="5" t="s">
        <v>2009</v>
      </c>
      <c r="C848" s="6" t="s">
        <v>2010</v>
      </c>
      <c r="D848" s="6" t="str">
        <f>IFERROR(__xludf.DUMMYFUNCTION("GOOGLETRANSLATE(B848, ""en"", ""hi"")"),"कृपया पुन: प्रयास करें")</f>
        <v>कृपया पुन: प्रयास करें</v>
      </c>
      <c r="E848" s="6" t="str">
        <f>IFERROR(__xludf.DUMMYFUNCTION("GOOGLETRANSLATE(B848, ""en"", ""kn"")"),"ದಯವಿಟ್ಟು ಮತ್ತೆ ಪ್ರಯತ್ನಿಸಿ.")</f>
        <v>ದಯವಿಟ್ಟು ಮತ್ತೆ ಪ್ರಯತ್ನಿಸಿ.</v>
      </c>
      <c r="F848" s="7" t="str">
        <f>IFERROR(__xludf.DUMMYFUNCTION("GOOGLETRANSLATE(B848, ""en"", ""ml"")"),"ദയവായി വീണ്ടും ശ്രമിക്കുക.")</f>
        <v>ദയവായി വീണ്ടും ശ്രമിക്കുക.</v>
      </c>
      <c r="G848" s="7" t="str">
        <f>IFERROR(__xludf.DUMMYFUNCTION("GOOGLETRANSLATE(B848, ""en"", ""te"")"),"దయచేసి మళ్ళీ ప్రయత్నించండి")</f>
        <v>దయచేసి మళ్ళీ ప్రయత్నించండి</v>
      </c>
    </row>
    <row r="849">
      <c r="A849" s="4" t="s">
        <v>2011</v>
      </c>
      <c r="B849" s="5" t="s">
        <v>2012</v>
      </c>
      <c r="C849" s="6" t="s">
        <v>2013</v>
      </c>
      <c r="D849" s="6" t="str">
        <f>IFERROR(__xludf.DUMMYFUNCTION("GOOGLETRANSLATE(B849, ""en"", ""hi"")"),"कृपया ओटीपी सत्यापित करें")</f>
        <v>कृपया ओटीपी सत्यापित करें</v>
      </c>
      <c r="E849" s="6" t="str">
        <f>IFERROR(__xludf.DUMMYFUNCTION("GOOGLETRANSLATE(B849, ""en"", ""kn"")"),"ದಯವಿಟ್ಟು OTP ಪರಿಶೀಲಿಸಿ")</f>
        <v>ದಯವಿಟ್ಟು OTP ಪರಿಶೀಲಿಸಿ</v>
      </c>
      <c r="F849" s="7" t="str">
        <f>IFERROR(__xludf.DUMMYFUNCTION("GOOGLETRANSLATE(B849, ""en"", ""ml"")"),"ദയവായി OTP പരിശോധിക്കുക.")</f>
        <v>ദയവായി OTP പരിശോധിക്കുക.</v>
      </c>
      <c r="G849" s="7" t="str">
        <f>IFERROR(__xludf.DUMMYFUNCTION("GOOGLETRANSLATE(B849, ""en"", ""te"")"),"దయచేసి OTP ని ధృవీకరించండి")</f>
        <v>దయచేసి OTP ని ధృవీకరించండి</v>
      </c>
    </row>
    <row r="850">
      <c r="A850" s="4" t="s">
        <v>2014</v>
      </c>
      <c r="B850" s="5" t="s">
        <v>2015</v>
      </c>
      <c r="C850" s="6" t="s">
        <v>2016</v>
      </c>
      <c r="D850" s="6" t="str">
        <f>IFERROR(__xludf.DUMMYFUNCTION("GOOGLETRANSLATE(B850, ""en"", ""hi"")"),"प्राथमिकताएँ")</f>
        <v>प्राथमिकताएँ</v>
      </c>
      <c r="E850" s="6" t="str">
        <f>IFERROR(__xludf.DUMMYFUNCTION("GOOGLETRANSLATE(B850, ""en"", ""kn"")"),"ಆದ್ಯತೆಗಳು")</f>
        <v>ಆದ್ಯತೆಗಳು</v>
      </c>
      <c r="F850" s="7" t="str">
        <f>IFERROR(__xludf.DUMMYFUNCTION("GOOGLETRANSLATE(B850, ""en"", ""ml"")"),"മുൻഗണനകൾ")</f>
        <v>മുൻഗണനകൾ</v>
      </c>
      <c r="G850" s="7" t="str">
        <f>IFERROR(__xludf.DUMMYFUNCTION("GOOGLETRANSLATE(B850, ""en"", ""te"")"),"ప్రాధాన్యతలు")</f>
        <v>ప్రాధాన్యతలు</v>
      </c>
    </row>
    <row r="851">
      <c r="A851" s="4" t="s">
        <v>2017</v>
      </c>
      <c r="B851" s="5" t="s">
        <v>2018</v>
      </c>
      <c r="C851" s="6" t="s">
        <v>2019</v>
      </c>
      <c r="D851" s="6" t="str">
        <f>IFERROR(__xludf.DUMMYFUNCTION("GOOGLETRANSLATE(B851, ""en"", ""hi"")"),"प्राथमिकताएँ सहेजी गईं")</f>
        <v>प्राथमिकताएँ सहेजी गईं</v>
      </c>
      <c r="E851" s="6" t="str">
        <f>IFERROR(__xludf.DUMMYFUNCTION("GOOGLETRANSLATE(B851, ""en"", ""kn"")"),"ಉಳಿಸಲಾದ ಆದ್ಯತೆಗಳು")</f>
        <v>ಉಳಿಸಲಾದ ಆದ್ಯತೆಗಳು</v>
      </c>
      <c r="F851" s="7" t="str">
        <f>IFERROR(__xludf.DUMMYFUNCTION("GOOGLETRANSLATE(B851, ""en"", ""ml"")"),"മുൻഗണനകൾ സംരക്ഷിച്ചു")</f>
        <v>മുൻഗണനകൾ സംരക്ഷിച്ചു</v>
      </c>
      <c r="G851" s="7" t="str">
        <f>IFERROR(__xludf.DUMMYFUNCTION("GOOGLETRANSLATE(B851, ""en"", ""te"")"),"ప్రాధాన్యతలు సేవ్ చేయబడ్డాయి")</f>
        <v>ప్రాధాన్యతలు సేవ్ చేయబడ్డాయి</v>
      </c>
    </row>
    <row r="852">
      <c r="A852" s="4" t="s">
        <v>2020</v>
      </c>
      <c r="B852" s="5" t="s">
        <v>2021</v>
      </c>
      <c r="C852" s="6" t="s">
        <v>2022</v>
      </c>
      <c r="D852" s="6" t="str">
        <f>IFERROR(__xludf.DUMMYFUNCTION("GOOGLETRANSLATE(B852, ""en"", ""hi"")"),"प्रीमियम राइड")</f>
        <v>प्रीमियम राइड</v>
      </c>
      <c r="E852" s="6" t="str">
        <f>IFERROR(__xludf.DUMMYFUNCTION("GOOGLETRANSLATE(B852, ""en"", ""kn"")"),"ಪ್ರೀಮಿಯಂ ಸವಾರಿ")</f>
        <v>ಪ್ರೀಮಿಯಂ ಸವಾರಿ</v>
      </c>
      <c r="F852" s="7" t="str">
        <f>IFERROR(__xludf.DUMMYFUNCTION("GOOGLETRANSLATE(B852, ""en"", ""ml"")"),"പ്രീമിയം റൈഡ്")</f>
        <v>പ്രീമിയം റൈഡ്</v>
      </c>
      <c r="G852" s="7" t="str">
        <f>IFERROR(__xludf.DUMMYFUNCTION("GOOGLETRANSLATE(B852, ""en"", ""te"")"),"ప్రీమియం రైడ్")</f>
        <v>ప్రీమియం రైడ్</v>
      </c>
    </row>
    <row r="853">
      <c r="A853" s="4" t="s">
        <v>2023</v>
      </c>
      <c r="B853" s="5" t="s">
        <v>2024</v>
      </c>
      <c r="C853" s="6" t="s">
        <v>2025</v>
      </c>
      <c r="D853" s="6" t="str">
        <f>IFERROR(__xludf.DUMMYFUNCTION("GOOGLETRANSLATE(B853, ""en"", ""hi"")"),"प्राथमिकता:")</f>
        <v>प्राथमिकता:</v>
      </c>
      <c r="E853" s="6" t="str">
        <f>IFERROR(__xludf.DUMMYFUNCTION("GOOGLETRANSLATE(B853, ""en"", ""kn"")"),"ಆದ್ಯತೆ:")</f>
        <v>ಆದ್ಯತೆ:</v>
      </c>
      <c r="F853" s="7" t="str">
        <f>IFERROR(__xludf.DUMMYFUNCTION("GOOGLETRANSLATE(B853, ""en"", ""ml"")"),"മുൻ‌ഗണന:")</f>
        <v>മുൻ‌ഗണന:</v>
      </c>
      <c r="G853" s="7" t="str">
        <f>IFERROR(__xludf.DUMMYFUNCTION("GOOGLETRANSLATE(B853, ""en"", ""te"")"),"ప్రాధాన్యత:")</f>
        <v>ప్రాధాన్యత:</v>
      </c>
    </row>
    <row r="854">
      <c r="A854" s="4" t="s">
        <v>2026</v>
      </c>
      <c r="B854" s="5" t="s">
        <v>2027</v>
      </c>
      <c r="C854" s="6" t="s">
        <v>2028</v>
      </c>
      <c r="D854" s="6" t="str">
        <f>IFERROR(__xludf.DUMMYFUNCTION("GOOGLETRANSLATE(B854, ""en"", ""hi"")"),"त्वरित और आसान बुकिंग")</f>
        <v>त्वरित और आसान बुकिंग</v>
      </c>
      <c r="E854" s="6" t="str">
        <f>IFERROR(__xludf.DUMMYFUNCTION("GOOGLETRANSLATE(B854, ""en"", ""kn"")"),"ತ್ವರಿತ ಮತ್ತು ಸುಲಭ ಬುಕಿಂಗ್‌ಗಳು")</f>
        <v>ತ್ವರಿತ ಮತ್ತು ಸುಲಭ ಬುಕಿಂಗ್‌ಗಳು</v>
      </c>
      <c r="F854" s="7" t="str">
        <f>IFERROR(__xludf.DUMMYFUNCTION("GOOGLETRANSLATE(B854, ""en"", ""ml"")"),"വേഗത്തിലും എളുപ്പത്തിലും ബുക്കിംഗുകൾ")</f>
        <v>വേഗത്തിലും എളുപ്പത്തിലും ബുക്കിംഗുകൾ</v>
      </c>
      <c r="G854" s="7" t="str">
        <f>IFERROR(__xludf.DUMMYFUNCTION("GOOGLETRANSLATE(B854, ""en"", ""te"")"),"త్వరిత మరియు సులభమైన బుకింగ్‌లు")</f>
        <v>త్వరిత మరియు సులభమైన బుకింగ్‌లు</v>
      </c>
    </row>
    <row r="855">
      <c r="A855" s="4" t="s">
        <v>2029</v>
      </c>
      <c r="B855" s="5" t="s">
        <v>2030</v>
      </c>
      <c r="C855" s="6" t="s">
        <v>2031</v>
      </c>
      <c r="D855" s="6" t="str">
        <f>IFERROR(__xludf.DUMMYFUNCTION("GOOGLETRANSLATE(B855, ""en"", ""hi"")"),"अपना गंतव्य चुनें, अपनी सवारी चुनें, और कुछ ही टैप में आप अपनी यात्रा पर निकल जाएंगे।")</f>
        <v>अपना गंतव्य चुनें, अपनी सवारी चुनें, और कुछ ही टैप में आप अपनी यात्रा पर निकल जाएंगे।</v>
      </c>
      <c r="E855" s="6" t="str">
        <f>IFERROR(__xludf.DUMMYFUNCTION("GOOGLETRANSLATE(B855, ""en"", ""kn"")"),"ನಿಮ್ಮ ಗಮ್ಯಸ್ಥಾನವನ್ನು ಆರಿಸಿ, ನಿಮ್ಮ ಸವಾರಿಯನ್ನು ಆರಿಸಿ ಮತ್ತು ಕೆಲವೇ ಟ್ಯಾಪ್‌ಗಳಲ್ಲಿ ನೀವು ನಿಮ್ಮ ದಾರಿಯಲ್ಲಿರುತ್ತೀರಿ.")</f>
        <v>ನಿಮ್ಮ ಗಮ್ಯಸ್ಥಾನವನ್ನು ಆರಿಸಿ, ನಿಮ್ಮ ಸವಾರಿಯನ್ನು ಆರಿಸಿ ಮತ್ತು ಕೆಲವೇ ಟ್ಯಾಪ್‌ಗಳಲ್ಲಿ ನೀವು ನಿಮ್ಮ ದಾರಿಯಲ್ಲಿರುತ್ತೀರಿ.</v>
      </c>
      <c r="F855" s="7" t="str">
        <f>IFERROR(__xludf.DUMMYFUNCTION("GOOGLETRANSLATE(B855, ""en"", ""ml"")"),"നിങ്ങളുടെ ലക്ഷ്യസ്ഥാനം തിരഞ്ഞെടുക്കുക, നിങ്ങളുടെ യാത്ര തിരഞ്ഞെടുക്കുക, ഏതാനും ടാപ്പുകൾക്കുള്ളിൽ നിങ്ങൾ യാത്രയിലാകും.")</f>
        <v>നിങ്ങളുടെ ലക്ഷ്യസ്ഥാനം തിരഞ്ഞെടുക്കുക, നിങ്ങളുടെ യാത്ര തിരഞ്ഞെടുക്കുക, ഏതാനും ടാപ്പുകൾക്കുള്ളിൽ നിങ്ങൾ യാത്രയിലാകും.</v>
      </c>
      <c r="G855" s="7" t="str">
        <f>IFERROR(__xludf.DUMMYFUNCTION("GOOGLETRANSLATE(B855, ""en"", ""te"")"),"మీ గమ్యస్థానాన్ని ఎంచుకోండి, మీ రైడ్‌ను ఎంచుకోండి మరియు మీరు కొన్ని ట్యాప్‌లలో మీ మార్గంలో ఉన్నారు.")</f>
        <v>మీ గమ్యస్థానాన్ని ఎంచుకోండి, మీ రైడ్‌ను ఎంచుకోండి మరియు మీరు కొన్ని ట్యాప్‌లలో మీ మార్గంలో ఉన్నారు.</v>
      </c>
    </row>
    <row r="856">
      <c r="A856" s="4" t="s">
        <v>2032</v>
      </c>
      <c r="B856" s="5" t="s">
        <v>2033</v>
      </c>
      <c r="C856" s="6" t="s">
        <v>2034</v>
      </c>
      <c r="D856" s="6" t="str">
        <f>IFERROR(__xludf.DUMMYFUNCTION("GOOGLETRANSLATE(B856, ""en"", ""hi"")"),"अपनी सवारी को रेट करें")</f>
        <v>अपनी सवारी को रेट करें</v>
      </c>
      <c r="E856" s="6" t="str">
        <f>IFERROR(__xludf.DUMMYFUNCTION("GOOGLETRANSLATE(B856, ""en"", ""kn"")"),"ನಿಮ್ಮ ಸವಾರಿಯನ್ನು ರೇಟ್ ಮಾಡಿ")</f>
        <v>ನಿಮ್ಮ ಸವಾರಿಯನ್ನು ರೇಟ್ ಮಾಡಿ</v>
      </c>
      <c r="F856" s="7" t="str">
        <f>IFERROR(__xludf.DUMMYFUNCTION("GOOGLETRANSLATE(B856, ""en"", ""ml"")"),"നിങ്ങളുടെ റൈഡ് റേറ്റ് ചെയ്യുക")</f>
        <v>നിങ്ങളുടെ റൈഡ് റേറ്റ് ചെയ്യുക</v>
      </c>
      <c r="G856" s="7" t="str">
        <f>IFERROR(__xludf.DUMMYFUNCTION("GOOGLETRANSLATE(B856, ""en"", ""te"")"),"మీ రైడ్‌ను రేట్ చేయండి")</f>
        <v>మీ రైడ్‌ను రేట్ చేయండి</v>
      </c>
    </row>
    <row r="857">
      <c r="A857" s="4" t="s">
        <v>2035</v>
      </c>
      <c r="B857" s="5" t="s">
        <v>2036</v>
      </c>
      <c r="C857" s="6" t="s">
        <v>2037</v>
      </c>
      <c r="D857" s="6" t="str">
        <f>IFERROR(__xludf.DUMMYFUNCTION("GOOGLETRANSLATE(B857, ""en"", ""hi"")"),"अपने गंतव्य तक पहुंचें")</f>
        <v>अपने गंतव्य तक पहुंचें</v>
      </c>
      <c r="E857" s="6" t="str">
        <f>IFERROR(__xludf.DUMMYFUNCTION("GOOGLETRANSLATE(B857, ""en"", ""kn"")"),"ನಿಮ್ಮ ಗಮ್ಯಸ್ಥಾನವನ್ನು ತಲುಪಲು")</f>
        <v>ನಿಮ್ಮ ಗಮ್ಯಸ್ಥಾನವನ್ನು ತಲುಪಲು</v>
      </c>
      <c r="F857" s="7" t="str">
        <f>IFERROR(__xludf.DUMMYFUNCTION("GOOGLETRANSLATE(B857, ""en"", ""ml"")"),"നിങ്ങളുടെ ലക്ഷ്യസ്ഥാനത്ത് എത്താൻ")</f>
        <v>നിങ്ങളുടെ ലക്ഷ്യസ്ഥാനത്ത് എത്താൻ</v>
      </c>
      <c r="G857" s="7" t="str">
        <f>IFERROR(__xludf.DUMMYFUNCTION("GOOGLETRANSLATE(B857, ""en"", ""te"")"),"మీ గమ్యస్థానాన్ని చేరుకోవడానికి")</f>
        <v>మీ గమ్యస్థానాన్ని చేరుకోవడానికి</v>
      </c>
    </row>
    <row r="858">
      <c r="A858" s="4" t="s">
        <v>2038</v>
      </c>
      <c r="B858" s="5" t="s">
        <v>2039</v>
      </c>
      <c r="C858" s="6" t="s">
        <v>2040</v>
      </c>
      <c r="D858" s="6" t="str">
        <f>IFERROR(__xludf.DUMMYFUNCTION("GOOGLETRANSLATE(B858, ""en"", ""hi"")"),"पहुँचें {स्टॉप} में")</f>
        <v>पहुँचें {स्टॉप} में</v>
      </c>
      <c r="E858" s="6" t="str">
        <f>IFERROR(__xludf.DUMMYFUNCTION("GOOGLETRANSLATE(B858, ""en"", ""kn"")"),"{stop} ತಲುಪಿ")</f>
        <v>{stop} ತಲುಪಿ</v>
      </c>
      <c r="F858" s="7" t="str">
        <f>IFERROR(__xludf.DUMMYFUNCTION("GOOGLETRANSLATE(B858, ""en"", ""ml"")"),"{stop} എന്ന സ്ഥലത്ത് എത്തുക")</f>
        <v>{stop} എന്ന സ്ഥലത്ത് എത്തുക</v>
      </c>
      <c r="G858" s="7" t="str">
        <f>IFERROR(__xludf.DUMMYFUNCTION("GOOGLETRANSLATE(B858, ""en"", ""te"")"),"{stop} కి చేరుకోండి")</f>
        <v>{stop} కి చేరుకోండి</v>
      </c>
    </row>
    <row r="859">
      <c r="A859" s="4" t="s">
        <v>2041</v>
      </c>
      <c r="B859" s="5" t="s">
        <v>2042</v>
      </c>
      <c r="C859" s="6" t="s">
        <v>2043</v>
      </c>
      <c r="D859" s="6" t="str">
        <f>IFERROR(__xludf.DUMMYFUNCTION("GOOGLETRANSLATE(B859, ""en"", ""hi"")"),"कारण (वैकल्पिक)")</f>
        <v>कारण (वैकल्पिक)</v>
      </c>
      <c r="E859" s="6" t="str">
        <f>IFERROR(__xludf.DUMMYFUNCTION("GOOGLETRANSLATE(B859, ""en"", ""kn"")"),"ಕಾರಣ (ಐಚ್ಛಿಕ)")</f>
        <v>ಕಾರಣ (ಐಚ್ಛಿಕ)</v>
      </c>
      <c r="F859" s="7" t="str">
        <f>IFERROR(__xludf.DUMMYFUNCTION("GOOGLETRANSLATE(B859, ""en"", ""ml"")"),"കാരണം (ഓപ്ഷണൽ)")</f>
        <v>കാരണം (ഓപ്ഷണൽ)</v>
      </c>
      <c r="G859" s="7" t="str">
        <f>IFERROR(__xludf.DUMMYFUNCTION("GOOGLETRANSLATE(B859, ""en"", ""te"")"),"కారణం (ఐచ్ఛికం)")</f>
        <v>కారణం (ఐచ్ఛికం)</v>
      </c>
    </row>
    <row r="860">
      <c r="A860" s="4" t="s">
        <v>2044</v>
      </c>
      <c r="B860" s="5" t="s">
        <v>2045</v>
      </c>
      <c r="C860" s="6" t="s">
        <v>2046</v>
      </c>
      <c r="D860" s="6" t="str">
        <f>IFERROR(__xludf.DUMMYFUNCTION("GOOGLETRANSLATE(B860, ""en"", ""hi"")"),"हाल ही का")</f>
        <v>हाल ही का</v>
      </c>
      <c r="E860" s="6" t="str">
        <f>IFERROR(__xludf.DUMMYFUNCTION("GOOGLETRANSLATE(B860, ""en"", ""kn"")"),"ಇತ್ತೀಚಿನದು")</f>
        <v>ಇತ್ತೀಚಿನದು</v>
      </c>
      <c r="F860" s="7" t="str">
        <f>IFERROR(__xludf.DUMMYFUNCTION("GOOGLETRANSLATE(B860, ""en"", ""ml"")"),"സമീപകാലം")</f>
        <v>സമീപകാലം</v>
      </c>
      <c r="G860" s="7" t="str">
        <f>IFERROR(__xludf.DUMMYFUNCTION("GOOGLETRANSLATE(B860, ""en"", ""te"")"),"ఇటీవలి")</f>
        <v>ఇటీవలి</v>
      </c>
    </row>
    <row r="861">
      <c r="A861" s="4" t="s">
        <v>2047</v>
      </c>
      <c r="B861" s="5" t="s">
        <v>2048</v>
      </c>
      <c r="C861" s="6" t="s">
        <v>2046</v>
      </c>
      <c r="D861" s="6" t="str">
        <f>IFERROR(__xludf.DUMMYFUNCTION("GOOGLETRANSLATE(B861, ""en"", ""hi"")"),"हाल की खोजें")</f>
        <v>हाल की खोजें</v>
      </c>
      <c r="E861" s="6" t="str">
        <f>IFERROR(__xludf.DUMMYFUNCTION("GOOGLETRANSLATE(B861, ""en"", ""kn"")"),"ಇತ್ತೀಚಿನ ಹುಡುಕಾಟಗಳು")</f>
        <v>ಇತ್ತೀಚಿನ ಹುಡುಕಾಟಗಳು</v>
      </c>
      <c r="F861" s="7" t="str">
        <f>IFERROR(__xludf.DUMMYFUNCTION("GOOGLETRANSLATE(B861, ""en"", ""ml"")"),"സമീപകാല തിരയലുകൾ")</f>
        <v>സമീപകാല തിരയലുകൾ</v>
      </c>
      <c r="G861" s="7" t="str">
        <f>IFERROR(__xludf.DUMMYFUNCTION("GOOGLETRANSLATE(B861, ""en"", ""te"")"),"ఇటీవలి శోధనలు")</f>
        <v>ఇటీవలి శోధనలు</v>
      </c>
    </row>
    <row r="862">
      <c r="A862" s="4" t="s">
        <v>2049</v>
      </c>
      <c r="B862" s="5" t="s">
        <v>2050</v>
      </c>
      <c r="C862" s="6" t="s">
        <v>2051</v>
      </c>
      <c r="D862" s="6" t="str">
        <f>IFERROR(__xludf.DUMMYFUNCTION("GOOGLETRANSLATE(B862, ""en"", ""hi"")"),"प्राप्तकर्ता की जानकारी")</f>
        <v>प्राप्तकर्ता की जानकारी</v>
      </c>
      <c r="E862" s="6" t="str">
        <f>IFERROR(__xludf.DUMMYFUNCTION("GOOGLETRANSLATE(B862, ""en"", ""kn"")"),"ಸ್ವೀಕರಿಸುವವರ ಮಾಹಿತಿ")</f>
        <v>ಸ್ವೀಕರಿಸುವವರ ಮಾಹಿತಿ</v>
      </c>
      <c r="F862" s="7" t="str">
        <f>IFERROR(__xludf.DUMMYFUNCTION("GOOGLETRANSLATE(B862, ""en"", ""ml"")"),"സ്വീകർത്താവിന്റെ വിവരങ്ങൾ")</f>
        <v>സ്വീകർത്താവിന്റെ വിവരങ്ങൾ</v>
      </c>
      <c r="G862" s="7" t="str">
        <f>IFERROR(__xludf.DUMMYFUNCTION("GOOGLETRANSLATE(B862, ""en"", ""te"")"),"గ్రహీత సమాచారం")</f>
        <v>గ్రహీత సమాచారం</v>
      </c>
    </row>
    <row r="863">
      <c r="A863" s="4" t="s">
        <v>2052</v>
      </c>
      <c r="B863" s="5" t="s">
        <v>2053</v>
      </c>
      <c r="C863" s="6" t="s">
        <v>1218</v>
      </c>
      <c r="D863" s="6" t="str">
        <f>IFERROR(__xludf.DUMMYFUNCTION("GOOGLETRANSLATE(B863, ""en"", ""hi"")"),"पंजीकरण")</f>
        <v>पंजीकरण</v>
      </c>
      <c r="E863" s="6" t="str">
        <f>IFERROR(__xludf.DUMMYFUNCTION("GOOGLETRANSLATE(B863, ""en"", ""kn"")"),"ನೋಂದಣಿ")</f>
        <v>ನೋಂದಣಿ</v>
      </c>
      <c r="F863" s="7" t="str">
        <f>IFERROR(__xludf.DUMMYFUNCTION("GOOGLETRANSLATE(B863, ""en"", ""ml"")"),"രജിസ്ട്രേഷൻ")</f>
        <v>രജിസ്ട്രേഷൻ</v>
      </c>
      <c r="G863" s="7" t="str">
        <f>IFERROR(__xludf.DUMMYFUNCTION("GOOGLETRANSLATE(B863, ""en"", ""te"")"),"నమోదు")</f>
        <v>నమోదు</v>
      </c>
    </row>
    <row r="864">
      <c r="A864" s="4" t="s">
        <v>2054</v>
      </c>
      <c r="B864" s="5" t="s">
        <v>2055</v>
      </c>
      <c r="C864" s="6" t="s">
        <v>2056</v>
      </c>
      <c r="D864" s="6" t="str">
        <f>IFERROR(__xludf.DUMMYFUNCTION("GOOGLETRANSLATE(B864, ""en"", ""hi"")"),"पंजीकरण सफलतापूर्वक पूरा हो गया")</f>
        <v>पंजीकरण सफलतापूर्वक पूरा हो गया</v>
      </c>
      <c r="E864" s="6" t="str">
        <f>IFERROR(__xludf.DUMMYFUNCTION("GOOGLETRANSLATE(B864, ""en"", ""kn"")"),"ನೋಂದಣಿ ಯಶಸ್ವಿಯಾಗಿ ಪೂರ್ಣಗೊಂಡಿದೆ.")</f>
        <v>ನೋಂದಣಿ ಯಶಸ್ವಿಯಾಗಿ ಪೂರ್ಣಗೊಂಡಿದೆ.</v>
      </c>
      <c r="F864" s="7" t="str">
        <f>IFERROR(__xludf.DUMMYFUNCTION("GOOGLETRANSLATE(B864, ""en"", ""ml"")"),"രജിസ്ട്രേഷൻ വിജയകരമായി പൂർത്തിയായി.")</f>
        <v>രജിസ്ട്രേഷൻ വിജയകരമായി പൂർത്തിയായി.</v>
      </c>
      <c r="G864" s="7" t="str">
        <f>IFERROR(__xludf.DUMMYFUNCTION("GOOGLETRANSLATE(B864, ""en"", ""te"")"),"రిజిస్ట్రేషన్ విజయవంతంగా పూర్తయింది")</f>
        <v>రిజిస్ట్రేషన్ విజయవంతంగా పూర్తయింది</v>
      </c>
    </row>
    <row r="865">
      <c r="A865" s="4" t="s">
        <v>2057</v>
      </c>
      <c r="B865" s="5" t="s">
        <v>2058</v>
      </c>
      <c r="C865" s="6" t="s">
        <v>2059</v>
      </c>
      <c r="D865" s="6" t="str">
        <f>IFERROR(__xludf.DUMMYFUNCTION("GOOGLETRANSLATE(B865, ""en"", ""hi"")"),"त्रुटि का पंजीकरण")</f>
        <v>त्रुटि का पंजीकरण</v>
      </c>
      <c r="E865" s="6" t="str">
        <f>IFERROR(__xludf.DUMMYFUNCTION("GOOGLETRANSLATE(B865, ""en"", ""kn"")"),"ನೋಂದಣಿ ದೋಷ")</f>
        <v>ನೋಂದಣಿ ದೋಷ</v>
      </c>
      <c r="F865" s="7" t="str">
        <f>IFERROR(__xludf.DUMMYFUNCTION("GOOGLETRANSLATE(B865, ""en"", ""ml"")"),"രജിസ്ട്രേഷൻ പിശക്")</f>
        <v>രജിസ്ട്രേഷൻ പിശക്</v>
      </c>
      <c r="G865" s="7" t="str">
        <f>IFERROR(__xludf.DUMMYFUNCTION("GOOGLETRANSLATE(B865, ""en"", ""te"")"),"నమోదు లోపం")</f>
        <v>నమోదు లోపం</v>
      </c>
    </row>
    <row r="866">
      <c r="A866" s="4" t="s">
        <v>2060</v>
      </c>
      <c r="B866" s="5" t="s">
        <v>2061</v>
      </c>
      <c r="C866" s="6" t="s">
        <v>2062</v>
      </c>
      <c r="D866" s="6" t="str">
        <f>IFERROR(__xludf.DUMMYFUNCTION("GOOGLETRANSLATE(B866, ""en"", ""hi"")"),"पंजीकरण विफल रहा")</f>
        <v>पंजीकरण विफल रहा</v>
      </c>
      <c r="E866" s="6" t="str">
        <f>IFERROR(__xludf.DUMMYFUNCTION("GOOGLETRANSLATE(B866, ""en"", ""kn"")"),"ನೋಂದಣಿ ವಿಫಲವಾಗಿದೆ")</f>
        <v>ನೋಂದಣಿ ವಿಫಲವಾಗಿದೆ</v>
      </c>
      <c r="F866" s="7" t="str">
        <f>IFERROR(__xludf.DUMMYFUNCTION("GOOGLETRANSLATE(B866, ""en"", ""ml"")"),"രജിസ്ട്രേഷൻ പരാജയപ്പെട്ടു")</f>
        <v>രജിസ്ട്രേഷൻ പരാജയപ്പെട്ടു</v>
      </c>
      <c r="G866" s="7" t="str">
        <f>IFERROR(__xludf.DUMMYFUNCTION("GOOGLETRANSLATE(B866, ""en"", ""te"")"),"నమోదు విఫలమైంది")</f>
        <v>నమోదు విఫలమైంది</v>
      </c>
    </row>
    <row r="867">
      <c r="A867" s="4" t="s">
        <v>2063</v>
      </c>
      <c r="B867" s="5" t="s">
        <v>2064</v>
      </c>
      <c r="C867" s="6" t="s">
        <v>2065</v>
      </c>
      <c r="D867" s="6" t="str">
        <f>IFERROR(__xludf.DUMMYFUNCTION("GOOGLETRANSLATE(B867, ""en"", ""hi"")"),"निकालना")</f>
        <v>निकालना</v>
      </c>
      <c r="E867" s="6" t="str">
        <f>IFERROR(__xludf.DUMMYFUNCTION("GOOGLETRANSLATE(B867, ""en"", ""kn"")"),"ತೆಗೆದುಹಾಕಿ")</f>
        <v>ತೆಗೆದುಹಾಕಿ</v>
      </c>
      <c r="F867" s="7" t="str">
        <f>IFERROR(__xludf.DUMMYFUNCTION("GOOGLETRANSLATE(B867, ""en"", ""ml"")"),"നീക്കം ചെയ്യുക")</f>
        <v>നീക്കം ചെയ്യുക</v>
      </c>
      <c r="G867" s="7" t="str">
        <f>IFERROR(__xludf.DUMMYFUNCTION("GOOGLETRANSLATE(B867, ""en"", ""te"")"),"తొలగించు")</f>
        <v>తొలగించు</v>
      </c>
    </row>
    <row r="868">
      <c r="A868" s="4" t="s">
        <v>2066</v>
      </c>
      <c r="B868" s="5" t="s">
        <v>2067</v>
      </c>
      <c r="C868" s="6" t="s">
        <v>2068</v>
      </c>
      <c r="D868" s="6" t="str">
        <f>IFERROR(__xludf.DUMMYFUNCTION("GOOGLETRANSLATE(B868, ""en"", ""hi"")"),"कूपन हटाएँ")</f>
        <v>कूपन हटाएँ</v>
      </c>
      <c r="E868" s="6" t="str">
        <f>IFERROR(__xludf.DUMMYFUNCTION("GOOGLETRANSLATE(B868, ""en"", ""kn"")"),"ಕೂಪನ್ ತೆಗೆದುಹಾಕಿ")</f>
        <v>ಕೂಪನ್ ತೆಗೆದುಹಾಕಿ</v>
      </c>
      <c r="F868" s="7" t="str">
        <f>IFERROR(__xludf.DUMMYFUNCTION("GOOGLETRANSLATE(B868, ""en"", ""ml"")"),"കൂപ്പൺ നീക്കം ചെയ്യുക")</f>
        <v>കൂപ്പൺ നീക്കം ചെയ്യുക</v>
      </c>
      <c r="G868" s="7" t="str">
        <f>IFERROR(__xludf.DUMMYFUNCTION("GOOGLETRANSLATE(B868, ""en"", ""te"")"),"కూపన్‌ను తీసివేయండి")</f>
        <v>కూపన్‌ను తీసివేయండి</v>
      </c>
    </row>
    <row r="869">
      <c r="A869" s="4" t="s">
        <v>2069</v>
      </c>
      <c r="B869" s="5" t="s">
        <v>2070</v>
      </c>
      <c r="C869" s="6" t="s">
        <v>2070</v>
      </c>
      <c r="D869" s="6" t="str">
        <f>IFERROR(__xludf.DUMMYFUNCTION("GOOGLETRANSLATE(B869, ""en"", ""hi"")"),"अनुरोध विफल रहा")</f>
        <v>अनुरोध विफल रहा</v>
      </c>
      <c r="E869" s="6" t="str">
        <f>IFERROR(__xludf.DUMMYFUNCTION("GOOGLETRANSLATE(B869, ""en"", ""kn"")"),"ವಿನಂತಿ ವಿಫಲವಾಗಿದೆ")</f>
        <v>ವಿನಂತಿ ವಿಫಲವಾಗಿದೆ</v>
      </c>
      <c r="F869" s="7" t="str">
        <f>IFERROR(__xludf.DUMMYFUNCTION("GOOGLETRANSLATE(B869, ""en"", ""ml"")"),"അഭ്യർത്ഥന പരാജയപ്പെട്ടു")</f>
        <v>അഭ്യർത്ഥന പരാജയപ്പെട്ടു</v>
      </c>
      <c r="G869" s="7" t="str">
        <f>IFERROR(__xludf.DUMMYFUNCTION("GOOGLETRANSLATE(B869, ""en"", ""te"")"),"అభ్యర్థన విఫలమైంది")</f>
        <v>అభ్యర్థన విఫలమైంది</v>
      </c>
    </row>
    <row r="870">
      <c r="A870" s="4" t="s">
        <v>2071</v>
      </c>
      <c r="B870" s="5" t="s">
        <v>2072</v>
      </c>
      <c r="C870" s="6" t="s">
        <v>2010</v>
      </c>
      <c r="D870" s="6" t="str">
        <f>IFERROR(__xludf.DUMMYFUNCTION("GOOGLETRANSLATE(B870, ""en"", ""hi"")"),"पुन: प्रयास करें")</f>
        <v>पुन: प्रयास करें</v>
      </c>
      <c r="E870" s="6" t="str">
        <f>IFERROR(__xludf.DUMMYFUNCTION("GOOGLETRANSLATE(B870, ""en"", ""kn"")"),"ಮರುಪ್ರಯತ್ನಿಸಿ")</f>
        <v>ಮರುಪ್ರಯತ್ನಿಸಿ</v>
      </c>
      <c r="F870" s="7" t="str">
        <f>IFERROR(__xludf.DUMMYFUNCTION("GOOGLETRANSLATE(B870, ""en"", ""ml"")"),"വീണ്ടും ശ്രമിക്കുക")</f>
        <v>വീണ്ടും ശ്രമിക്കുക</v>
      </c>
      <c r="G870" s="7" t="str">
        <f>IFERROR(__xludf.DUMMYFUNCTION("GOOGLETRANSLATE(B870, ""en"", ""te"")"),"మళ్ళీ ప్రయత్నించండి")</f>
        <v>మళ్ళీ ప్రయత్నించండి</v>
      </c>
    </row>
    <row r="871">
      <c r="A871" s="4" t="s">
        <v>2073</v>
      </c>
      <c r="B871" s="5" t="s">
        <v>2074</v>
      </c>
      <c r="C871" s="6" t="s">
        <v>2075</v>
      </c>
      <c r="D871" s="6" t="str">
        <f>IFERROR(__xludf.DUMMYFUNCTION("GOOGLETRANSLATE(B871, ""en"", ""hi"")"),"सवारी स्वीकार कर ली गई")</f>
        <v>सवारी स्वीकार कर ली गई</v>
      </c>
      <c r="E871" s="6" t="str">
        <f>IFERROR(__xludf.DUMMYFUNCTION("GOOGLETRANSLATE(B871, ""en"", ""kn"")"),"ಸವಾರಿಯನ್ನು ಸ್ವೀಕರಿಸಲಾಗಿದೆ")</f>
        <v>ಸವಾರಿಯನ್ನು ಸ್ವೀಕರಿಸಲಾಗಿದೆ</v>
      </c>
      <c r="F871" s="7" t="str">
        <f>IFERROR(__xludf.DUMMYFUNCTION("GOOGLETRANSLATE(B871, ""en"", ""ml"")"),"റൈഡ് സ്വീകരിച്ചു")</f>
        <v>റൈഡ് സ്വീകരിച്ചു</v>
      </c>
      <c r="G871" s="7" t="str">
        <f>IFERROR(__xludf.DUMMYFUNCTION("GOOGLETRANSLATE(B871, ""en"", ""te"")"),"రైడ్ ఆమోదించబడింది")</f>
        <v>రైడ్ ఆమోదించబడింది</v>
      </c>
    </row>
    <row r="872">
      <c r="A872" s="4" t="s">
        <v>2076</v>
      </c>
      <c r="B872" s="5" t="s">
        <v>508</v>
      </c>
      <c r="C872" s="6" t="s">
        <v>2077</v>
      </c>
      <c r="D872" s="6" t="str">
        <f>IFERROR(__xludf.DUMMYFUNCTION("GOOGLETRANSLATE(B872, ""en"", ""hi"")"),"सवारी का किराया")</f>
        <v>सवारी का किराया</v>
      </c>
      <c r="E872" s="6" t="str">
        <f>IFERROR(__xludf.DUMMYFUNCTION("GOOGLETRANSLATE(B872, ""en"", ""kn"")"),"ಸವಾರಿ ದರ")</f>
        <v>ಸವಾರಿ ದರ</v>
      </c>
      <c r="F872" s="7" t="str">
        <f>IFERROR(__xludf.DUMMYFUNCTION("GOOGLETRANSLATE(B872, ""en"", ""ml"")"),"യാത്രാക്കൂലി")</f>
        <v>യാത്രാക്കൂലി</v>
      </c>
      <c r="G872" s="7" t="str">
        <f>IFERROR(__xludf.DUMMYFUNCTION("GOOGLETRANSLATE(B872, ""en"", ""te"")"),"రైడ్ ఛార్జీలు")</f>
        <v>రైడ్ ఛార్జీలు</v>
      </c>
    </row>
    <row r="873">
      <c r="A873" s="4" t="s">
        <v>2078</v>
      </c>
      <c r="B873" s="5" t="s">
        <v>2079</v>
      </c>
      <c r="C873" s="6" t="s">
        <v>2080</v>
      </c>
      <c r="D873" s="6" t="str">
        <f>IFERROR(__xludf.DUMMYFUNCTION("GOOGLETRANSLATE(B873, ""en"", ""hi"")"),"राइड रद्द कर दी गई")</f>
        <v>राइड रद्द कर दी गई</v>
      </c>
      <c r="E873" s="6" t="str">
        <f>IFERROR(__xludf.DUMMYFUNCTION("GOOGLETRANSLATE(B873, ""en"", ""kn"")"),"ಸವಾರಿ ರದ್ದುಗೊಳಿಸಲಾಗಿದೆ")</f>
        <v>ಸವಾರಿ ರದ್ದುಗೊಳಿಸಲಾಗಿದೆ</v>
      </c>
      <c r="F873" s="7" t="str">
        <f>IFERROR(__xludf.DUMMYFUNCTION("GOOGLETRANSLATE(B873, ""en"", ""ml"")"),"റൈഡ് റദ്ദാക്കി")</f>
        <v>റൈഡ് റദ്ദാക്കി</v>
      </c>
      <c r="G873" s="7" t="str">
        <f>IFERROR(__xludf.DUMMYFUNCTION("GOOGLETRANSLATE(B873, ""en"", ""te"")"),"రైడ్ రద్దు చేయబడింది")</f>
        <v>రైడ్ రద్దు చేయబడింది</v>
      </c>
    </row>
    <row r="874">
      <c r="A874" s="4" t="s">
        <v>2081</v>
      </c>
      <c r="B874" s="5" t="s">
        <v>2082</v>
      </c>
      <c r="C874" s="6" t="s">
        <v>2083</v>
      </c>
      <c r="D874" s="6" t="str">
        <f>IFERROR(__xludf.DUMMYFUNCTION("GOOGLETRANSLATE(B874, ""en"", ""hi"")"),"सवारी पूरी हुई")</f>
        <v>सवारी पूरी हुई</v>
      </c>
      <c r="E874" s="6" t="str">
        <f>IFERROR(__xludf.DUMMYFUNCTION("GOOGLETRANSLATE(B874, ""en"", ""kn"")"),"ಸವಾರಿ ಪೂರ್ಣಗೊಂಡಿದೆ")</f>
        <v>ಸವಾರಿ ಪೂರ್ಣಗೊಂಡಿದೆ</v>
      </c>
      <c r="F874" s="7" t="str">
        <f>IFERROR(__xludf.DUMMYFUNCTION("GOOGLETRANSLATE(B874, ""en"", ""ml"")"),"റൈഡ് പൂർത്തിയായി")</f>
        <v>റൈഡ് പൂർത്തിയായി</v>
      </c>
      <c r="G874" s="7" t="str">
        <f>IFERROR(__xludf.DUMMYFUNCTION("GOOGLETRANSLATE(B874, ""en"", ""te"")"),"రైడ్ పూర్తయింది")</f>
        <v>రైడ్ పూర్తయింది</v>
      </c>
    </row>
    <row r="875">
      <c r="A875" s="4" t="s">
        <v>2084</v>
      </c>
      <c r="B875" s="5" t="s">
        <v>2085</v>
      </c>
      <c r="C875" s="6" t="str">
        <f>IFERROR(__xludf.DUMMYFUNCTION("GOOGLETRANSLATE(B875, ""en"", ""ta"")"),"சவாரி விவரங்கள்")</f>
        <v>சவாரி விவரங்கள்</v>
      </c>
      <c r="D875" s="6" t="str">
        <f>IFERROR(__xludf.DUMMYFUNCTION("GOOGLETRANSLATE(B875, ""en"", ""hi"")"),"सवारी का विवरण")</f>
        <v>सवारी का विवरण</v>
      </c>
      <c r="E875" s="6" t="str">
        <f>IFERROR(__xludf.DUMMYFUNCTION("GOOGLETRANSLATE(B875, ""en"", ""kn"")"),"ಸವಾರಿ ವಿವರಗಳು")</f>
        <v>ಸವಾರಿ ವಿವರಗಳು</v>
      </c>
      <c r="F875" s="7" t="str">
        <f>IFERROR(__xludf.DUMMYFUNCTION("GOOGLETRANSLATE(B875, ""en"", ""ml"")"),"റൈഡ് വിശദാംശങ്ങൾ")</f>
        <v>റൈഡ് വിശദാംശങ്ങൾ</v>
      </c>
      <c r="G875" s="7" t="str">
        <f>IFERROR(__xludf.DUMMYFUNCTION("GOOGLETRANSLATE(B875, ""en"", ""te"")"),"రైడ్ వివరాలు")</f>
        <v>రైడ్ వివరాలు</v>
      </c>
    </row>
    <row r="876">
      <c r="A876" s="4" t="s">
        <v>2086</v>
      </c>
      <c r="B876" s="5" t="s">
        <v>2087</v>
      </c>
      <c r="C876" s="6" t="s">
        <v>2088</v>
      </c>
      <c r="D876" s="6" t="str">
        <f>IFERROR(__xludf.DUMMYFUNCTION("GOOGLETRANSLATE(B876, ""en"", ""hi"")"),"सवारी अलग हो गई")</f>
        <v>सवारी अलग हो गई</v>
      </c>
      <c r="E876" s="6" t="str">
        <f>IFERROR(__xludf.DUMMYFUNCTION("GOOGLETRANSLATE(B876, ""en"", ""kn"")"),"ಡೈವರ್ಜ್ಡ್ ರೈಡ್")</f>
        <v>ಡೈವರ್ಜ್ಡ್ ರೈಡ್</v>
      </c>
      <c r="F876" s="7" t="str">
        <f>IFERROR(__xludf.DUMMYFUNCTION("GOOGLETRANSLATE(B876, ""en"", ""ml"")"),"റൈഡ് ഡൈവേർജ്ഡ്")</f>
        <v>റൈഡ് ഡൈവേർജ്ഡ്</v>
      </c>
      <c r="G876" s="7" t="str">
        <f>IFERROR(__xludf.DUMMYFUNCTION("GOOGLETRANSLATE(B876, ""en"", ""te"")"),"రైడ్ డైవర్జ్డ్")</f>
        <v>రైడ్ డైవర్జ్డ్</v>
      </c>
    </row>
    <row r="877">
      <c r="A877" s="4" t="s">
        <v>2089</v>
      </c>
      <c r="B877" s="5" t="s">
        <v>2090</v>
      </c>
      <c r="C877" s="6" t="s">
        <v>2090</v>
      </c>
      <c r="D877" s="6" t="str">
        <f>IFERROR(__xludf.DUMMYFUNCTION("GOOGLETRANSLATE(B877, ""en"", ""hi"")"),"सवारी अनुमान")</f>
        <v>सवारी अनुमान</v>
      </c>
      <c r="E877" s="6" t="str">
        <f>IFERROR(__xludf.DUMMYFUNCTION("GOOGLETRANSLATE(B877, ""en"", ""kn"")"),"ಸವಾರಿ ಅಂದಾಜು")</f>
        <v>ಸವಾರಿ ಅಂದಾಜು</v>
      </c>
      <c r="F877" s="7" t="str">
        <f>IFERROR(__xludf.DUMMYFUNCTION("GOOGLETRANSLATE(B877, ""en"", ""ml"")"),"റൈഡ് എസ്റ്റിമേഷൻ")</f>
        <v>റൈഡ് എസ്റ്റിമേഷൻ</v>
      </c>
      <c r="G877" s="7" t="str">
        <f>IFERROR(__xludf.DUMMYFUNCTION("GOOGLETRANSLATE(B877, ""en"", ""te"")"),"రైడ్ అంచనా")</f>
        <v>రైడ్ అంచనా</v>
      </c>
    </row>
    <row r="878">
      <c r="A878" s="4" t="s">
        <v>2091</v>
      </c>
      <c r="B878" s="5" t="s">
        <v>2092</v>
      </c>
      <c r="C878" s="6" t="s">
        <v>2093</v>
      </c>
      <c r="D878" s="6" t="str">
        <f>IFERROR(__xludf.DUMMYFUNCTION("GOOGLETRANSLATE(B878, ""en"", ""hi"")"),"सवारी विफल रही")</f>
        <v>सवारी विफल रही</v>
      </c>
      <c r="E878" s="6" t="str">
        <f>IFERROR(__xludf.DUMMYFUNCTION("GOOGLETRANSLATE(B878, ""en"", ""kn"")"),"ಸವಾರಿ ವಿಫಲವಾಗಿದೆ")</f>
        <v>ಸವಾರಿ ವಿಫಲವಾಗಿದೆ</v>
      </c>
      <c r="F878" s="7" t="str">
        <f>IFERROR(__xludf.DUMMYFUNCTION("GOOGLETRANSLATE(B878, ""en"", ""ml"")"),"യാത്ര പരാജയപ്പെട്ടു")</f>
        <v>യാത്ര പരാജയപ്പെട്ടു</v>
      </c>
      <c r="G878" s="7" t="str">
        <f>IFERROR(__xludf.DUMMYFUNCTION("GOOGLETRANSLATE(B878, ""en"", ""te"")"),"రైడ్ విఫలమైంది")</f>
        <v>రైడ్ విఫలమైంది</v>
      </c>
    </row>
    <row r="879">
      <c r="A879" s="4" t="s">
        <v>2094</v>
      </c>
      <c r="B879" s="5" t="s">
        <v>2095</v>
      </c>
      <c r="C879" s="6" t="s">
        <v>2096</v>
      </c>
      <c r="D879" s="6" t="str">
        <f>IFERROR(__xludf.DUMMYFUNCTION("GOOGLETRANSLATE(B879, ""en"", ""hi"")"),"राइड की जानकारी")</f>
        <v>राइड की जानकारी</v>
      </c>
      <c r="E879" s="6" t="str">
        <f>IFERROR(__xludf.DUMMYFUNCTION("GOOGLETRANSLATE(B879, ""en"", ""kn"")"),"ಸವಾರಿ ಮಾಹಿತಿ")</f>
        <v>ಸವಾರಿ ಮಾಹಿತಿ</v>
      </c>
      <c r="F879" s="7" t="str">
        <f>IFERROR(__xludf.DUMMYFUNCTION("GOOGLETRANSLATE(B879, ""en"", ""ml"")"),"റൈഡ് വിവരങ്ങൾ")</f>
        <v>റൈഡ് വിവരങ്ങൾ</v>
      </c>
      <c r="G879" s="7" t="str">
        <f>IFERROR(__xludf.DUMMYFUNCTION("GOOGLETRANSLATE(B879, ""en"", ""te"")"),"రైడ్ సమాచారం")</f>
        <v>రైడ్ సమాచారం</v>
      </c>
    </row>
    <row r="880">
      <c r="A880" s="4" t="s">
        <v>2097</v>
      </c>
      <c r="B880" s="5" t="s">
        <v>2098</v>
      </c>
      <c r="C880" s="6" t="s">
        <v>2099</v>
      </c>
      <c r="D880" s="6" t="str">
        <f>IFERROR(__xludf.DUMMYFUNCTION("GOOGLETRANSLATE(B880, ""en"", ""hi"")"),"राइड मैच")</f>
        <v>राइड मैच</v>
      </c>
      <c r="E880" s="6" t="str">
        <f>IFERROR(__xludf.DUMMYFUNCTION("GOOGLETRANSLATE(B880, ""en"", ""kn"")"),"ಸವಾರಿ ಹೊಂದಾಣಿಕೆಯಾಗಿದೆ")</f>
        <v>ಸವಾರಿ ಹೊಂದಾಣಿಕೆಯಾಗಿದೆ</v>
      </c>
      <c r="F880" s="7" t="str">
        <f>IFERROR(__xludf.DUMMYFUNCTION("GOOGLETRANSLATE(B880, ""en"", ""ml"")"),"റൈഡ് മാച്ച് ചെയ്തു")</f>
        <v>റൈഡ് മാച്ച് ചെയ്തു</v>
      </c>
      <c r="G880" s="7" t="str">
        <f>IFERROR(__xludf.DUMMYFUNCTION("GOOGLETRANSLATE(B880, ""en"", ""te"")"),"రైడ్ సరిపోలింది")</f>
        <v>రైడ్ సరిపోలింది</v>
      </c>
    </row>
    <row r="881">
      <c r="A881" s="4" t="s">
        <v>2100</v>
      </c>
      <c r="B881" s="5" t="s">
        <v>2101</v>
      </c>
      <c r="C881" s="6" t="s">
        <v>2102</v>
      </c>
      <c r="D881" s="6" t="str">
        <f>IFERROR(__xludf.DUMMYFUNCTION("GOOGLETRANSLATE(B881, ""en"", ""hi"")"),"सवारी लंबित है")</f>
        <v>सवारी लंबित है</v>
      </c>
      <c r="E881" s="6" t="str">
        <f>IFERROR(__xludf.DUMMYFUNCTION("GOOGLETRANSLATE(B881, ""en"", ""kn"")"),"ಸವಾರಿ ಬಾಕಿ ಇದೆ")</f>
        <v>ಸವಾರಿ ಬಾಕಿ ಇದೆ</v>
      </c>
      <c r="F881" s="7" t="str">
        <f>IFERROR(__xludf.DUMMYFUNCTION("GOOGLETRANSLATE(B881, ""en"", ""ml"")"),"റൈഡ് തീർച്ചപ്പെടുത്തിയിട്ടില്ല")</f>
        <v>റൈഡ് തീർച്ചപ്പെടുത്തിയിട്ടില്ല</v>
      </c>
      <c r="G881" s="7" t="str">
        <f>IFERROR(__xludf.DUMMYFUNCTION("GOOGLETRANSLATE(B881, ""en"", ""te"")"),"రైడ్ పెండింగ్‌లో ఉంది")</f>
        <v>రైడ్ పెండింగ్‌లో ఉంది</v>
      </c>
    </row>
    <row r="882">
      <c r="A882" s="4" t="s">
        <v>2103</v>
      </c>
      <c r="B882" s="5" t="s">
        <v>2104</v>
      </c>
      <c r="C882" s="6" t="s">
        <v>2105</v>
      </c>
      <c r="D882" s="6" t="str">
        <f>IFERROR(__xludf.DUMMYFUNCTION("GOOGLETRANSLATE(B882, ""en"", ""hi"")"),"सवारी उठा ली गई")</f>
        <v>सवारी उठा ली गई</v>
      </c>
      <c r="E882" s="6" t="str">
        <f>IFERROR(__xludf.DUMMYFUNCTION("GOOGLETRANSLATE(B882, ""en"", ""kn"")"),"ಸವಾರಿ ಎತ್ತಿಕೊಳ್ಳಲಾಗಿದೆ")</f>
        <v>ಸವಾರಿ ಎತ್ತಿಕೊಳ್ಳಲಾಗಿದೆ</v>
      </c>
      <c r="F882" s="7" t="str">
        <f>IFERROR(__xludf.DUMMYFUNCTION("GOOGLETRANSLATE(B882, ""en"", ""ml"")"),"യാത്ര ആരംഭിച്ചു")</f>
        <v>യാത്ര ആരംഭിച്ചു</v>
      </c>
      <c r="G882" s="7" t="str">
        <f>IFERROR(__xludf.DUMMYFUNCTION("GOOGLETRANSLATE(B882, ""en"", ""te"")"),"రైడ్ పికప్ అయింది")</f>
        <v>రైడ్ పికప్ అయింది</v>
      </c>
    </row>
    <row r="883">
      <c r="A883" s="4" t="s">
        <v>2106</v>
      </c>
      <c r="B883" s="5" t="s">
        <v>2107</v>
      </c>
      <c r="C883" s="6" t="s">
        <v>2108</v>
      </c>
      <c r="D883" s="6" t="str">
        <f>IFERROR(__xludf.DUMMYFUNCTION("GOOGLETRANSLATE(B883, ""en"", ""hi"")"),"सवारी प्राथमिकताएँ")</f>
        <v>सवारी प्राथमिकताएँ</v>
      </c>
      <c r="E883" s="6" t="str">
        <f>IFERROR(__xludf.DUMMYFUNCTION("GOOGLETRANSLATE(B883, ""en"", ""kn"")"),"ಸವಾರಿ ಆದ್ಯತೆಗಳು")</f>
        <v>ಸವಾರಿ ಆದ್ಯತೆಗಳು</v>
      </c>
      <c r="F883" s="7" t="str">
        <f>IFERROR(__xludf.DUMMYFUNCTION("GOOGLETRANSLATE(B883, ""en"", ""ml"")"),"റൈഡ് മുൻഗണനകൾ")</f>
        <v>റൈഡ് മുൻഗണനകൾ</v>
      </c>
      <c r="G883" s="7" t="str">
        <f>IFERROR(__xludf.DUMMYFUNCTION("GOOGLETRANSLATE(B883, ""en"", ""te"")"),"రైడ్ ప్రాధాన్యతలు")</f>
        <v>రైడ్ ప్రాధాన్యతలు</v>
      </c>
    </row>
    <row r="884">
      <c r="A884" s="4" t="s">
        <v>2109</v>
      </c>
      <c r="B884" s="5" t="s">
        <v>2110</v>
      </c>
      <c r="C884" s="6" t="s">
        <v>2111</v>
      </c>
      <c r="D884" s="6" t="str">
        <f>IFERROR(__xludf.DUMMYFUNCTION("GOOGLETRANSLATE(B884, ""en"", ""hi"")"),"सवारी शुरू हो गई")</f>
        <v>सवारी शुरू हो गई</v>
      </c>
      <c r="E884" s="6" t="str">
        <f>IFERROR(__xludf.DUMMYFUNCTION("GOOGLETRANSLATE(B884, ""en"", ""kn"")"),"ಸವಾರಿ ಪ್ರಾರಂಭವಾಗಿದೆ")</f>
        <v>ಸವಾರಿ ಪ್ರಾರಂಭವಾಗಿದೆ</v>
      </c>
      <c r="F884" s="7" t="str">
        <f>IFERROR(__xludf.DUMMYFUNCTION("GOOGLETRANSLATE(B884, ""en"", ""ml"")"),"റൈഡ് ആരംഭിച്ചു")</f>
        <v>റൈഡ് ആരംഭിച്ചു</v>
      </c>
      <c r="G884" s="7" t="str">
        <f>IFERROR(__xludf.DUMMYFUNCTION("GOOGLETRANSLATE(B884, ""en"", ""te"")"),"రైడ్ ప్రారంభమైంది")</f>
        <v>రైడ్ ప్రారంభమైంది</v>
      </c>
    </row>
    <row r="885">
      <c r="A885" s="4" t="s">
        <v>2112</v>
      </c>
      <c r="B885" s="5" t="s">
        <v>2113</v>
      </c>
      <c r="C885" s="6" t="s">
        <v>2114</v>
      </c>
      <c r="D885" s="6" t="str">
        <f>IFERROR(__xludf.DUMMYFUNCTION("GOOGLETRANSLATE(B885, ""en"", ""hi"")"),"सवारी रुक गई")</f>
        <v>सवारी रुक गई</v>
      </c>
      <c r="E885" s="6" t="str">
        <f>IFERROR(__xludf.DUMMYFUNCTION("GOOGLETRANSLATE(B885, ""en"", ""kn"")"),"ಸವಾರಿ ನಿಂತಿದೆ")</f>
        <v>ಸವಾರಿ ನಿಂತಿದೆ</v>
      </c>
      <c r="F885" s="7" t="str">
        <f>IFERROR(__xludf.DUMMYFUNCTION("GOOGLETRANSLATE(B885, ""en"", ""ml"")"),"യാത്ര നിർത്തി")</f>
        <v>യാത്ര നിർത്തി</v>
      </c>
      <c r="G885" s="7" t="str">
        <f>IFERROR(__xludf.DUMMYFUNCTION("GOOGLETRANSLATE(B885, ""en"", ""te"")"),"రైడ్ ఆగిపోయింది")</f>
        <v>రైడ్ ఆగిపోయింది</v>
      </c>
    </row>
    <row r="886">
      <c r="A886" s="4" t="s">
        <v>2115</v>
      </c>
      <c r="B886" s="5" t="s">
        <v>2116</v>
      </c>
      <c r="C886" s="6" t="s">
        <v>2117</v>
      </c>
      <c r="D886" s="6" t="str">
        <f>IFERROR(__xludf.DUMMYFUNCTION("GOOGLETRANSLATE(B886, ""en"", ""hi"")"),"यात्रा बीच में ही रद्द कर दी गई")</f>
        <v>यात्रा बीच में ही रद्द कर दी गई</v>
      </c>
      <c r="E886" s="6" t="str">
        <f>IFERROR(__xludf.DUMMYFUNCTION("GOOGLETRANSLATE(B886, ""en"", ""kn"")"),"ಸವಾರಿಯನ್ನು ಮಧ್ಯದಲ್ಲಿ ರದ್ದುಗೊಳಿಸಲಾಗಿದೆ.")</f>
        <v>ಸವಾರಿಯನ್ನು ಮಧ್ಯದಲ್ಲಿ ರದ್ದುಗೊಳಿಸಲಾಗಿದೆ.</v>
      </c>
      <c r="F886" s="7" t="str">
        <f>IFERROR(__xludf.DUMMYFUNCTION("GOOGLETRANSLATE(B886, ""en"", ""ml"")"),"യാത്ര പകുതി വഴിയിൽ വെച്ച് റദ്ദാക്കി.")</f>
        <v>യാത്ര പകുതി വഴിയിൽ വെച്ച് റദ്ദാക്കി.</v>
      </c>
      <c r="G886" s="7" t="str">
        <f>IFERROR(__xludf.DUMMYFUNCTION("GOOGLETRANSLATE(B886, ""en"", ""te"")"),"రైడ్ మధ్యలో రద్దు చేయబడింది")</f>
        <v>రైడ్ మధ్యలో రద్దు చేయబడింది</v>
      </c>
    </row>
    <row r="887">
      <c r="A887" s="4" t="s">
        <v>2118</v>
      </c>
      <c r="B887" s="5" t="s">
        <v>938</v>
      </c>
      <c r="C887" s="6" t="s">
        <v>2119</v>
      </c>
      <c r="D887" s="6" t="str">
        <f>IFERROR(__xludf.DUMMYFUNCTION("GOOGLETRANSLATE(B887, ""en"", ""hi"")"),"पीछे")</f>
        <v>पीछे</v>
      </c>
      <c r="E887" s="6" t="str">
        <f>IFERROR(__xludf.DUMMYFUNCTION("GOOGLETRANSLATE(B887, ""en"", ""kn"")"),"ಹಿಂದೆ")</f>
        <v>ಹಿಂದೆ</v>
      </c>
      <c r="F887" s="7" t="str">
        <f>IFERROR(__xludf.DUMMYFUNCTION("GOOGLETRANSLATE(B887, ""en"", ""ml"")"),"തിരികെ")</f>
        <v>തിരികെ</v>
      </c>
      <c r="G887" s="7" t="str">
        <f>IFERROR(__xludf.DUMMYFUNCTION("GOOGLETRANSLATE(B887, ""en"", ""te"")"),"వెనుకకు")</f>
        <v>వెనుకకు</v>
      </c>
    </row>
    <row r="888">
      <c r="A888" s="4" t="s">
        <v>2120</v>
      </c>
      <c r="B888" s="5" t="s">
        <v>2121</v>
      </c>
      <c r="C888" s="6" t="s">
        <v>2122</v>
      </c>
      <c r="D888" s="6" t="str">
        <f>IFERROR(__xludf.DUMMYFUNCTION("GOOGLETRANSLATE(B888, ""en"", ""hi"")"),"कृपया अपना इंटरनेट कनेक्शन जांचें।")</f>
        <v>कृपया अपना इंटरनेट कनेक्शन जांचें।</v>
      </c>
      <c r="E888" s="6" t="str">
        <f>IFERROR(__xludf.DUMMYFUNCTION("GOOGLETRANSLATE(B888, ""en"", ""kn"")"),"ದಯವಿಟ್ಟು ನಿಮ್ಮ ಸಂಪರ್ಕವನ್ನು ಪರಿಶೀಲಿಸಿ.")</f>
        <v>ದಯವಿಟ್ಟು ನಿಮ್ಮ ಸಂಪರ್ಕವನ್ನು ಪರಿಶೀಲಿಸಿ.</v>
      </c>
      <c r="F888" s="7" t="str">
        <f>IFERROR(__xludf.DUMMYFUNCTION("GOOGLETRANSLATE(B888, ""en"", ""ml"")"),"നിങ്ങളുടെ കണക്ഷൻ പരിശോധിക്കുക.")</f>
        <v>നിങ്ങളുടെ കണക്ഷൻ പരിശോധിക്കുക.</v>
      </c>
      <c r="G888" s="7" t="str">
        <f>IFERROR(__xludf.DUMMYFUNCTION("GOOGLETRANSLATE(B888, ""en"", ""te"")"),"దయచేసి మీ కనెక్షన్‌ను తనిఖీ చేయండి.")</f>
        <v>దయచేసి మీ కనెక్షన్‌ను తనిఖీ చేయండి.</v>
      </c>
    </row>
    <row r="889">
      <c r="A889" s="4" t="s">
        <v>2123</v>
      </c>
      <c r="B889" s="5" t="s">
        <v>2124</v>
      </c>
      <c r="C889" s="6" t="s">
        <v>2125</v>
      </c>
      <c r="D889" s="6" t="str">
        <f>IFERROR(__xludf.DUMMYFUNCTION("GOOGLETRANSLATE(B889, ""en"", ""hi"")"),"रूट प्राप्त करने में विफल")</f>
        <v>रूट प्राप्त करने में विफल</v>
      </c>
      <c r="E889" s="6" t="str">
        <f>IFERROR(__xludf.DUMMYFUNCTION("GOOGLETRANSLATE(B889, ""en"", ""kn"")"),"ಮಾರ್ಗವನ್ನು ಪಡೆಯುವಲ್ಲಿ ವಿಫಲವಾಗಿದೆ")</f>
        <v>ಮಾರ್ಗವನ್ನು ಪಡೆಯುವಲ್ಲಿ ವಿಫಲವಾಗಿದೆ</v>
      </c>
      <c r="F889" s="7" t="str">
        <f>IFERROR(__xludf.DUMMYFUNCTION("GOOGLETRANSLATE(B889, ""en"", ""ml"")"),"റൂട്ട് ലഭ്യമാക്കുന്നതിൽ പരാജയപ്പെട്ടു")</f>
        <v>റൂട്ട് ലഭ്യമാക്കുന്നതിൽ പരാജയപ്പെട്ടു</v>
      </c>
      <c r="G889" s="7" t="str">
        <f>IFERROR(__xludf.DUMMYFUNCTION("GOOGLETRANSLATE(B889, ""en"", ""te"")"),"మార్గాన్ని పొందడంలో విఫలమైంది")</f>
        <v>మార్గాన్ని పొందడంలో విఫలమైంది</v>
      </c>
    </row>
    <row r="890">
      <c r="A890" s="4" t="s">
        <v>2126</v>
      </c>
      <c r="B890" s="5" t="s">
        <v>2127</v>
      </c>
      <c r="C890" s="6" t="s">
        <v>2128</v>
      </c>
      <c r="D890" s="6" t="str">
        <f>IFERROR(__xludf.DUMMYFUNCTION("GOOGLETRANSLATE(B890, ""en"", ""hi"")"),"रूट प्राप्त करना")</f>
        <v>रूट प्राप्त करना</v>
      </c>
      <c r="E890" s="6" t="str">
        <f>IFERROR(__xludf.DUMMYFUNCTION("GOOGLETRANSLATE(B890, ""en"", ""kn"")"),"ಮಾರ್ಗವನ್ನು ಪಡೆಯಲಾಗುತ್ತಿದೆ")</f>
        <v>ಮಾರ್ಗವನ್ನು ಪಡೆಯಲಾಗುತ್ತಿದೆ</v>
      </c>
      <c r="F890" s="7" t="str">
        <f>IFERROR(__xludf.DUMMYFUNCTION("GOOGLETRANSLATE(B890, ""en"", ""ml"")"),"റൂട്ട് ലഭ്യമാക്കുന്നു")</f>
        <v>റൂട്ട് ലഭ്യമാക്കുന്നു</v>
      </c>
      <c r="G890" s="7" t="str">
        <f>IFERROR(__xludf.DUMMYFUNCTION("GOOGLETRANSLATE(B890, ""en"", ""te"")"),"మార్గాన్ని పొందుతోంది")</f>
        <v>మార్గాన్ని పొందుతోంది</v>
      </c>
    </row>
    <row r="891">
      <c r="A891" s="4" t="s">
        <v>2129</v>
      </c>
      <c r="B891" s="5" t="s">
        <v>2130</v>
      </c>
      <c r="C891" s="6" t="s">
        <v>2131</v>
      </c>
      <c r="D891" s="6" t="str">
        <f>IFERROR(__xludf.DUMMYFUNCTION("GOOGLETRANSLATE(B891, ""en"", ""hi"")"),"सुनिश्चित करें कि आपका इंटरनेट कनेक्शन स्थिर है और पुनः प्रयास करें।")</f>
        <v>सुनिश्चित करें कि आपका इंटरनेट कनेक्शन स्थिर है और पुनः प्रयास करें।</v>
      </c>
      <c r="E891" s="6" t="str">
        <f>IFERROR(__xludf.DUMMYFUNCTION("GOOGLETRANSLATE(B891, ""en"", ""kn"")"),"ನಿಮ್ಮ ಇಂಟರ್ನೆಟ್ ಸ್ಥಿರವಾಗಿದೆ ಎಂದು ಖಚಿತಪಡಿಸಿಕೊಳ್ಳಿ ಹಾಗೂ ಮತ್ತೆ ಪ್ರಯತ್ನಿಸಿ.")</f>
        <v>ನಿಮ್ಮ ಇಂಟರ್ನೆಟ್ ಸ್ಥಿರವಾಗಿದೆ ಎಂದು ಖಚಿತಪಡಿಸಿಕೊಳ್ಳಿ ಹಾಗೂ ಮತ್ತೆ ಪ್ರಯತ್ನಿಸಿ.</v>
      </c>
      <c r="F891" s="7" t="str">
        <f>IFERROR(__xludf.DUMMYFUNCTION("GOOGLETRANSLATE(B891, ""en"", ""ml"")"),"നിങ്ങളുടെ ഇന്റർനെറ്റ് സ്ഥിരതയുള്ളതാണെന്ന് ഉറപ്പാക്കി വീണ്ടും ശ്രമിക്കുക.")</f>
        <v>നിങ്ങളുടെ ഇന്റർനെറ്റ് സ്ഥിരതയുള്ളതാണെന്ന് ഉറപ്പാക്കി വീണ്ടും ശ്രമിക്കുക.</v>
      </c>
      <c r="G891" s="7" t="str">
        <f>IFERROR(__xludf.DUMMYFUNCTION("GOOGLETRANSLATE(B891, ""en"", ""te"")"),"మీ ఇంటర్నెట్ స్థిరంగా ఉందని నిర్ధారించుకుని, మళ్ళీ ప్రయత్నించండి.")</f>
        <v>మీ ఇంటర్నెట్ స్థిరంగా ఉందని నిర్ధారించుకుని, మళ్ళీ ప్రయత్నించండి.</v>
      </c>
    </row>
    <row r="892">
      <c r="A892" s="4" t="s">
        <v>2132</v>
      </c>
      <c r="B892" s="5" t="s">
        <v>589</v>
      </c>
      <c r="C892" s="6" t="s">
        <v>2010</v>
      </c>
      <c r="D892" s="6" t="str">
        <f>IFERROR(__xludf.DUMMYFUNCTION("GOOGLETRANSLATE(B892, ""en"", ""hi"")"),"पुनः प्रयास करें")</f>
        <v>पुनः प्रयास करें</v>
      </c>
      <c r="E892" s="6" t="str">
        <f>IFERROR(__xludf.DUMMYFUNCTION("GOOGLETRANSLATE(B892, ""en"", ""kn"")"),"ಮತ್ತೆ ಪ್ರಯತ್ನಿಸಿ")</f>
        <v>ಮತ್ತೆ ಪ್ರಯತ್ನಿಸಿ</v>
      </c>
      <c r="F892" s="7" t="str">
        <f>IFERROR(__xludf.DUMMYFUNCTION("GOOGLETRANSLATE(B892, ""en"", ""ml"")"),"വീണ്ടും ശ്രമിക്കുക")</f>
        <v>വീണ്ടും ശ്രമിക്കുക</v>
      </c>
      <c r="G892" s="7" t="str">
        <f>IFERROR(__xludf.DUMMYFUNCTION("GOOGLETRANSLATE(B892, ""en"", ""te"")"),"మళ్ళీ ప్రయత్నించండి")</f>
        <v>మళ్ళీ ప్రయత్నించండి</v>
      </c>
    </row>
    <row r="893">
      <c r="A893" s="4" t="s">
        <v>2133</v>
      </c>
      <c r="B893" s="5" t="s">
        <v>2134</v>
      </c>
      <c r="C893" s="6" t="s">
        <v>2135</v>
      </c>
      <c r="D893" s="6" t="str">
        <f>IFERROR(__xludf.DUMMYFUNCTION("GOOGLETRANSLATE(B893, ""en"", ""hi"")"),"रात में सुरक्षित सवारी")</f>
        <v>रात में सुरक्षित सवारी</v>
      </c>
      <c r="E893" s="6" t="str">
        <f>IFERROR(__xludf.DUMMYFUNCTION("GOOGLETRANSLATE(B893, ""en"", ""kn"")"),"ಸುರಕ್ಷಿತ ರಾತ್ರಿ ಸವಾರಿಗಳು")</f>
        <v>ಸುರಕ್ಷಿತ ರಾತ್ರಿ ಸವಾರಿಗಳು</v>
      </c>
      <c r="F893" s="7" t="str">
        <f>IFERROR(__xludf.DUMMYFUNCTION("GOOGLETRANSLATE(B893, ""en"", ""ml"")"),"സുരക്ഷിതമായ രാത്രി യാത്രകൾ")</f>
        <v>സുരക്ഷിതമായ രാത്രി യാത്രകൾ</v>
      </c>
      <c r="G893" s="7" t="str">
        <f>IFERROR(__xludf.DUMMYFUNCTION("GOOGLETRANSLATE(B893, ""en"", ""te"")"),"సురక్షితమైన రాత్రి ప్రయాణాలు")</f>
        <v>సురక్షితమైన రాత్రి ప్రయాణాలు</v>
      </c>
    </row>
    <row r="894">
      <c r="A894" s="4" t="s">
        <v>2136</v>
      </c>
      <c r="B894" s="5" t="s">
        <v>2137</v>
      </c>
      <c r="C894" s="6" t="s">
        <v>2138</v>
      </c>
      <c r="D894" s="6" t="str">
        <f>IFERROR(__xludf.DUMMYFUNCTION("GOOGLETRANSLATE(B894, ""en"", ""hi"")"),"पिकअप और ड्रॉप-ऑफ स्थान बहुत पास हैं। कृपया कोई दूर का स्थान चुनें।")</f>
        <v>पिकअप और ड्रॉप-ऑफ स्थान बहुत पास हैं। कृपया कोई दूर का स्थान चुनें।</v>
      </c>
      <c r="E894" s="6" t="str">
        <f>IFERROR(__xludf.DUMMYFUNCTION("GOOGLETRANSLATE(B894, ""en"", ""kn"")"),"ಪಿಕಪ್ ಮತ್ತು ಡ್ರಾಪ್-ಆಫ್ ಸ್ಥಳಗಳು ತುಂಬಾ ಹತ್ತಿರದಲ್ಲಿವೆ. ದಯವಿಟ್ಟು ದೂರದ ಸ್ಥಳವನ್ನು ಆರಿಸಿ.")</f>
        <v>ಪಿಕಪ್ ಮತ್ತು ಡ್ರಾಪ್-ಆಫ್ ಸ್ಥಳಗಳು ತುಂಬಾ ಹತ್ತಿರದಲ್ಲಿವೆ. ದಯವಿಟ್ಟು ದೂರದ ಸ್ಥಳವನ್ನು ಆರಿಸಿ.</v>
      </c>
      <c r="F894" s="7" t="str">
        <f>IFERROR(__xludf.DUMMYFUNCTION("GOOGLETRANSLATE(B894, ""en"", ""ml"")"),"പിക്കപ്പ്, ഡ്രോപ്പ് ലൊക്കേഷനുകൾ വളരെ അടുത്താണ്. ദയവായി കൂടുതൽ ദൂരെയുള്ള ഒരു സ്ഥലം തിരഞ്ഞെടുക്കുക.")</f>
        <v>പിക്കപ്പ്, ഡ്രോപ്പ് ലൊക്കേഷനുകൾ വളരെ അടുത്താണ്. ദയവായി കൂടുതൽ ദൂരെയുള്ള ഒരു സ്ഥലം തിരഞ്ഞെടുക്കുക.</v>
      </c>
      <c r="G894" s="7" t="str">
        <f>IFERROR(__xludf.DUMMYFUNCTION("GOOGLETRANSLATE(B894, ""en"", ""te"")"),"పికప్ మరియు డ్రాప్-ఆఫ్ స్థానాలు చాలా దగ్గరగా ఉన్నాయి. దయచేసి దూరంగా ఉన్న స్థానాన్ని ఎంచుకోండి.")</f>
        <v>పికప్ మరియు డ్రాప్-ఆఫ్ స్థానాలు చాలా దగ్గరగా ఉన్నాయి. దయచేసి దూరంగా ఉన్న స్థానాన్ని ఎంచుకోండి.</v>
      </c>
    </row>
    <row r="895">
      <c r="A895" s="4" t="s">
        <v>2139</v>
      </c>
      <c r="B895" s="5" t="s">
        <v>2140</v>
      </c>
      <c r="C895" s="6" t="s">
        <v>2141</v>
      </c>
      <c r="D895" s="6" t="str">
        <f>IFERROR(__xludf.DUMMYFUNCTION("GOOGLETRANSLATE(B895, ""en"", ""hi"")"),"स्थान बहुत नजदीक हैं")</f>
        <v>स्थान बहुत नजदीक हैं</v>
      </c>
      <c r="E895" s="6" t="str">
        <f>IFERROR(__xludf.DUMMYFUNCTION("GOOGLETRANSLATE(B895, ""en"", ""kn"")"),"ಸ್ಥಳಗಳು ತುಂಬಾ ಹತ್ತಿರದಲ್ಲಿವೆ")</f>
        <v>ಸ್ಥಳಗಳು ತುಂಬಾ ಹತ್ತಿರದಲ್ಲಿವೆ</v>
      </c>
      <c r="F895" s="7" t="str">
        <f>IFERROR(__xludf.DUMMYFUNCTION("GOOGLETRANSLATE(B895, ""en"", ""ml"")"),"സ്ഥലങ്ങൾ വളരെ അടുത്താണ്")</f>
        <v>സ്ഥലങ്ങൾ വളരെ അടുത്താണ്</v>
      </c>
      <c r="G895" s="7" t="str">
        <f>IFERROR(__xludf.DUMMYFUNCTION("GOOGLETRANSLATE(B895, ""en"", ""te"")"),"చాలా దగ్గరగా ఉన్న ప్రదేశాలు")</f>
        <v>చాలా దగ్గరగా ఉన్న ప్రదేశాలు</v>
      </c>
    </row>
    <row r="896">
      <c r="A896" s="4" t="s">
        <v>2142</v>
      </c>
      <c r="B896" s="5" t="s">
        <v>2143</v>
      </c>
      <c r="C896" s="6" t="s">
        <v>2144</v>
      </c>
      <c r="D896" s="6" t="str">
        <f>IFERROR(__xludf.DUMMYFUNCTION("GOOGLETRANSLATE(B896, ""en"", ""hi"")"),"के रूप रक्षित करें")</f>
        <v>के रूप रक्षित करें</v>
      </c>
      <c r="E896" s="6" t="str">
        <f>IFERROR(__xludf.DUMMYFUNCTION("GOOGLETRANSLATE(B896, ""en"", ""kn"")"),"ಉಳಿಸಿ")</f>
        <v>ಉಳಿಸಿ</v>
      </c>
      <c r="F896" s="7" t="str">
        <f>IFERROR(__xludf.DUMMYFUNCTION("GOOGLETRANSLATE(B896, ""en"", ""ml"")"),"ഇതായി സംരക്ഷിക്കുക")</f>
        <v>ഇതായി സംരക്ഷിക്കുക</v>
      </c>
      <c r="G896" s="7" t="str">
        <f>IFERROR(__xludf.DUMMYFUNCTION("GOOGLETRANSLATE(B896, ""en"", ""te"")"),"ఇలా సేవ్ చేయి")</f>
        <v>ఇలా సేవ్ చేయి</v>
      </c>
    </row>
    <row r="897">
      <c r="A897" s="4" t="s">
        <v>2145</v>
      </c>
      <c r="B897" s="5" t="s">
        <v>2146</v>
      </c>
      <c r="C897" s="6" t="s">
        <v>2147</v>
      </c>
      <c r="D897" s="6" t="str">
        <f>IFERROR(__xludf.DUMMYFUNCTION("GOOGLETRANSLATE(B897, ""en"", ""hi"")"),"जगह सुरक्षित करें")</f>
        <v>जगह सुरक्षित करें</v>
      </c>
      <c r="E897" s="6" t="str">
        <f>IFERROR(__xludf.DUMMYFUNCTION("GOOGLETRANSLATE(B897, ""en"", ""kn"")"),"ಸ್ಥಳವನ್ನು ಉಳಿಸಿ")</f>
        <v>ಸ್ಥಳವನ್ನು ಉಳಿಸಿ</v>
      </c>
      <c r="F897" s="7" t="str">
        <f>IFERROR(__xludf.DUMMYFUNCTION("GOOGLETRANSLATE(B897, ""en"", ""ml"")"),"സ്ഥലം സംരക്ഷിക്കുക")</f>
        <v>സ്ഥലം സംരക്ഷിക്കുക</v>
      </c>
      <c r="G897" s="7" t="str">
        <f>IFERROR(__xludf.DUMMYFUNCTION("GOOGLETRANSLATE(B897, ""en"", ""te"")"),"స్థలాన్ని సేవ్ చేయి")</f>
        <v>స్థలాన్ని సేవ్ చేయి</v>
      </c>
    </row>
    <row r="898">
      <c r="A898" s="4" t="s">
        <v>2148</v>
      </c>
      <c r="B898" s="5" t="s">
        <v>2149</v>
      </c>
      <c r="C898" s="6" t="s">
        <v>2150</v>
      </c>
      <c r="D898" s="6" t="str">
        <f>IFERROR(__xludf.DUMMYFUNCTION("GOOGLETRANSLATE(B898, ""en"", ""hi"")"),"प्राथमिकताएं सहेजें")</f>
        <v>प्राथमिकताएं सहेजें</v>
      </c>
      <c r="E898" s="6" t="str">
        <f>IFERROR(__xludf.DUMMYFUNCTION("GOOGLETRANSLATE(B898, ""en"", ""kn"")"),"ಆದ್ಯತೆಗಳನ್ನು ಉಳಿಸಿ")</f>
        <v>ಆದ್ಯತೆಗಳನ್ನು ಉಳಿಸಿ</v>
      </c>
      <c r="F898" s="7" t="str">
        <f>IFERROR(__xludf.DUMMYFUNCTION("GOOGLETRANSLATE(B898, ""en"", ""ml"")"),"മുൻഗണനകൾ സംരക്ഷിക്കുക")</f>
        <v>മുൻഗണനകൾ സംരക്ഷിക്കുക</v>
      </c>
      <c r="G898" s="7" t="str">
        <f>IFERROR(__xludf.DUMMYFUNCTION("GOOGLETRANSLATE(B898, ""en"", ""te"")"),"ప్రాధాన్యతలను సేవ్ చేయి")</f>
        <v>ప్రాధాన్యతలను సేవ్ చేయి</v>
      </c>
    </row>
    <row r="899">
      <c r="A899" s="4" t="s">
        <v>2151</v>
      </c>
      <c r="B899" s="5" t="s">
        <v>2152</v>
      </c>
      <c r="C899" s="6" t="s">
        <v>2153</v>
      </c>
      <c r="D899" s="6" t="str">
        <f>IFERROR(__xludf.DUMMYFUNCTION("GOOGLETRANSLATE(B899, ""en"", ""hi"")"),"सहेजे गए स्थान")</f>
        <v>सहेजे गए स्थान</v>
      </c>
      <c r="E899" s="6" t="str">
        <f>IFERROR(__xludf.DUMMYFUNCTION("GOOGLETRANSLATE(B899, ""en"", ""kn"")"),"ಉಳಿಸಿದ ಸ್ಥಳಗಳು")</f>
        <v>ಉಳಿಸಿದ ಸ್ಥಳಗಳು</v>
      </c>
      <c r="F899" s="7" t="str">
        <f>IFERROR(__xludf.DUMMYFUNCTION("GOOGLETRANSLATE(B899, ""en"", ""ml"")"),"സംരക്ഷിച്ച സ്ഥലങ്ങൾ")</f>
        <v>സംരക്ഷിച്ച സ്ഥലങ്ങൾ</v>
      </c>
      <c r="G899" s="7" t="str">
        <f>IFERROR(__xludf.DUMMYFUNCTION("GOOGLETRANSLATE(B899, ""en"", ""te"")"),"సేవ్ చేసిన స్థలాలు")</f>
        <v>సేవ్ చేసిన స్థలాలు</v>
      </c>
    </row>
    <row r="900">
      <c r="A900" s="4" t="s">
        <v>2154</v>
      </c>
      <c r="B900" s="5" t="s">
        <v>2155</v>
      </c>
      <c r="C900" s="6" t="s">
        <v>2156</v>
      </c>
      <c r="D900" s="6" t="str">
        <f>IFERROR(__xludf.DUMMYFUNCTION("GOOGLETRANSLATE(B900, ""en"", ""hi"")"),"अपना पहला सेव किया हुआ स्थान जोड़ने के लिए + बटन पर टैप करें।")</f>
        <v>अपना पहला सेव किया हुआ स्थान जोड़ने के लिए + बटन पर टैप करें।</v>
      </c>
      <c r="E900" s="6" t="str">
        <f>IFERROR(__xludf.DUMMYFUNCTION("GOOGLETRANSLATE(B900, ""en"", ""kn"")"),"ನಿಮ್ಮ ಮೊದಲ ಉಳಿಸಿದ ಸ್ಥಳವನ್ನು ಸೇರಿಸಲು + ಬಟನ್ ಟ್ಯಾಪ್ ಮಾಡಿ")</f>
        <v>ನಿಮ್ಮ ಮೊದಲ ಉಳಿಸಿದ ಸ್ಥಳವನ್ನು ಸೇರಿಸಲು + ಬಟನ್ ಟ್ಯಾಪ್ ಮಾಡಿ</v>
      </c>
      <c r="F900" s="7" t="str">
        <f>IFERROR(__xludf.DUMMYFUNCTION("GOOGLETRANSLATE(B900, ""en"", ""ml"")"),"നിങ്ങളുടെ ആദ്യ സംരക്ഷിച്ച സ്ഥലം ചേർക്കാൻ + ബട്ടൺ ടാപ്പ് ചെയ്യുക")</f>
        <v>നിങ്ങളുടെ ആദ്യ സംരക്ഷിച്ച സ്ഥലം ചേർക്കാൻ + ബട്ടൺ ടാപ്പ് ചെയ്യുക</v>
      </c>
      <c r="G900" s="7" t="str">
        <f>IFERROR(__xludf.DUMMYFUNCTION("GOOGLETRANSLATE(B900, ""en"", ""te"")"),"మీ మొదటి సేవ్ చేసిన స్థలాన్ని జోడించడానికి + బటన్‌ను నొక్కండి")</f>
        <v>మీ మొదటి సేవ్ చేసిన స్థలాన్ని జోడించడానికి + బటన్‌ను నొక్కండి</v>
      </c>
    </row>
    <row r="901">
      <c r="A901" s="4" t="s">
        <v>2157</v>
      </c>
      <c r="B901" s="5" t="s">
        <v>2158</v>
      </c>
      <c r="C901" s="6" t="s">
        <v>2159</v>
      </c>
      <c r="D901" s="6" t="str">
        <f>IFERROR(__xludf.DUMMYFUNCTION("GOOGLETRANSLATE(B901, ""en"", ""hi"")"),"आपके सहेजे गए स्थान यहां दिखाई देंगे।")</f>
        <v>आपके सहेजे गए स्थान यहां दिखाई देंगे।</v>
      </c>
      <c r="E901" s="6" t="str">
        <f>IFERROR(__xludf.DUMMYFUNCTION("GOOGLETRANSLATE(B901, ""en"", ""kn"")"),"ನಿಮ್ಮ ಉಳಿಸಿದ ಸ್ಥಳಗಳು ಇಲ್ಲಿ ಗೋಚರಿಸುತ್ತವೆ.")</f>
        <v>ನಿಮ್ಮ ಉಳಿಸಿದ ಸ್ಥಳಗಳು ಇಲ್ಲಿ ಗೋಚರಿಸುತ್ತವೆ.</v>
      </c>
      <c r="F901" s="7" t="str">
        <f>IFERROR(__xludf.DUMMYFUNCTION("GOOGLETRANSLATE(B901, ""en"", ""ml"")"),"നിങ്ങളുടെ സംരക്ഷിച്ച സ്ഥലങ്ങൾ ഇവിടെ ദൃശ്യമാകും.")</f>
        <v>നിങ്ങളുടെ സംരക്ഷിച്ച സ്ഥലങ്ങൾ ഇവിടെ ദൃശ്യമാകും.</v>
      </c>
      <c r="G901" s="7" t="str">
        <f>IFERROR(__xludf.DUMMYFUNCTION("GOOGLETRANSLATE(B901, ""en"", ""te"")"),"మీరు సేవ్ చేసిన స్థానాలు ఇక్కడ కనిపిస్తాయి")</f>
        <v>మీరు సేవ్ చేసిన స్థానాలు ఇక్కడ కనిపిస్తాయి</v>
      </c>
    </row>
    <row r="902">
      <c r="A902" s="4" t="s">
        <v>2160</v>
      </c>
      <c r="B902" s="5" t="s">
        <v>2161</v>
      </c>
      <c r="C902" s="6" t="s">
        <v>2162</v>
      </c>
      <c r="D902" s="6" t="str">
        <f>IFERROR(__xludf.DUMMYFUNCTION("GOOGLETRANSLATE(B902, ""en"", ""hi"")"),"बचत")</f>
        <v>बचत</v>
      </c>
      <c r="E902" s="6" t="str">
        <f>IFERROR(__xludf.DUMMYFUNCTION("GOOGLETRANSLATE(B902, ""en"", ""kn"")"),"ಉಳಿತಾಯ")</f>
        <v>ಉಳಿತಾಯ</v>
      </c>
      <c r="F902" s="7" t="str">
        <f>IFERROR(__xludf.DUMMYFUNCTION("GOOGLETRANSLATE(B902, ""en"", ""ml"")"),"സേവിംഗ്സ്")</f>
        <v>സേവിംഗ്സ്</v>
      </c>
      <c r="G902" s="7" t="str">
        <f>IFERROR(__xludf.DUMMYFUNCTION("GOOGLETRANSLATE(B902, ""en"", ""te"")"),"పొదుపులు")</f>
        <v>పొదుపులు</v>
      </c>
    </row>
    <row r="903">
      <c r="A903" s="4" t="s">
        <v>2163</v>
      </c>
      <c r="B903" s="5" t="s">
        <v>2164</v>
      </c>
      <c r="C903" s="6" t="s">
        <v>2165</v>
      </c>
      <c r="D903" s="6" t="str">
        <f>IFERROR(__xludf.DUMMYFUNCTION("GOOGLETRANSLATE(B903, ""en"", ""hi"")"),"अनुसूची")</f>
        <v>अनुसूची</v>
      </c>
      <c r="E903" s="6" t="str">
        <f>IFERROR(__xludf.DUMMYFUNCTION("GOOGLETRANSLATE(B903, ""en"", ""kn"")"),"ವೇಳಾಪಟ್ಟಿ")</f>
        <v>ವೇಳಾಪಟ್ಟಿ</v>
      </c>
      <c r="F903" s="7" t="str">
        <f>IFERROR(__xludf.DUMMYFUNCTION("GOOGLETRANSLATE(B903, ""en"", ""ml"")"),"പട്ടിക")</f>
        <v>പട്ടിക</v>
      </c>
      <c r="G903" s="7" t="str">
        <f>IFERROR(__xludf.DUMMYFUNCTION("GOOGLETRANSLATE(B903, ""en"", ""te"")"),"షెడ్యూల్")</f>
        <v>షెడ్యూల్</v>
      </c>
    </row>
    <row r="904">
      <c r="A904" s="4" t="s">
        <v>2166</v>
      </c>
      <c r="B904" s="5" t="s">
        <v>2167</v>
      </c>
      <c r="C904" s="6" t="s">
        <v>2168</v>
      </c>
      <c r="D904" s="6" t="str">
        <f>IFERROR(__xludf.DUMMYFUNCTION("GOOGLETRANSLATE(B904, ""en"", ""hi"")"),"यात्रा की योजना बनाएं")</f>
        <v>यात्रा की योजना बनाएं</v>
      </c>
      <c r="E904" s="6" t="str">
        <f>IFERROR(__xludf.DUMMYFUNCTION("GOOGLETRANSLATE(B904, ""en"", ""kn"")"),"ಪ್ರವಾಸವನ್ನು ನಿಗದಿಪಡಿಸಿ")</f>
        <v>ಪ್ರವಾಸವನ್ನು ನಿಗದಿಪಡಿಸಿ</v>
      </c>
      <c r="F904" s="7" t="str">
        <f>IFERROR(__xludf.DUMMYFUNCTION("GOOGLETRANSLATE(B904, ""en"", ""ml"")"),"ഒരു യാത്ര ഷെഡ്യൂൾ ചെയ്യുക")</f>
        <v>ഒരു യാത്ര ഷെഡ്യൂൾ ചെയ്യുക</v>
      </c>
      <c r="G904" s="7" t="str">
        <f>IFERROR(__xludf.DUMMYFUNCTION("GOOGLETRANSLATE(B904, ""en"", ""te"")"),"ట్రిప్ షెడ్యూల్ చేయండి")</f>
        <v>ట్రిప్ షెడ్యూల్ చేయండి</v>
      </c>
    </row>
    <row r="905">
      <c r="A905" s="4" t="s">
        <v>2169</v>
      </c>
      <c r="B905" s="5" t="s">
        <v>2170</v>
      </c>
      <c r="C905" s="6" t="s">
        <v>2171</v>
      </c>
      <c r="D905" s="6" t="str">
        <f>IFERROR(__xludf.DUMMYFUNCTION("GOOGLETRANSLATE(B905, ""en"", ""hi"")"),"राइड शेड्यूल करें")</f>
        <v>राइड शेड्यूल करें</v>
      </c>
      <c r="E905" s="6" t="str">
        <f>IFERROR(__xludf.DUMMYFUNCTION("GOOGLETRANSLATE(B905, ""en"", ""kn"")"),"ವೇಳಾಪಟ್ಟಿ ಸವಾರಿ")</f>
        <v>ವೇಳಾಪಟ್ಟಿ ಸವಾರಿ</v>
      </c>
      <c r="F905" s="7" t="str">
        <f>IFERROR(__xludf.DUMMYFUNCTION("GOOGLETRANSLATE(B905, ""en"", ""ml"")"),"ഷെഡ്യൂൾ റൈഡ്")</f>
        <v>ഷെഡ്യൂൾ റൈഡ്</v>
      </c>
      <c r="G905" s="7" t="str">
        <f>IFERROR(__xludf.DUMMYFUNCTION("GOOGLETRANSLATE(B905, ""en"", ""te"")"),"షెడ్యూల్ రైడ్")</f>
        <v>షెడ్యూల్ రైడ్</v>
      </c>
    </row>
    <row r="906">
      <c r="A906" s="4" t="s">
        <v>2172</v>
      </c>
      <c r="B906" s="5" t="s">
        <v>2173</v>
      </c>
      <c r="C906" s="6" t="s">
        <v>2174</v>
      </c>
      <c r="D906" s="6" t="str">
        <f>IFERROR(__xludf.DUMMYFUNCTION("GOOGLETRANSLATE(B906, ""en"", ""hi"")"),"खोज")</f>
        <v>खोज</v>
      </c>
      <c r="E906" s="6" t="str">
        <f>IFERROR(__xludf.DUMMYFUNCTION("GOOGLETRANSLATE(B906, ""en"", ""kn"")"),"ಹುಡುಕಿ Kannada")</f>
        <v>ಹುಡುಕಿ Kannada</v>
      </c>
      <c r="F906" s="7" t="str">
        <f>IFERROR(__xludf.DUMMYFUNCTION("GOOGLETRANSLATE(B906, ""en"", ""ml"")"),"തിരയുക")</f>
        <v>തിരയുക</v>
      </c>
      <c r="G906" s="7" t="str">
        <f>IFERROR(__xludf.DUMMYFUNCTION("GOOGLETRANSLATE(B906, ""en"", ""te"")"),"వెతకండి")</f>
        <v>వెతకండి</v>
      </c>
    </row>
    <row r="907">
      <c r="A907" s="4" t="s">
        <v>2175</v>
      </c>
      <c r="B907" s="5" t="s">
        <v>2176</v>
      </c>
      <c r="C907" s="6" t="s">
        <v>2177</v>
      </c>
      <c r="D907" s="6" t="str">
        <f>IFERROR(__xludf.DUMMYFUNCTION("GOOGLETRANSLATE(B907, ""en"", ""hi"")"),"सभी ड्राइवरों को खोजें")</f>
        <v>सभी ड्राइवरों को खोजें</v>
      </c>
      <c r="E907" s="6" t="str">
        <f>IFERROR(__xludf.DUMMYFUNCTION("GOOGLETRANSLATE(B907, ""en"", ""kn"")"),"ಎಲ್ಲಾ ಚಾಲಕರನ್ನು ಹುಡುಕಿ")</f>
        <v>ಎಲ್ಲಾ ಚಾಲಕರನ್ನು ಹುಡುಕಿ</v>
      </c>
      <c r="F907" s="7" t="str">
        <f>IFERROR(__xludf.DUMMYFUNCTION("GOOGLETRANSLATE(B907, ""en"", ""ml"")"),"എല്ലാ ഡ്രൈവറുകളും തിരയുക")</f>
        <v>എല്ലാ ഡ്രൈവറുകളും തിരയുക</v>
      </c>
      <c r="G907" s="7" t="str">
        <f>IFERROR(__xludf.DUMMYFUNCTION("GOOGLETRANSLATE(B907, ""en"", ""te"")"),"అన్ని డ్రైవర్లను శోధించండి")</f>
        <v>అన్ని డ్రైవర్లను శోధించండి</v>
      </c>
    </row>
    <row r="908">
      <c r="A908" s="4" t="s">
        <v>2178</v>
      </c>
      <c r="B908" s="5" t="s">
        <v>2179</v>
      </c>
      <c r="C908" s="6" t="s">
        <v>2174</v>
      </c>
      <c r="D908" s="6" t="str">
        <f>IFERROR(__xludf.DUMMYFUNCTION("GOOGLETRANSLATE(B908, ""en"", ""hi"")"),"शहरों, क्षेत्रों, सड़कों को खोजें")</f>
        <v>शहरों, क्षेत्रों, सड़कों को खोजें</v>
      </c>
      <c r="E908" s="6" t="str">
        <f>IFERROR(__xludf.DUMMYFUNCTION("GOOGLETRANSLATE(B908, ""en"", ""kn"")"),"ನಗರಗಳು, ಪ್ರದೇಶಗಳು, ಬೀದಿಗಳನ್ನು ಹುಡುಕಿ")</f>
        <v>ನಗರಗಳು, ಪ್ರದೇಶಗಳು, ಬೀದಿಗಳನ್ನು ಹುಡುಕಿ</v>
      </c>
      <c r="F908" s="7" t="str">
        <f>IFERROR(__xludf.DUMMYFUNCTION("GOOGLETRANSLATE(B908, ""en"", ""ml"")"),"നഗരങ്ങൾ, പ്രദേശങ്ങൾ, തെരുവുകൾ എന്നിവ തിരയുക")</f>
        <v>നഗരങ്ങൾ, പ്രദേശങ്ങൾ, തെരുവുകൾ എന്നിവ തിരയുക</v>
      </c>
      <c r="G908" s="7" t="str">
        <f>IFERROR(__xludf.DUMMYFUNCTION("GOOGLETRANSLATE(B908, ""en"", ""te"")"),"నగరాలు, ప్రాంతాలు, వీధులను శోధించండి")</f>
        <v>నగరాలు, ప్రాంతాలు, వీధులను శోధించండి</v>
      </c>
    </row>
    <row r="909">
      <c r="A909" s="4" t="s">
        <v>2180</v>
      </c>
      <c r="B909" s="5" t="s">
        <v>2181</v>
      </c>
      <c r="C909" s="6" t="s">
        <v>2182</v>
      </c>
      <c r="D909" s="6" t="str">
        <f>IFERROR(__xludf.DUMMYFUNCTION("GOOGLETRANSLATE(B909, ""en"", ""hi"")"),"संपर्कों की खोज करें")</f>
        <v>संपर्कों की खोज करें</v>
      </c>
      <c r="E909" s="6" t="str">
        <f>IFERROR(__xludf.DUMMYFUNCTION("GOOGLETRANSLATE(B909, ""en"", ""kn"")"),"ಸಂಪರ್ಕಗಳನ್ನು ಹುಡುಕಿ")</f>
        <v>ಸಂಪರ್ಕಗಳನ್ನು ಹುಡುಕಿ</v>
      </c>
      <c r="F909" s="7" t="str">
        <f>IFERROR(__xludf.DUMMYFUNCTION("GOOGLETRANSLATE(B909, ""en"", ""ml"")"),"കോൺടാക്റ്റുകൾ തിരയുക")</f>
        <v>കോൺടാക്റ്റുകൾ തിരയുക</v>
      </c>
      <c r="G909" s="7" t="str">
        <f>IFERROR(__xludf.DUMMYFUNCTION("GOOGLETRANSLATE(B909, ""en"", ""te"")"),"పరిచయాలను శోధించండి")</f>
        <v>పరిచయాలను శోధించండి</v>
      </c>
    </row>
    <row r="910">
      <c r="A910" s="4" t="s">
        <v>2183</v>
      </c>
      <c r="B910" s="5" t="s">
        <v>2184</v>
      </c>
      <c r="C910" s="6" t="s">
        <v>2185</v>
      </c>
      <c r="D910" s="6" t="str">
        <f>IFERROR(__xludf.DUMMYFUNCTION("GOOGLETRANSLATE(B910, ""en"", ""hi"")"),"गंतव्य खोजें")</f>
        <v>गंतव्य खोजें</v>
      </c>
      <c r="E910" s="6" t="str">
        <f>IFERROR(__xludf.DUMMYFUNCTION("GOOGLETRANSLATE(B910, ""en"", ""kn"")"),"ಗಮ್ಯಸ್ಥಾನವನ್ನು ಹುಡುಕಿ")</f>
        <v>ಗಮ್ಯಸ್ಥಾನವನ್ನು ಹುಡುಕಿ</v>
      </c>
      <c r="F910" s="7" t="str">
        <f>IFERROR(__xludf.DUMMYFUNCTION("GOOGLETRANSLATE(B910, ""en"", ""ml"")"),"ലക്ഷ്യസ്ഥാനം തിരയുക")</f>
        <v>ലക്ഷ്യസ്ഥാനം തിരയുക</v>
      </c>
      <c r="G910" s="7" t="str">
        <f>IFERROR(__xludf.DUMMYFUNCTION("GOOGLETRANSLATE(B910, ""en"", ""te"")"),"గమ్యస్థానాన్ని శోధించు")</f>
        <v>గమ్యస్థానాన్ని శోధించు</v>
      </c>
    </row>
    <row r="911">
      <c r="A911" s="4" t="s">
        <v>2186</v>
      </c>
      <c r="B911" s="5" t="s">
        <v>2187</v>
      </c>
      <c r="C911" s="6" t="s">
        <v>1712</v>
      </c>
      <c r="D911" s="6" t="str">
        <f>IFERROR(__xludf.DUMMYFUNCTION("GOOGLETRANSLATE(B911, ""en"", ""hi"")"),"पिकअप स्थान खोजें")</f>
        <v>पिकअप स्थान खोजें</v>
      </c>
      <c r="E911" s="6" t="str">
        <f>IFERROR(__xludf.DUMMYFUNCTION("GOOGLETRANSLATE(B911, ""en"", ""kn"")"),"ಪಿಕಪ್ ಸ್ಥಳವನ್ನು ಹುಡುಕಿ")</f>
        <v>ಪಿಕಪ್ ಸ್ಥಳವನ್ನು ಹುಡುಕಿ</v>
      </c>
      <c r="F911" s="7" t="str">
        <f>IFERROR(__xludf.DUMMYFUNCTION("GOOGLETRANSLATE(B911, ""en"", ""ml"")"),"പിക്കപ്പ് ലൊക്കേഷൻ തിരയുക")</f>
        <v>പിക്കപ്പ് ലൊക്കേഷൻ തിരയുക</v>
      </c>
      <c r="G911" s="7" t="str">
        <f>IFERROR(__xludf.DUMMYFUNCTION("GOOGLETRANSLATE(B911, ""en"", ""te"")"),"పికప్ లొకేషన్‌ను శోధించండి")</f>
        <v>పికప్ లొకేషన్‌ను శోధించండి</v>
      </c>
    </row>
    <row r="912">
      <c r="A912" s="4" t="s">
        <v>2188</v>
      </c>
      <c r="B912" s="5" t="s">
        <v>2189</v>
      </c>
      <c r="C912" s="6" t="s">
        <v>2190</v>
      </c>
      <c r="D912" s="6" t="str">
        <f>IFERROR(__xludf.DUMMYFUNCTION("GOOGLETRANSLATE(B912, ""en"", ""hi"")"),"खोज क्षेत्र")</f>
        <v>खोज क्षेत्र</v>
      </c>
      <c r="E912" s="6" t="str">
        <f>IFERROR(__xludf.DUMMYFUNCTION("GOOGLETRANSLATE(B912, ""en"", ""kn"")"),"ಹುಡುಕಾಟ ಪ್ರದೇಶ")</f>
        <v>ಹುಡುಕಾಟ ಪ್ರದೇಶ</v>
      </c>
      <c r="F912" s="7" t="str">
        <f>IFERROR(__xludf.DUMMYFUNCTION("GOOGLETRANSLATE(B912, ""en"", ""ml"")"),"തിരയൽ മേഖല")</f>
        <v>തിരയൽ മേഖല</v>
      </c>
      <c r="G912" s="7" t="str">
        <f>IFERROR(__xludf.DUMMYFUNCTION("GOOGLETRANSLATE(B912, ""en"", ""te"")"),"శోధన ప్రాంతం")</f>
        <v>శోధన ప్రాంతం</v>
      </c>
    </row>
    <row r="913">
      <c r="A913" s="4" t="s">
        <v>2191</v>
      </c>
      <c r="B913" s="5" t="s">
        <v>2192</v>
      </c>
      <c r="C913" s="6" t="s">
        <v>2193</v>
      </c>
      <c r="D913" s="6" t="str">
        <f>IFERROR(__xludf.DUMMYFUNCTION("GOOGLETRANSLATE(B913, ""en"", ""hi"")"),"उपलब्ध ड्राइवर देखें")</f>
        <v>उपलब्ध ड्राइवर देखें</v>
      </c>
      <c r="E913" s="6" t="str">
        <f>IFERROR(__xludf.DUMMYFUNCTION("GOOGLETRANSLATE(B913, ""en"", ""kn"")"),"ಲಭ್ಯವಿರುವ ಡ್ರೈವರ್‌ಗಳನ್ನು ನೋಡಿ")</f>
        <v>ಲಭ್ಯವಿರುವ ಡ್ರೈವರ್‌ಗಳನ್ನು ನೋಡಿ</v>
      </c>
      <c r="F913" s="7" t="str">
        <f>IFERROR(__xludf.DUMMYFUNCTION("GOOGLETRANSLATE(B913, ""en"", ""ml"")"),"ലഭ്യമായ ഡ്രൈവറുകൾ കാണുക")</f>
        <v>ലഭ്യമായ ഡ്രൈവറുകൾ കാണുക</v>
      </c>
      <c r="G913" s="7" t="str">
        <f>IFERROR(__xludf.DUMMYFUNCTION("GOOGLETRANSLATE(B913, ""en"", ""te"")"),"అందుబాటులో ఉన్న డ్రైవర్లను చూడండి")</f>
        <v>అందుబాటులో ఉన్న డ్రైవర్లను చూడండి</v>
      </c>
    </row>
    <row r="914">
      <c r="A914" s="4" t="s">
        <v>2194</v>
      </c>
      <c r="B914" s="5" t="s">
        <v>2195</v>
      </c>
      <c r="C914" s="6" t="s">
        <v>2196</v>
      </c>
      <c r="D914" s="6" t="str">
        <f>IFERROR(__xludf.DUMMYFUNCTION("GOOGLETRANSLATE(B914, ""en"", ""hi"")"),"चुनना")</f>
        <v>चुनना</v>
      </c>
      <c r="E914" s="6" t="str">
        <f>IFERROR(__xludf.DUMMYFUNCTION("GOOGLETRANSLATE(B914, ""en"", ""kn"")"),"ಆಯ್ಕೆ ಮಾಡಿ")</f>
        <v>ಆಯ್ಕೆ ಮಾಡಿ</v>
      </c>
      <c r="F914" s="7" t="str">
        <f>IFERROR(__xludf.DUMMYFUNCTION("GOOGLETRANSLATE(B914, ""en"", ""ml"")"),"തിരഞ്ഞെടുക്കുക")</f>
        <v>തിരഞ്ഞെടുക്കുക</v>
      </c>
      <c r="G914" s="7" t="str">
        <f>IFERROR(__xludf.DUMMYFUNCTION("GOOGLETRANSLATE(B914, ""en"", ""te"")"),"ఎంచుకోండి")</f>
        <v>ఎంచుకోండి</v>
      </c>
    </row>
    <row r="915">
      <c r="A915" s="4" t="s">
        <v>2197</v>
      </c>
      <c r="B915" s="12" t="s">
        <v>2198</v>
      </c>
      <c r="C915" s="6" t="str">
        <f>IFERROR(__xludf.DUMMYFUNCTION("GOOGLETRANSLATE(B915, ""en"", ""ta"")"),"வேறு இடத்தைத் தேர்ந்தெடுக்கவும்")</f>
        <v>வேறு இடத்தைத் தேர்ந்தெடுக்கவும்</v>
      </c>
      <c r="D915" s="6" t="str">
        <f>IFERROR(__xludf.DUMMYFUNCTION("GOOGLETRANSLATE(B915, ""en"", ""hi"")"),"कोई दूसरा स्थान चुनें")</f>
        <v>कोई दूसरा स्थान चुनें</v>
      </c>
      <c r="E915" s="6" t="str">
        <f>IFERROR(__xludf.DUMMYFUNCTION("GOOGLETRANSLATE(B915, ""en"", ""kn"")"),"ಬೇರೆ ಸ್ಥಳವನ್ನು ಆಯ್ಕೆಮಾಡಿ")</f>
        <v>ಬೇರೆ ಸ್ಥಳವನ್ನು ಆಯ್ಕೆಮಾಡಿ</v>
      </c>
      <c r="F915" s="7" t="str">
        <f>IFERROR(__xludf.DUMMYFUNCTION("GOOGLETRANSLATE(B915, ""en"", ""ml"")"),"വ്യത്യസ്തമായ സ്ഥലം തിരഞ്ഞെടുക്കുക")</f>
        <v>വ്യത്യസ്തമായ സ്ഥലം തിരഞ്ഞെടുക്കുക</v>
      </c>
      <c r="G915" s="7" t="str">
        <f>IFERROR(__xludf.DUMMYFUNCTION("GOOGLETRANSLATE(B915, ""en"", ""te"")"),"వేరే స్థానాన్ని ఎంచుకోండి")</f>
        <v>వేరే స్థానాన్ని ఎంచుకోండి</v>
      </c>
    </row>
    <row r="916">
      <c r="A916" s="4" t="s">
        <v>2199</v>
      </c>
      <c r="B916" s="5" t="s">
        <v>2200</v>
      </c>
      <c r="C916" s="6" t="s">
        <v>2201</v>
      </c>
      <c r="D916" s="6" t="str">
        <f>IFERROR(__xludf.DUMMYFUNCTION("GOOGLETRANSLATE(B916, ""en"", ""hi"")"),"ड्रॉपऑफ़ चुनें")</f>
        <v>ड्रॉपऑफ़ चुनें</v>
      </c>
      <c r="E916" s="6" t="str">
        <f>IFERROR(__xludf.DUMMYFUNCTION("GOOGLETRANSLATE(B916, ""en"", ""kn"")"),"ಡ್ರಾಪ್ಆಫ್ ಆಯ್ಕೆಮಾಡಿ")</f>
        <v>ಡ್ರಾಪ್ಆಫ್ ಆಯ್ಕೆಮಾಡಿ</v>
      </c>
      <c r="F916" s="7" t="str">
        <f>IFERROR(__xludf.DUMMYFUNCTION("GOOGLETRANSLATE(B916, ""en"", ""ml"")"),"ഡ്രോപ്പ്ഓഫ് തിരഞ്ഞെടുക്കുക")</f>
        <v>ഡ്രോപ്പ്ഓഫ് തിരഞ്ഞെടുക്കുക</v>
      </c>
      <c r="G916" s="7" t="str">
        <f>IFERROR(__xludf.DUMMYFUNCTION("GOOGLETRANSLATE(B916, ""en"", ""te"")"),"డ్రాప్ఆఫ్ ఎంచుకోండి")</f>
        <v>డ్రాప్ఆఫ్ ఎంచుకోండి</v>
      </c>
    </row>
    <row r="917">
      <c r="A917" s="4" t="s">
        <v>2202</v>
      </c>
      <c r="B917" s="5" t="s">
        <v>2203</v>
      </c>
      <c r="C917" s="6" t="s">
        <v>1995</v>
      </c>
      <c r="D917" s="6" t="str">
        <f>IFERROR(__xludf.DUMMYFUNCTION("GOOGLETRANSLATE(B917, ""en"", ""hi"")"),"भुगतान विधि चुनें")</f>
        <v>भुगतान विधि चुनें</v>
      </c>
      <c r="E917" s="6" t="str">
        <f>IFERROR(__xludf.DUMMYFUNCTION("GOOGLETRANSLATE(B917, ""en"", ""kn"")"),"ಪಾವತಿ ವಿಧಾನವನ್ನು ಆಯ್ಕೆಮಾಡಿ")</f>
        <v>ಪಾವತಿ ವಿಧಾನವನ್ನು ಆಯ್ಕೆಮಾಡಿ</v>
      </c>
      <c r="F917" s="7" t="str">
        <f>IFERROR(__xludf.DUMMYFUNCTION("GOOGLETRANSLATE(B917, ""en"", ""ml"")"),"പേയ്‌മെന്റ് രീതി തിരഞ്ഞെടുക്കുക")</f>
        <v>പേയ്‌മെന്റ് രീതി തിരഞ്ഞെടുക്കുക</v>
      </c>
      <c r="G917" s="7" t="str">
        <f>IFERROR(__xludf.DUMMYFUNCTION("GOOGLETRANSLATE(B917, ""en"", ""te"")"),"చెల్లింపు పద్ధతిని ఎంచుకోండి")</f>
        <v>చెల్లింపు పద్ధతిని ఎంచుకోండి</v>
      </c>
    </row>
    <row r="918">
      <c r="A918" s="4" t="s">
        <v>2204</v>
      </c>
      <c r="B918" s="5" t="s">
        <v>2205</v>
      </c>
      <c r="C918" s="6" t="s">
        <v>2206</v>
      </c>
      <c r="D918" s="6" t="str">
        <f>IFERROR(__xludf.DUMMYFUNCTION("GOOGLETRANSLATE(B918, ""en"", ""hi"")"),"पिकअप चुनें")</f>
        <v>पिकअप चुनें</v>
      </c>
      <c r="E918" s="6" t="str">
        <f>IFERROR(__xludf.DUMMYFUNCTION("GOOGLETRANSLATE(B918, ""en"", ""kn"")"),"ಪಿಕಪ್ ಆಯ್ಕೆಮಾಡಿ")</f>
        <v>ಪಿಕಪ್ ಆಯ್ಕೆಮಾಡಿ</v>
      </c>
      <c r="F918" s="7" t="str">
        <f>IFERROR(__xludf.DUMMYFUNCTION("GOOGLETRANSLATE(B918, ""en"", ""ml"")"),"പിക്കപ്പ് തിരഞ്ഞെടുക്കുക")</f>
        <v>പിക്കപ്പ് തിരഞ്ഞെടുക്കുക</v>
      </c>
      <c r="G918" s="7" t="str">
        <f>IFERROR(__xludf.DUMMYFUNCTION("GOOGLETRANSLATE(B918, ""en"", ""te"")"),"పికప్ ఎంచుకోండి")</f>
        <v>పికప్ ఎంచుకోండి</v>
      </c>
    </row>
    <row r="919">
      <c r="A919" s="4" t="s">
        <v>2207</v>
      </c>
      <c r="B919" s="5" t="s">
        <v>2208</v>
      </c>
      <c r="C919" s="6" t="s">
        <v>2209</v>
      </c>
      <c r="D919" s="6" t="str">
        <f>IFERROR(__xludf.DUMMYFUNCTION("GOOGLETRANSLATE(B919, ""en"", ""hi"")"),"सवारी का प्रकार चुनें")</f>
        <v>सवारी का प्रकार चुनें</v>
      </c>
      <c r="E919" s="6" t="str">
        <f>IFERROR(__xludf.DUMMYFUNCTION("GOOGLETRANSLATE(B919, ""en"", ""kn"")"),"ಸವಾರಿ ಪ್ರಕಾರವನ್ನು ಆಯ್ಕೆಮಾಡಿ")</f>
        <v>ಸವಾರಿ ಪ್ರಕಾರವನ್ನು ಆಯ್ಕೆಮಾಡಿ</v>
      </c>
      <c r="F919" s="7" t="str">
        <f>IFERROR(__xludf.DUMMYFUNCTION("GOOGLETRANSLATE(B919, ""en"", ""ml"")"),"റൈഡ് തരം തിരഞ്ഞെടുക്കുക")</f>
        <v>റൈഡ് തരം തിരഞ്ഞെടുക്കുക</v>
      </c>
      <c r="G919" s="7" t="str">
        <f>IFERROR(__xludf.DUMMYFUNCTION("GOOGLETRANSLATE(B919, ""en"", ""te"")"),"రైడ్ రకాన్ని ఎంచుకోండి")</f>
        <v>రైడ్ రకాన్ని ఎంచుకోండి</v>
      </c>
    </row>
    <row r="920">
      <c r="A920" s="4" t="s">
        <v>2210</v>
      </c>
      <c r="B920" s="5" t="s">
        <v>2211</v>
      </c>
      <c r="C920" s="6" t="s">
        <v>2212</v>
      </c>
      <c r="D920" s="6" t="str">
        <f>IFERROR(__xludf.DUMMYFUNCTION("GOOGLETRANSLATE(B920, ""en"", ""hi"")"),"यात्रा का चयन करें")</f>
        <v>यात्रा का चयन करें</v>
      </c>
      <c r="E920" s="6" t="str">
        <f>IFERROR(__xludf.DUMMYFUNCTION("GOOGLETRANSLATE(B920, ""en"", ""kn"")"),"ಪ್ರವಾಸವನ್ನು ಆಯ್ಕೆಮಾಡಿ")</f>
        <v>ಪ್ರವಾಸವನ್ನು ಆಯ್ಕೆಮಾಡಿ</v>
      </c>
      <c r="F920" s="7" t="str">
        <f>IFERROR(__xludf.DUMMYFUNCTION("GOOGLETRANSLATE(B920, ""en"", ""ml"")"),"യാത്ര തിരഞ്ഞെടുക്കുക")</f>
        <v>യാത്ര തിരഞ്ഞെടുക്കുക</v>
      </c>
      <c r="G920" s="7" t="str">
        <f>IFERROR(__xludf.DUMMYFUNCTION("GOOGLETRANSLATE(B920, ""en"", ""te"")"),"ట్రిప్ కోసం ఎంచుకోండి")</f>
        <v>ట్రిప్ కోసం ఎంచుకోండి</v>
      </c>
    </row>
    <row r="921">
      <c r="A921" s="4" t="s">
        <v>2213</v>
      </c>
      <c r="B921" s="5" t="s">
        <v>2214</v>
      </c>
      <c r="C921" s="6" t="s">
        <v>2004</v>
      </c>
      <c r="D921" s="6" t="str">
        <f>IFERROR(__xludf.DUMMYFUNCTION("GOOGLETRANSLATE(B921, ""en"", ""hi"")"),"वाहन का चयन करें")</f>
        <v>वाहन का चयन करें</v>
      </c>
      <c r="E921" s="6" t="str">
        <f>IFERROR(__xludf.DUMMYFUNCTION("GOOGLETRANSLATE(B921, ""en"", ""kn"")"),"ವಾಹನವನ್ನು ಆಯ್ಕೆಮಾಡಿ")</f>
        <v>ವಾಹನವನ್ನು ಆಯ್ಕೆಮಾಡಿ</v>
      </c>
      <c r="F921" s="7" t="str">
        <f>IFERROR(__xludf.DUMMYFUNCTION("GOOGLETRANSLATE(B921, ""en"", ""ml"")"),"വാഹനം തിരഞ്ഞെടുക്കുക")</f>
        <v>വാഹനം തിരഞ്ഞെടുക്കുക</v>
      </c>
      <c r="G921" s="7" t="str">
        <f>IFERROR(__xludf.DUMMYFUNCTION("GOOGLETRANSLATE(B921, ""en"", ""te"")"),"వాహనాన్ని ఎంచుకోండి")</f>
        <v>వాహనాన్ని ఎంచుకోండి</v>
      </c>
    </row>
    <row r="922">
      <c r="A922" s="4" t="s">
        <v>2215</v>
      </c>
      <c r="B922" s="5" t="s">
        <v>2216</v>
      </c>
      <c r="C922" s="6" t="str">
        <f>IFERROR(__xludf.DUMMYFUNCTION("GOOGLETRANSLATE(B922, ""en"", ""ta"")"),"உங்கள் கணக்கு வேறொரு சாதனத்தில் பயன்படுத்தப்பட்டதால் நீங்கள் வெளியேறிவிட்டீர்கள்.")</f>
        <v>உங்கள் கணக்கு வேறொரு சாதனத்தில் பயன்படுத்தப்பட்டதால் நீங்கள் வெளியேறிவிட்டீர்கள்.</v>
      </c>
      <c r="D922" s="6" t="str">
        <f>IFERROR(__xludf.DUMMYFUNCTION("GOOGLETRANSLATE(B922, ""en"", ""hi"")"),"आपको लॉग आउट कर दिया गया है क्योंकि आपके खाते का उपयोग किसी अन्य डिवाइस पर किया गया था।")</f>
        <v>आपको लॉग आउट कर दिया गया है क्योंकि आपके खाते का उपयोग किसी अन्य डिवाइस पर किया गया था।</v>
      </c>
      <c r="E922" s="6" t="str">
        <f>IFERROR(__xludf.DUMMYFUNCTION("GOOGLETRANSLATE(B922, ""en"", ""kn"")"),"ನಿಮ್ಮ ಖಾತೆಯನ್ನು ಬೇರೆ ಸಾಧನದಲ್ಲಿ ಬಳಸಲಾಗಿರುವುದರಿಂದ ನಿಮ್ಮನ್ನು ಲಾಗ್ ಔಟ್ ಮಾಡಲಾಗಿದೆ.")</f>
        <v>ನಿಮ್ಮ ಖಾತೆಯನ್ನು ಬೇರೆ ಸಾಧನದಲ್ಲಿ ಬಳಸಲಾಗಿರುವುದರಿಂದ ನಿಮ್ಮನ್ನು ಲಾಗ್ ಔಟ್ ಮಾಡಲಾಗಿದೆ.</v>
      </c>
      <c r="F922" s="7" t="str">
        <f>IFERROR(__xludf.DUMMYFUNCTION("GOOGLETRANSLATE(B922, ""en"", ""ml"")"),"നിങ്ങളുടെ അക്കൗണ്ട് മറ്റൊരു ഉപകരണത്തിൽ ഉപയോഗിച്ചതിനാൽ നിങ്ങൾ ലോഗ് ഔട്ട് ചെയ്‌തു.")</f>
        <v>നിങ്ങളുടെ അക്കൗണ്ട് മറ്റൊരു ഉപകരണത്തിൽ ഉപയോഗിച്ചതിനാൽ നിങ്ങൾ ലോഗ് ഔട്ട് ചെയ്‌തു.</v>
      </c>
      <c r="G922" s="7" t="str">
        <f>IFERROR(__xludf.DUMMYFUNCTION("GOOGLETRANSLATE(B922, ""en"", ""te"")"),"మీ ఖాతాను మరొక పరికరంలో ఉపయోగించినందున మీరు లాగ్ అవుట్ చేయబడ్డారు.")</f>
        <v>మీ ఖాతాను మరొక పరికరంలో ఉపయోగించినందున మీరు లాగ్ అవుట్ చేయబడ్డారు.</v>
      </c>
    </row>
    <row r="923">
      <c r="A923" s="4" t="s">
        <v>2217</v>
      </c>
      <c r="B923" s="5" t="s">
        <v>2218</v>
      </c>
      <c r="C923" s="6" t="str">
        <f>IFERROR(__xludf.DUMMYFUNCTION("GOOGLETRANSLATE(B923, ""en"", ""ta"")"),"வெளியேறிவிட்டேன்")</f>
        <v>வெளியேறிவிட்டேன்</v>
      </c>
      <c r="D923" s="6" t="str">
        <f>IFERROR(__xludf.DUMMYFUNCTION("GOOGLETRANSLATE(B923, ""en"", ""hi"")"),"बाहर आ गये")</f>
        <v>बाहर आ गये</v>
      </c>
      <c r="E923" s="6" t="str">
        <f>IFERROR(__xludf.DUMMYFUNCTION("GOOGLETRANSLATE(B923, ""en"", ""kn"")"),"ಲಾಗ್ ಔಟ್ ಮಾಡಲಾಗಿದೆ")</f>
        <v>ಲಾಗ್ ಔಟ್ ಮಾಡಲಾಗಿದೆ</v>
      </c>
      <c r="F923" s="7" t="str">
        <f>IFERROR(__xludf.DUMMYFUNCTION("GOOGLETRANSLATE(B923, ""en"", ""ml"")"),"ലോഗ് ഔട്ട് ചെയ്തു")</f>
        <v>ലോഗ് ഔട്ട് ചെയ്തു</v>
      </c>
      <c r="G923" s="7" t="str">
        <f>IFERROR(__xludf.DUMMYFUNCTION("GOOGLETRANSLATE(B923, ""en"", ""te"")"),"లాగ్ అవుట్ అయ్యారు")</f>
        <v>లాగ్ అవుట్ అయ్యారు</v>
      </c>
    </row>
    <row r="924">
      <c r="A924" s="4" t="s">
        <v>2219</v>
      </c>
      <c r="B924" s="5" t="s">
        <v>2220</v>
      </c>
      <c r="C924" s="6" t="s">
        <v>2221</v>
      </c>
      <c r="D924" s="6" t="str">
        <f>IFERROR(__xludf.DUMMYFUNCTION("GOOGLETRANSLATE(B924, ""en"", ""hi"")"),"तय करना")</f>
        <v>तय करना</v>
      </c>
      <c r="E924" s="6" t="str">
        <f>IFERROR(__xludf.DUMMYFUNCTION("GOOGLETRANSLATE(B924, ""en"", ""kn"")"),"ಸೆಟ್")</f>
        <v>ಸೆಟ್</v>
      </c>
      <c r="F924" s="7" t="str">
        <f>IFERROR(__xludf.DUMMYFUNCTION("GOOGLETRANSLATE(B924, ""en"", ""ml"")"),"സെറ്റ്")</f>
        <v>സെറ്റ്</v>
      </c>
      <c r="G924" s="7" t="str">
        <f>IFERROR(__xludf.DUMMYFUNCTION("GOOGLETRANSLATE(B924, ""en"", ""te"")"),"సెట్")</f>
        <v>సెట్</v>
      </c>
    </row>
    <row r="925">
      <c r="A925" s="4" t="s">
        <v>2222</v>
      </c>
      <c r="B925" s="5" t="s">
        <v>2223</v>
      </c>
      <c r="C925" s="6" t="s">
        <v>2224</v>
      </c>
      <c r="D925" s="6" t="str">
        <f>IFERROR(__xludf.DUMMYFUNCTION("GOOGLETRANSLATE(B925, ""en"", ""hi"")"),"अपना गंतव्य निर्धारित करें")</f>
        <v>अपना गंतव्य निर्धारित करें</v>
      </c>
      <c r="E925" s="6" t="str">
        <f>IFERROR(__xludf.DUMMYFUNCTION("GOOGLETRANSLATE(B925, ""en"", ""kn"")"),"ನಿಮ್ಮ ಗಮ್ಯಸ್ಥಾನವನ್ನು ಹೊಂದಿಸಿ")</f>
        <v>ನಿಮ್ಮ ಗಮ್ಯಸ್ಥಾನವನ್ನು ಹೊಂದಿಸಿ</v>
      </c>
      <c r="F925" s="7" t="str">
        <f>IFERROR(__xludf.DUMMYFUNCTION("GOOGLETRANSLATE(B925, ""en"", ""ml"")"),"നിങ്ങളുടെ ലക്ഷ്യസ്ഥാനം സജ്ജമാക്കുക")</f>
        <v>നിങ്ങളുടെ ലക്ഷ്യസ്ഥാനം സജ്ജമാക്കുക</v>
      </c>
      <c r="G925" s="7" t="str">
        <f>IFERROR(__xludf.DUMMYFUNCTION("GOOGLETRANSLATE(B925, ""en"", ""te"")"),"మీ గమ్యస్థానాన్ని సెట్ చేయండి")</f>
        <v>మీ గమ్యస్థానాన్ని సెట్ చేయండి</v>
      </c>
    </row>
    <row r="926">
      <c r="A926" s="4" t="s">
        <v>2225</v>
      </c>
      <c r="B926" s="5" t="s">
        <v>2226</v>
      </c>
      <c r="C926" s="6" t="s">
        <v>2227</v>
      </c>
      <c r="D926" s="6" t="str">
        <f>IFERROR(__xludf.DUMMYFUNCTION("GOOGLETRANSLATE(B926, ""en"", ""hi"")"),"चाहे घर जाना हो, ऑफिस जाना हो या कोई रोमांचक यात्रा, ""नम्मा ऊरु टैक्सी ®"" आपको वहां ले जाने के लिए तैयार है।")</f>
        <v>चाहे घर जाना हो, ऑफिस जाना हो या कोई रोमांचक यात्रा, "नम्मा ऊरु टैक्सी ®" आपको वहां ले जाने के लिए तैयार है।</v>
      </c>
      <c r="E926" s="6" t="str">
        <f>IFERROR(__xludf.DUMMYFUNCTION("GOOGLETRANSLATE(B926, ""en"", ""kn"")"),"ಮನೆಗೆ ಸವಾರಿಯಾಗಿರಲಿ, ಕಚೇರಿಯಾಗಿರಲಿ ಅಥವಾ ಸಾಹಸಮಯವಾಗಿರಲಿ, ""ನಮ್ಮ ಊರು ಟ್ಯಾಕ್ಸಿ®"" ನಿಮ್ಮನ್ನು ಅಲ್ಲಿಗೆ ಕರೆದೊಯ್ಯಲು ಸಿದ್ಧವಾಗಿದೆ.")</f>
        <v>ಮನೆಗೆ ಸವಾರಿಯಾಗಿರಲಿ, ಕಚೇರಿಯಾಗಿರಲಿ ಅಥವಾ ಸಾಹಸಮಯವಾಗಿರಲಿ, "ನಮ್ಮ ಊರು ಟ್ಯಾಕ್ಸಿ®" ನಿಮ್ಮನ್ನು ಅಲ್ಲಿಗೆ ಕರೆದೊಯ್ಯಲು ಸಿದ್ಧವಾಗಿದೆ.</v>
      </c>
      <c r="F926" s="7" t="str">
        <f>IFERROR(__xludf.DUMMYFUNCTION("GOOGLETRANSLATE(B926, ""en"", ""ml"")"),"വീട്ടിലേക്കുള്ള യാത്രയായാലും ഓഫീസിലേക്കുള്ള യാത്രയായാലും സാഹസിക യാത്രയായാലും ""നമ്മ ഊരു ടാക്സി®"" നിങ്ങളെ അവിടെ കൊണ്ടുപോകാൻ തയ്യാറാണ്.")</f>
        <v>വീട്ടിലേക്കുള്ള യാത്രയായാലും ഓഫീസിലേക്കുള്ള യാത്രയായാലും സാഹസിക യാത്രയായാലും "നമ്മ ഊരു ടാക്സി®" നിങ്ങളെ അവിടെ കൊണ്ടുപോകാൻ തയ്യാറാണ്.</v>
      </c>
      <c r="G926" s="7" t="str">
        <f>IFERROR(__xludf.DUMMYFUNCTION("GOOGLETRANSLATE(B926, ""en"", ""te"")"),"ఇంటికి ప్రయాణం అయినా, ఆఫీసు అయినా, లేదా సాహసయాత్ర అయినా, ""నమ్మ ఊరు టాక్సీ®"" మిమ్మల్ని అక్కడికి తీసుకెళ్లడానికి సిద్ధంగా ఉంది.")</f>
        <v>ఇంటికి ప్రయాణం అయినా, ఆఫీసు అయినా, లేదా సాహసయాత్ర అయినా, "నమ్మ ఊరు టాక్సీ®" మిమ్మల్ని అక్కడికి తీసుకెళ్లడానికి సిద్ధంగా ఉంది.</v>
      </c>
    </row>
    <row r="927">
      <c r="A927" s="4" t="s">
        <v>2228</v>
      </c>
      <c r="B927" s="5" t="s">
        <v>2229</v>
      </c>
      <c r="C927" s="6" t="s">
        <v>2230</v>
      </c>
      <c r="D927" s="6" t="str">
        <f>IFERROR(__xludf.DUMMYFUNCTION("GOOGLETRANSLATE(B927, ""en"", ""hi"")"),"साझा सवारी")</f>
        <v>साझा सवारी</v>
      </c>
      <c r="E927" s="6" t="str">
        <f>IFERROR(__xludf.DUMMYFUNCTION("GOOGLETRANSLATE(B927, ""en"", ""kn"")"),"ಹಂಚಿಕೊಂಡ ಸವಾರಿ")</f>
        <v>ಹಂಚಿಕೊಂಡ ಸವಾರಿ</v>
      </c>
      <c r="F927" s="7" t="str">
        <f>IFERROR(__xludf.DUMMYFUNCTION("GOOGLETRANSLATE(B927, ""en"", ""ml"")"),"പങ്കിട്ട റൈഡ്")</f>
        <v>പങ്കിട്ട റൈഡ്</v>
      </c>
      <c r="G927" s="7" t="str">
        <f>IFERROR(__xludf.DUMMYFUNCTION("GOOGLETRANSLATE(B927, ""en"", ""te"")"),"షేర్డ్ రైడ్")</f>
        <v>షేర్డ్ రైడ్</v>
      </c>
    </row>
    <row r="928">
      <c r="A928" s="4" t="s">
        <v>2231</v>
      </c>
      <c r="B928" s="5" t="s">
        <v>2232</v>
      </c>
      <c r="C928" s="6" t="s">
        <v>2233</v>
      </c>
      <c r="D928" s="6" t="str">
        <f>IFERROR(__xludf.DUMMYFUNCTION("GOOGLETRANSLATE(B928, ""en"", ""hi"")"),"इनवॉइस दिखाएँ")</f>
        <v>इनवॉइस दिखाएँ</v>
      </c>
      <c r="E928" s="6" t="str">
        <f>IFERROR(__xludf.DUMMYFUNCTION("GOOGLETRANSLATE(B928, ""en"", ""kn"")"),"ಇನ್‌ವಾಯ್ಸ್ ತೋರಿಸಿ")</f>
        <v>ಇನ್‌ವಾಯ್ಸ್ ತೋರಿಸಿ</v>
      </c>
      <c r="F928" s="7" t="str">
        <f>IFERROR(__xludf.DUMMYFUNCTION("GOOGLETRANSLATE(B928, ""en"", ""ml"")"),"ഇൻവോയ്സ് കാണിക്കുക")</f>
        <v>ഇൻവോയ്സ് കാണിക്കുക</v>
      </c>
      <c r="G928" s="7" t="str">
        <f>IFERROR(__xludf.DUMMYFUNCTION("GOOGLETRANSLATE(B928, ""en"", ""te"")"),"ఇన్‌వాయిస్ చూపించు")</f>
        <v>ఇన్‌వాయిస్ చూపించు</v>
      </c>
    </row>
    <row r="929">
      <c r="A929" s="4" t="s">
        <v>2234</v>
      </c>
      <c r="B929" s="5" t="s">
        <v>2235</v>
      </c>
      <c r="C929" s="6" t="s">
        <v>2236</v>
      </c>
      <c r="D929" s="6" t="str">
        <f>IFERROR(__xludf.DUMMYFUNCTION("GOOGLETRANSLATE(B929, ""en"", ""hi"")"),"छोडना")</f>
        <v>छोडना</v>
      </c>
      <c r="E929" s="6" t="str">
        <f>IFERROR(__xludf.DUMMYFUNCTION("GOOGLETRANSLATE(B929, ""en"", ""kn"")"),"ಬಿಟ್ಟುಬಿಡಿ")</f>
        <v>ಬಿಟ್ಟುಬಿಡಿ</v>
      </c>
      <c r="F929" s="7" t="str">
        <f>IFERROR(__xludf.DUMMYFUNCTION("GOOGLETRANSLATE(B929, ""en"", ""ml"")"),"ഒഴിവാക്കുക")</f>
        <v>ഒഴിവാക്കുക</v>
      </c>
      <c r="G929" s="7" t="str">
        <f>IFERROR(__xludf.DUMMYFUNCTION("GOOGLETRANSLATE(B929, ""en"", ""te"")"),"దాటవేయి")</f>
        <v>దాటవేయి</v>
      </c>
    </row>
    <row r="930">
      <c r="A930" s="4" t="s">
        <v>2237</v>
      </c>
      <c r="B930" s="5" t="s">
        <v>2238</v>
      </c>
      <c r="C930" s="6" t="s">
        <v>2239</v>
      </c>
      <c r="D930" s="6" t="str">
        <f>IFERROR(__xludf.DUMMYFUNCTION("GOOGLETRANSLATE(B930, ""en"", ""hi"")"),"अभी के लिए छोड़ दे")</f>
        <v>अभी के लिए छोड़ दे</v>
      </c>
      <c r="E930" s="6" t="str">
        <f>IFERROR(__xludf.DUMMYFUNCTION("GOOGLETRANSLATE(B930, ""en"", ""kn"")"),"ಇದೀಗ ಬಿಟ್ಟುಬಿಡಿ")</f>
        <v>ಇದೀಗ ಬಿಟ್ಟುಬಿಡಿ</v>
      </c>
      <c r="F930" s="7" t="str">
        <f>IFERROR(__xludf.DUMMYFUNCTION("GOOGLETRANSLATE(B930, ""en"", ""ml"")"),"ഇപ്പോഴത്തേക്ക് ഒഴിവാക്കുക")</f>
        <v>ഇപ്പോഴത്തേക്ക് ഒഴിവാക്കുക</v>
      </c>
      <c r="G930" s="7" t="str">
        <f>IFERROR(__xludf.DUMMYFUNCTION("GOOGLETRANSLATE(B930, ""en"", ""te"")"),"ప్రస్తుతానికి దాటవేయి")</f>
        <v>ప్రస్తుతానికి దాటవేయి</v>
      </c>
    </row>
    <row r="931">
      <c r="A931" s="4" t="s">
        <v>2240</v>
      </c>
      <c r="B931" s="5" t="s">
        <v>2241</v>
      </c>
      <c r="C931" s="6" t="s">
        <v>2242</v>
      </c>
      <c r="D931" s="6" t="str">
        <f>IFERROR(__xludf.DUMMYFUNCTION("GOOGLETRANSLATE(B931, ""en"", ""hi"")"),"रद्द करने के लिए स्लाइड करें")</f>
        <v>रद्द करने के लिए स्लाइड करें</v>
      </c>
      <c r="E931" s="6" t="str">
        <f>IFERROR(__xludf.DUMMYFUNCTION("GOOGLETRANSLATE(B931, ""en"", ""kn"")"),"ರದ್ದುಗೊಳಿಸಲು ಸ್ಲೈಡ್ ಮಾಡಿ")</f>
        <v>ರದ್ದುಗೊಳಿಸಲು ಸ್ಲೈಡ್ ಮಾಡಿ</v>
      </c>
      <c r="F931" s="7" t="str">
        <f>IFERROR(__xludf.DUMMYFUNCTION("GOOGLETRANSLATE(B931, ""en"", ""ml"")"),"റദ്ദാക്കാൻ സ്ലൈഡ് ചെയ്യുക")</f>
        <v>റദ്ദാക്കാൻ സ്ലൈഡ് ചെയ്യുക</v>
      </c>
      <c r="G931" s="7" t="str">
        <f>IFERROR(__xludf.DUMMYFUNCTION("GOOGLETRANSLATE(B931, ""en"", ""te"")"),"రద్దు చేయడానికి స్లయిడ్ చేయండి")</f>
        <v>రద్దు చేయడానికి స్లయిడ్ చేయండి</v>
      </c>
    </row>
    <row r="932">
      <c r="A932" s="4" t="s">
        <v>2243</v>
      </c>
      <c r="B932" s="5" t="s">
        <v>2244</v>
      </c>
      <c r="C932" s="6" t="s">
        <v>2245</v>
      </c>
      <c r="D932" s="6" t="str">
        <f>IFERROR(__xludf.DUMMYFUNCTION("GOOGLETRANSLATE(B932, ""en"", ""hi"")"),"कुछ त्रुटि हुई")</f>
        <v>कुछ त्रुटि हुई</v>
      </c>
      <c r="E932" s="6" t="str">
        <f>IFERROR(__xludf.DUMMYFUNCTION("GOOGLETRANSLATE(B932, ""en"", ""kn"")"),"ಕೆಲವು ದೋಷ ಸಂಭವಿಸಿದೆ.")</f>
        <v>ಕೆಲವು ದೋಷ ಸಂಭವಿಸಿದೆ.</v>
      </c>
      <c r="F932" s="7" t="str">
        <f>IFERROR(__xludf.DUMMYFUNCTION("GOOGLETRANSLATE(B932, ""en"", ""ml"")"),"എന്തോ പിശക് സംഭവിച്ചു")</f>
        <v>എന്തോ പിശക് സംഭവിച്ചു</v>
      </c>
      <c r="G932" s="7" t="str">
        <f>IFERROR(__xludf.DUMMYFUNCTION("GOOGLETRANSLATE(B932, ""en"", ""te"")"),"ఏదో లోపం సంభవించింది")</f>
        <v>ఏదో లోపం సంభవించింది</v>
      </c>
    </row>
    <row r="933">
      <c r="A933" s="4" t="s">
        <v>2246</v>
      </c>
      <c r="B933" s="5" t="s">
        <v>2247</v>
      </c>
      <c r="C933" s="6" t="s">
        <v>2248</v>
      </c>
      <c r="D933" s="6" t="str">
        <f>IFERROR(__xludf.DUMMYFUNCTION("GOOGLETRANSLATE(B933, ""en"", ""hi"")"),"तारा")</f>
        <v>तारा</v>
      </c>
      <c r="E933" s="6" t="str">
        <f>IFERROR(__xludf.DUMMYFUNCTION("GOOGLETRANSLATE(B933, ""en"", ""kn"")"),"ನಕ್ಷತ್ರ")</f>
        <v>ನಕ್ಷತ್ರ</v>
      </c>
      <c r="F933" s="7" t="str">
        <f>IFERROR(__xludf.DUMMYFUNCTION("GOOGLETRANSLATE(B933, ""en"", ""ml"")"),"നക്ഷത്രം")</f>
        <v>നക്ഷത്രം</v>
      </c>
      <c r="G933" s="7" t="str">
        <f>IFERROR(__xludf.DUMMYFUNCTION("GOOGLETRANSLATE(B933, ""en"", ""te"")"),"నక్షత్రం")</f>
        <v>నక్షత్రం</v>
      </c>
    </row>
    <row r="934">
      <c r="A934" s="4" t="s">
        <v>2249</v>
      </c>
      <c r="B934" s="5" t="s">
        <v>2250</v>
      </c>
      <c r="C934" s="6" t="s">
        <v>2251</v>
      </c>
      <c r="D934" s="6" t="str">
        <f>IFERROR(__xludf.DUMMYFUNCTION("GOOGLETRANSLATE(B934, ""en"", ""hi"")"),"अपना पहला संदेश भेजकर बातचीत शुरू करें।")</f>
        <v>अपना पहला संदेश भेजकर बातचीत शुरू करें।</v>
      </c>
      <c r="E934" s="6" t="str">
        <f>IFERROR(__xludf.DUMMYFUNCTION("GOOGLETRANSLATE(B934, ""en"", ""kn"")"),"ನಿಮ್ಮ ಮೊದಲ ಸಂದೇಶವನ್ನು ಕಳುಹಿಸುವ ಮೂಲಕ ಸಂಭಾಷಣೆಯನ್ನು ಪ್ರಾರಂಭಿಸಿ.")</f>
        <v>ನಿಮ್ಮ ಮೊದಲ ಸಂದೇಶವನ್ನು ಕಳುಹಿಸುವ ಮೂಲಕ ಸಂಭಾಷಣೆಯನ್ನು ಪ್ರಾರಂಭಿಸಿ.</v>
      </c>
      <c r="F934" s="7" t="str">
        <f>IFERROR(__xludf.DUMMYFUNCTION("GOOGLETRANSLATE(B934, ""en"", ""ml"")"),"നിങ്ങളുടെ ആദ്യ സന്ദേശം അയച്ചുകൊണ്ട് സംഭാഷണം ആരംഭിക്കുക")</f>
        <v>നിങ്ങളുടെ ആദ്യ സന്ദേശം അയച്ചുകൊണ്ട് സംഭാഷണം ആരംഭിക്കുക</v>
      </c>
      <c r="G934" s="7" t="str">
        <f>IFERROR(__xludf.DUMMYFUNCTION("GOOGLETRANSLATE(B934, ""en"", ""te"")"),"మీ మొదటి సందేశాన్ని పంపడం ద్వారా సంభాషణను ప్రారంభించండి.")</f>
        <v>మీ మొదటి సందేశాన్ని పంపడం ద్వారా సంభాషణను ప్రారంభించండి.</v>
      </c>
    </row>
    <row r="935">
      <c r="A935" s="4" t="s">
        <v>2252</v>
      </c>
      <c r="B935" s="5" t="s">
        <v>2253</v>
      </c>
      <c r="C935" s="6" t="s">
        <v>2254</v>
      </c>
      <c r="D935" s="6" t="str">
        <f>IFERROR(__xludf.DUMMYFUNCTION("GOOGLETRANSLATE(B935, ""en"", ""hi"")"),"आरंभ और समाप्ति स्थान आवश्यक हैं")</f>
        <v>आरंभ और समाप्ति स्थान आवश्यक हैं</v>
      </c>
      <c r="E935" s="6" t="str">
        <f>IFERROR(__xludf.DUMMYFUNCTION("GOOGLETRANSLATE(B935, ""en"", ""kn"")"),"ಆರಂಭ ಮತ್ತು ಅಂತ್ಯದ ಸ್ಥಳಗಳು ಅಗತ್ಯವಿದೆ")</f>
        <v>ಆರಂಭ ಮತ್ತು ಅಂತ್ಯದ ಸ್ಥಳಗಳು ಅಗತ್ಯವಿದೆ</v>
      </c>
      <c r="F935" s="7" t="str">
        <f>IFERROR(__xludf.DUMMYFUNCTION("GOOGLETRANSLATE(B935, ""en"", ""ml"")"),"ആരംഭ, അവസാന സ്ഥാനങ്ങൾ ആവശ്യമാണ്")</f>
        <v>ആരംഭ, അവസാന സ്ഥാനങ്ങൾ ആവശ്യമാണ്</v>
      </c>
      <c r="G935" s="7" t="str">
        <f>IFERROR(__xludf.DUMMYFUNCTION("GOOGLETRANSLATE(B935, ""en"", ""te"")"),"ప్రారంభ మరియు ముగింపు స్థానాలు అవసరం")</f>
        <v>ప్రారంభ మరియు ముగింపు స్థానాలు అవసరం</v>
      </c>
    </row>
    <row r="936">
      <c r="A936" s="4" t="s">
        <v>2255</v>
      </c>
      <c r="B936" s="5" t="s">
        <v>2256</v>
      </c>
      <c r="C936" s="6" t="s">
        <v>2257</v>
      </c>
      <c r="D936" s="6" t="str">
        <f>IFERROR(__xludf.DUMMYFUNCTION("GOOGLETRANSLATE(B936, ""en"", ""hi"")"),"आरंभिक स्थान आवश्यक है")</f>
        <v>आरंभिक स्थान आवश्यक है</v>
      </c>
      <c r="E936" s="6" t="str">
        <f>IFERROR(__xludf.DUMMYFUNCTION("GOOGLETRANSLATE(B936, ""en"", ""kn"")"),"ಆರಂಭದ ಸ್ಥಳದ ಅಗತ್ಯವಿದೆ")</f>
        <v>ಆರಂಭದ ಸ್ಥಳದ ಅಗತ್ಯವಿದೆ</v>
      </c>
      <c r="F936" s="7" t="str">
        <f>IFERROR(__xludf.DUMMYFUNCTION("GOOGLETRANSLATE(B936, ""en"", ""ml"")"),"ആരംഭ സ്ഥാനം ആവശ്യമാണ്")</f>
        <v>ആരംഭ സ്ഥാനം ആവശ്യമാണ്</v>
      </c>
      <c r="G936" s="7" t="str">
        <f>IFERROR(__xludf.DUMMYFUNCTION("GOOGLETRANSLATE(B936, ""en"", ""te"")"),"ప్రారంభ స్థానం అవసరం")</f>
        <v>ప్రారంభ స్థానం అవసరం</v>
      </c>
    </row>
    <row r="937">
      <c r="A937" s="4" t="s">
        <v>2258</v>
      </c>
      <c r="B937" s="5" t="s">
        <v>2259</v>
      </c>
      <c r="C937" s="6" t="s">
        <v>2260</v>
      </c>
      <c r="D937" s="6" t="str">
        <f>IFERROR(__xludf.DUMMYFUNCTION("GOOGLETRANSLATE(B937, ""en"", ""hi"")"),"स्थिति फ़िल्टर")</f>
        <v>स्थिति फ़िल्टर</v>
      </c>
      <c r="E937" s="6" t="str">
        <f>IFERROR(__xludf.DUMMYFUNCTION("GOOGLETRANSLATE(B937, ""en"", ""kn"")"),"ಸ್ಥಿತಿ ಫಿಲ್ಟರ್")</f>
        <v>ಸ್ಥಿತಿ ಫಿಲ್ಟರ್</v>
      </c>
      <c r="F937" s="7" t="str">
        <f>IFERROR(__xludf.DUMMYFUNCTION("GOOGLETRANSLATE(B937, ""en"", ""ml"")"),"സ്റ്റാറ്റസ് ഫിൽട്ടർ")</f>
        <v>സ്റ്റാറ്റസ് ഫിൽട്ടർ</v>
      </c>
      <c r="G937" s="7" t="str">
        <f>IFERROR(__xludf.DUMMYFUNCTION("GOOGLETRANSLATE(B937, ""en"", ""te"")"),"స్థితి ఫిల్టర్")</f>
        <v>స్థితి ఫిల్టర్</v>
      </c>
    </row>
    <row r="938">
      <c r="A938" s="4" t="s">
        <v>2261</v>
      </c>
      <c r="B938" s="5" t="s">
        <v>2262</v>
      </c>
      <c r="C938" s="6" t="s">
        <v>2263</v>
      </c>
      <c r="D938" s="6" t="str">
        <f>IFERROR(__xludf.DUMMYFUNCTION("GOOGLETRANSLATE(B938, ""en"", ""hi"")"),"रुकना")</f>
        <v>रुकना</v>
      </c>
      <c r="E938" s="6" t="str">
        <f>IFERROR(__xludf.DUMMYFUNCTION("GOOGLETRANSLATE(B938, ""en"", ""kn"")"),"ನಿಲ್ಲಿಸಿ")</f>
        <v>ನಿಲ್ಲಿಸಿ</v>
      </c>
      <c r="F938" s="7" t="str">
        <f>IFERROR(__xludf.DUMMYFUNCTION("GOOGLETRANSLATE(B938, ""en"", ""ml"")"),"നിർത്തുക")</f>
        <v>നിർത്തുക</v>
      </c>
      <c r="G938" s="7" t="str">
        <f>IFERROR(__xludf.DUMMYFUNCTION("GOOGLETRANSLATE(B938, ""en"", ""te"")"),"ఆపు")</f>
        <v>ఆపు</v>
      </c>
    </row>
    <row r="939">
      <c r="A939" s="4" t="s">
        <v>2264</v>
      </c>
      <c r="B939" s="5" t="s">
        <v>2265</v>
      </c>
      <c r="C939" s="6" t="s">
        <v>2266</v>
      </c>
      <c r="D939" s="6" t="str">
        <f>IFERROR(__xludf.DUMMYFUNCTION("GOOGLETRANSLATE(B939, ""en"", ""hi"")"),"बंद करो बंद करो}")</f>
        <v>बंद करो बंद करो}</v>
      </c>
      <c r="E939" s="6" t="str">
        <f>IFERROR(__xludf.DUMMYFUNCTION("GOOGLETRANSLATE(B939, ""en"", ""kn"")"),"ನಿಲ್ಲಿಸು {ನಿಲ್ಲಿಸು}")</f>
        <v>ನಿಲ್ಲಿಸು {ನಿಲ್ಲಿಸು}</v>
      </c>
      <c r="F939" s="7" t="str">
        <f>IFERROR(__xludf.DUMMYFUNCTION("GOOGLETRANSLATE(B939, ""en"", ""ml"")"),"നിർത്തുക {നിർത്തുക}")</f>
        <v>നിർത്തുക {നിർത്തുക}</v>
      </c>
      <c r="G939" s="7" t="str">
        <f>IFERROR(__xludf.DUMMYFUNCTION("GOOGLETRANSLATE(B939, ""en"", ""te"")"),"ఆపు {ఆపు}")</f>
        <v>ఆపు {ఆపు}</v>
      </c>
    </row>
    <row r="940">
      <c r="A940" s="4" t="s">
        <v>2267</v>
      </c>
      <c r="B940" s="5" t="s">
        <v>2268</v>
      </c>
      <c r="C940" s="6" t="s">
        <v>2269</v>
      </c>
      <c r="D940" s="6" t="str">
        <f>IFERROR(__xludf.DUMMYFUNCTION("GOOGLETRANSLATE(B940, ""en"", ""hi"")"),"दो स्टॉप 100 मीटर के दायरे में हैं। कृपया अपने स्टॉप का समय समायोजित करें।")</f>
        <v>दो स्टॉप 100 मीटर के दायरे में हैं। कृपया अपने स्टॉप का समय समायोजित करें।</v>
      </c>
      <c r="E940" s="6" t="str">
        <f>IFERROR(__xludf.DUMMYFUNCTION("GOOGLETRANSLATE(B940, ""en"", ""kn"")"),"ಎರಡು ನಿಲ್ದಾಣಗಳು 100 ಮೀಟರ್‌ಗಳ ಒಳಗೆ ಇವೆ. ದಯವಿಟ್ಟು ನಿಮ್ಮ ನಿಲ್ದಾಣಗಳನ್ನು ಹೊಂದಿಸಿ.")</f>
        <v>ಎರಡು ನಿಲ್ದಾಣಗಳು 100 ಮೀಟರ್‌ಗಳ ಒಳಗೆ ಇವೆ. ದಯವಿಟ್ಟು ನಿಮ್ಮ ನಿಲ್ದಾಣಗಳನ್ನು ಹೊಂದಿಸಿ.</v>
      </c>
      <c r="F940" s="7" t="str">
        <f>IFERROR(__xludf.DUMMYFUNCTION("GOOGLETRANSLATE(B940, ""en"", ""ml"")"),"രണ്ട് സ്റ്റോപ്പുകൾ 100 മീറ്ററിനുള്ളിലാണ്. ദയവായി നിങ്ങളുടെ സ്റ്റോപ്പുകൾ ക്രമീകരിക്കുക.")</f>
        <v>രണ്ട് സ്റ്റോപ്പുകൾ 100 മീറ്ററിനുള്ളിലാണ്. ദയവായി നിങ്ങളുടെ സ്റ്റോപ്പുകൾ ക്രമീകരിക്കുക.</v>
      </c>
      <c r="G940" s="7" t="str">
        <f>IFERROR(__xludf.DUMMYFUNCTION("GOOGLETRANSLATE(B940, ""en"", ""te"")"),"రెండు స్టాప్‌లు 100 మీటర్ల లోపల ఉన్నాయి. దయచేసి మీ స్టాప్‌లను సర్దుబాటు చేయండి.")</f>
        <v>రెండు స్టాప్‌లు 100 మీటర్ల లోపల ఉన్నాయి. దయచేసి మీ స్టాప్‌లను సర్దుబాటు చేయండి.</v>
      </c>
    </row>
    <row r="941">
      <c r="A941" s="4" t="s">
        <v>2270</v>
      </c>
      <c r="B941" s="5" t="s">
        <v>2271</v>
      </c>
      <c r="C941" s="6" t="s">
        <v>2272</v>
      </c>
      <c r="D941" s="6" t="str">
        <f>IFERROR(__xludf.DUMMYFUNCTION("GOOGLETRANSLATE(B941, ""en"", ""hi"")"),"जमा करना")</f>
        <v>जमा करना</v>
      </c>
      <c r="E941" s="6" t="str">
        <f>IFERROR(__xludf.DUMMYFUNCTION("GOOGLETRANSLATE(B941, ""en"", ""kn"")"),"ಸಲ್ಲಿಸಿ")</f>
        <v>ಸಲ್ಲಿಸಿ</v>
      </c>
      <c r="F941" s="7" t="str">
        <f>IFERROR(__xludf.DUMMYFUNCTION("GOOGLETRANSLATE(B941, ""en"", ""ml"")"),"സമർപ്പിക്കുക")</f>
        <v>സമർപ്പിക്കുക</v>
      </c>
      <c r="G941" s="7" t="str">
        <f>IFERROR(__xludf.DUMMYFUNCTION("GOOGLETRANSLATE(B941, ""en"", ""te"")"),"సమర్పించండి")</f>
        <v>సమర్పించండి</v>
      </c>
    </row>
    <row r="942">
      <c r="A942" s="4" t="s">
        <v>2273</v>
      </c>
      <c r="B942" s="5" t="s">
        <v>2274</v>
      </c>
      <c r="C942" s="6" t="s">
        <v>2275</v>
      </c>
      <c r="D942" s="6" t="str">
        <f>IFERROR(__xludf.DUMMYFUNCTION("GOOGLETRANSLATE(B942, ""en"", ""hi"")"),"सफलता")</f>
        <v>सफलता</v>
      </c>
      <c r="E942" s="6" t="str">
        <f>IFERROR(__xludf.DUMMYFUNCTION("GOOGLETRANSLATE(B942, ""en"", ""kn"")"),"ಯಶಸ್ಸು")</f>
        <v>ಯಶಸ್ಸು</v>
      </c>
      <c r="F942" s="7" t="str">
        <f>IFERROR(__xludf.DUMMYFUNCTION("GOOGLETRANSLATE(B942, ""en"", ""ml"")"),"വിജയം")</f>
        <v>വിജയം</v>
      </c>
      <c r="G942" s="7" t="str">
        <f>IFERROR(__xludf.DUMMYFUNCTION("GOOGLETRANSLATE(B942, ""en"", ""te"")"),"విజయం")</f>
        <v>విజయం</v>
      </c>
    </row>
    <row r="943">
      <c r="A943" s="4" t="s">
        <v>2276</v>
      </c>
      <c r="B943" s="5" t="s">
        <v>2277</v>
      </c>
      <c r="C943" s="6" t="s">
        <v>2278</v>
      </c>
      <c r="D943" s="6" t="str">
        <f>IFERROR(__xludf.DUMMYFUNCTION("GOOGLETRANSLATE(B943, ""en"", ""hi"")"),"सहायता")</f>
        <v>सहायता</v>
      </c>
      <c r="E943" s="6" t="str">
        <f>IFERROR(__xludf.DUMMYFUNCTION("GOOGLETRANSLATE(B943, ""en"", ""kn"")"),"ಬೆಂಬಲ")</f>
        <v>ಬೆಂಬಲ</v>
      </c>
      <c r="F943" s="7" t="str">
        <f>IFERROR(__xludf.DUMMYFUNCTION("GOOGLETRANSLATE(B943, ""en"", ""ml"")"),"പിന്തുണ")</f>
        <v>പിന്തുണ</v>
      </c>
      <c r="G943" s="7" t="str">
        <f>IFERROR(__xludf.DUMMYFUNCTION("GOOGLETRANSLATE(B943, ""en"", ""te"")"),"మద్దతు")</f>
        <v>మద్దతు</v>
      </c>
    </row>
    <row r="944">
      <c r="A944" s="4" t="s">
        <v>2279</v>
      </c>
      <c r="B944" s="5" t="s">
        <v>2280</v>
      </c>
      <c r="C944" s="6" t="s">
        <v>2281</v>
      </c>
      <c r="D944" s="6" t="str">
        <f>IFERROR(__xludf.DUMMYFUNCTION("GOOGLETRANSLATE(B944, ""en"", ""hi"")"),"ड्राइवर मोबाइल एप्लिकेशन में तकनीकी समस्याएं")</f>
        <v>ड्राइवर मोबाइल एप्लिकेशन में तकनीकी समस्याएं</v>
      </c>
      <c r="E944" s="6" t="str">
        <f>IFERROR(__xludf.DUMMYFUNCTION("GOOGLETRANSLATE(B944, ""en"", ""kn"")"),"ಚಾಲಕ ಮೊಬೈಲ್ ಅಪ್ಲಿಕೇಶನ್‌ನಲ್ಲಿ ತಾಂತ್ರಿಕ ಸಮಸ್ಯೆಗಳು")</f>
        <v>ಚಾಲಕ ಮೊಬೈಲ್ ಅಪ್ಲಿಕೇಶನ್‌ನಲ್ಲಿ ತಾಂತ್ರಿಕ ಸಮಸ್ಯೆಗಳು</v>
      </c>
      <c r="F944" s="7" t="str">
        <f>IFERROR(__xludf.DUMMYFUNCTION("GOOGLETRANSLATE(B944, ""en"", ""ml"")"),"ഡ്രൈവർ മൊബൈൽ ആപ്ലിക്കേഷനിലെ സാങ്കേതിക പ്രശ്നങ്ങൾ.")</f>
        <v>ഡ്രൈവർ മൊബൈൽ ആപ്ലിക്കേഷനിലെ സാങ്കേതിക പ്രശ്നങ്ങൾ.</v>
      </c>
      <c r="G944" s="7" t="str">
        <f>IFERROR(__xludf.DUMMYFUNCTION("GOOGLETRANSLATE(B944, ""en"", ""te"")"),"డ్రైవర్ మొబైల్ అప్లికేషన్‌తో సాంకేతిక సమస్యలు")</f>
        <v>డ్రైవర్ మొబైల్ అప్లికేషన్‌తో సాంకేతిక సమస్యలు</v>
      </c>
    </row>
    <row r="945">
      <c r="A945" s="4" t="s">
        <v>2282</v>
      </c>
      <c r="B945" s="5" t="s">
        <v>2283</v>
      </c>
      <c r="C945" s="6" t="s">
        <v>2284</v>
      </c>
      <c r="D945" s="6" t="str">
        <f>IFERROR(__xludf.DUMMYFUNCTION("GOOGLETRANSLATE(B945, ""en"", ""hi"")"),"ग्राहक ऐप संबंधी समस्याएं")</f>
        <v>ग्राहक ऐप संबंधी समस्याएं</v>
      </c>
      <c r="E945" s="6" t="str">
        <f>IFERROR(__xludf.DUMMYFUNCTION("GOOGLETRANSLATE(B945, ""en"", ""kn"")"),"ಗ್ರಾಹಕ ಅಪ್ಲಿಕೇಶನ್ ಸಮಸ್ಯೆಗಳು")</f>
        <v>ಗ್ರಾಹಕ ಅಪ್ಲಿಕೇಶನ್ ಸಮಸ್ಯೆಗಳು</v>
      </c>
      <c r="F945" s="7" t="str">
        <f>IFERROR(__xludf.DUMMYFUNCTION("GOOGLETRANSLATE(B945, ""en"", ""ml"")"),"ഉപഭോക്തൃ ആപ്പ് പ്രശ്നങ്ങൾ")</f>
        <v>ഉപഭോക്തൃ ആപ്പ് പ്രശ്നങ്ങൾ</v>
      </c>
      <c r="G945" s="7" t="str">
        <f>IFERROR(__xludf.DUMMYFUNCTION("GOOGLETRANSLATE(B945, ""en"", ""te"")"),"కస్టమర్ యాప్ సమస్యలు")</f>
        <v>కస్టమర్ యాప్ సమస్యలు</v>
      </c>
    </row>
    <row r="946">
      <c r="A946" s="4" t="s">
        <v>2285</v>
      </c>
      <c r="B946" s="5" t="s">
        <v>2286</v>
      </c>
      <c r="C946" s="6" t="s">
        <v>2287</v>
      </c>
      <c r="D946" s="6" t="str">
        <f>IFERROR(__xludf.DUMMYFUNCTION("GOOGLETRANSLATE(B946, ""en"", ""hi"")"),"ड्राइवर अनुमानित पिकअप समय से काफी देर से पहुंचा, जिससे यात्रियों को असुविधा हुई।")</f>
        <v>ड्राइवर अनुमानित पिकअप समय से काफी देर से पहुंचा, जिससे यात्रियों को असुविधा हुई।</v>
      </c>
      <c r="E946" s="6" t="str">
        <f>IFERROR(__xludf.DUMMYFUNCTION("GOOGLETRANSLATE(B946, ""en"", ""kn"")"),"ಅಂದಾಜು ಪಿಕಪ್ ಸಮಯಕ್ಕಿಂತ ಚಾಲಕ ತಡವಾಗಿ ಬಂದಿದ್ದರಿಂದ ಪ್ರಯಾಣಿಕರಿಗೆ ಅನಾನುಕೂಲವಾಯಿತು.")</f>
        <v>ಅಂದಾಜು ಪಿಕಪ್ ಸಮಯಕ್ಕಿಂತ ಚಾಲಕ ತಡವಾಗಿ ಬಂದಿದ್ದರಿಂದ ಪ್ರಯಾಣಿಕರಿಗೆ ಅನಾನುಕೂಲವಾಯಿತು.</v>
      </c>
      <c r="F946" s="7" t="str">
        <f>IFERROR(__xludf.DUMMYFUNCTION("GOOGLETRANSLATE(B946, ""en"", ""ml"")"),"യാത്രക്കാർക്ക് അസൗകര്യമുണ്ടാക്കിയതിനാൽ ഡ്രൈവർ പ്രതീക്ഷിച്ച പിക്ക്അപ്പ് സമയത്തേക്കാൾ വളരെ വൈകിയാണ് എത്തിയത്.")</f>
        <v>യാത്രക്കാർക്ക് അസൗകര്യമുണ്ടാക്കിയതിനാൽ ഡ്രൈവർ പ്രതീക്ഷിച്ച പിക്ക്അപ്പ് സമയത്തേക്കാൾ വളരെ വൈകിയാണ് എത്തിയത്.</v>
      </c>
      <c r="G946" s="7" t="str">
        <f>IFERROR(__xludf.DUMMYFUNCTION("GOOGLETRANSLATE(B946, ""en"", ""te"")"),"డ్రైవర్ అంచనా వేసిన పికప్ సమయం కంటే చాలా ఆలస్యంగా రావడం వల్ల ప్రయాణీకులకు అసౌకర్యం కలిగింది.")</f>
        <v>డ్రైవర్ అంచనా వేసిన పికప్ సమయం కంటే చాలా ఆలస్యంగా రావడం వల్ల ప్రయాణీకులకు అసౌకర్యం కలిగింది.</v>
      </c>
    </row>
    <row r="947">
      <c r="A947" s="4" t="s">
        <v>2288</v>
      </c>
      <c r="B947" s="5" t="s">
        <v>2289</v>
      </c>
      <c r="C947" s="6" t="s">
        <v>2290</v>
      </c>
      <c r="D947" s="6" t="str">
        <f>IFERROR(__xludf.DUMMYFUNCTION("GOOGLETRANSLATE(B947, ""en"", ""hi"")"),"ड्राइवर के देर से आने पर")</f>
        <v>ड्राइवर के देर से आने पर</v>
      </c>
      <c r="E947" s="6" t="str">
        <f>IFERROR(__xludf.DUMMYFUNCTION("GOOGLETRANSLATE(B947, ""en"", ""kn"")"),"ಚಾಲಕ ತಡವಾಗಿ ಬಂದಿರುವುದು")</f>
        <v>ಚಾಲಕ ತಡವಾಗಿ ಬಂದಿರುವುದು</v>
      </c>
      <c r="F947" s="7" t="str">
        <f>IFERROR(__xludf.DUMMYFUNCTION("GOOGLETRANSLATE(B947, ""en"", ""ml"")"),"ഡ്രൈവർ വൈകിയുള്ള വരവ്")</f>
        <v>ഡ്രൈവർ വൈകിയുള്ള വരവ്</v>
      </c>
      <c r="G947" s="7" t="str">
        <f>IFERROR(__xludf.DUMMYFUNCTION("GOOGLETRANSLATE(B947, ""en"", ""te"")"),"డ్రైవర్ ఆలస్యంగా రావడం")</f>
        <v>డ్రైవర్ ఆలస్యంగా రావడం</v>
      </c>
    </row>
    <row r="948">
      <c r="A948" s="4" t="s">
        <v>2291</v>
      </c>
      <c r="B948" s="5" t="s">
        <v>2292</v>
      </c>
      <c r="C948" s="6" t="s">
        <v>2293</v>
      </c>
      <c r="D948" s="6" t="str">
        <f>IFERROR(__xludf.DUMMYFUNCTION("GOOGLETRANSLATE(B948, ""en"", ""hi"")"),"मैंने अपना सामान गाड़ी में छोड़ दिया है और मुझे उसे वापस पाने में सहायता की आवश्यकता है।")</f>
        <v>मैंने अपना सामान गाड़ी में छोड़ दिया है और मुझे उसे वापस पाने में सहायता की आवश्यकता है।</v>
      </c>
      <c r="E948" s="6" t="str">
        <f>IFERROR(__xludf.DUMMYFUNCTION("GOOGLETRANSLATE(B948, ""en"", ""kn"")"),"ನನ್ನ ವಸ್ತುಗಳನ್ನು ವಾಹನದಲ್ಲೇ ಬಿಟ್ಟು ಬಂದಿದ್ದೇನೆ ಮತ್ತು ಅವುಗಳನ್ನು ಮರಳಿ ಪಡೆಯಲು ಸಹಾಯ ಬೇಕು.")</f>
        <v>ನನ್ನ ವಸ್ತುಗಳನ್ನು ವಾಹನದಲ್ಲೇ ಬಿಟ್ಟು ಬಂದಿದ್ದೇನೆ ಮತ್ತು ಅವುಗಳನ್ನು ಮರಳಿ ಪಡೆಯಲು ಸಹಾಯ ಬೇಕು.</v>
      </c>
      <c r="F948" s="7" t="str">
        <f>IFERROR(__xludf.DUMMYFUNCTION("GOOGLETRANSLATE(B948, ""en"", ""ml"")"),"എന്റെ സാധനങ്ങൾ വാഹനത്തിൽ ഉപേക്ഷിച്ചു, അവ വീണ്ടെടുക്കാൻ സഹായം ആവശ്യമാണ്.")</f>
        <v>എന്റെ സാധനങ്ങൾ വാഹനത്തിൽ ഉപേക്ഷിച്ചു, അവ വീണ്ടെടുക്കാൻ സഹായം ആവശ്യമാണ്.</v>
      </c>
      <c r="G948" s="7" t="str">
        <f>IFERROR(__xludf.DUMMYFUNCTION("GOOGLETRANSLATE(B948, ""en"", ""te"")"),"నా వస్తువులను వాహనంలోనే వదిలేశాను మరియు వాటిని తిరిగి పొందడానికి నాకు సహాయం కావాలి.")</f>
        <v>నా వస్తువులను వాహనంలోనే వదిలేశాను మరియు వాటిని తిరిగి పొందడానికి నాకు సహాయం కావాలి.</v>
      </c>
    </row>
    <row r="949">
      <c r="A949" s="4" t="s">
        <v>2294</v>
      </c>
      <c r="B949" s="5" t="s">
        <v>2295</v>
      </c>
      <c r="C949" s="6" t="s">
        <v>2296</v>
      </c>
      <c r="D949" s="6" t="str">
        <f>IFERROR(__xludf.DUMMYFUNCTION("GOOGLETRANSLATE(B949, ""en"", ""hi"")"),"खोई हुई वस्तु की रिपोर्ट")</f>
        <v>खोई हुई वस्तु की रिपोर्ट</v>
      </c>
      <c r="E949" s="6" t="str">
        <f>IFERROR(__xludf.DUMMYFUNCTION("GOOGLETRANSLATE(B949, ""en"", ""kn"")"),"ಕಳೆದುಹೋದ ಐಟಂ ವರದಿ")</f>
        <v>ಕಳೆದುಹೋದ ಐಟಂ ವರದಿ</v>
      </c>
      <c r="F949" s="7" t="str">
        <f>IFERROR(__xludf.DUMMYFUNCTION("GOOGLETRANSLATE(B949, ""en"", ""ml"")"),"നഷ്ടപ്പെട്ട ഇന റിപ്പോർട്ട്")</f>
        <v>നഷ്ടപ്പെട്ട ഇന റിപ്പോർട്ട്</v>
      </c>
      <c r="G949" s="7" t="str">
        <f>IFERROR(__xludf.DUMMYFUNCTION("GOOGLETRANSLATE(B949, ""en"", ""te"")"),"పోయిన వస్తువు నివేదిక")</f>
        <v>పోయిన వస్తువు నివేదిక</v>
      </c>
    </row>
    <row r="950">
      <c r="A950" s="4" t="s">
        <v>2297</v>
      </c>
      <c r="B950" s="5" t="s">
        <v>2298</v>
      </c>
      <c r="C950" s="6" t="s">
        <v>2299</v>
      </c>
      <c r="D950" s="6" t="str">
        <f>IFERROR(__xludf.DUMMYFUNCTION("GOOGLETRANSLATE(B950, ""en"", ""hi"")"),"वैध कारणों के बावजूद यात्री से गलत तरीके से रद्द करने का शुल्क लिया गया।")</f>
        <v>वैध कारणों के बावजूद यात्री से गलत तरीके से रद्द करने का शुल्क लिया गया।</v>
      </c>
      <c r="E950" s="6" t="str">
        <f>IFERROR(__xludf.DUMMYFUNCTION("GOOGLETRANSLATE(B950, ""en"", ""kn"")"),"ಸರಿಯಾದ ಕಾರಣಗಳಿದ್ದರೂ ಪ್ರಯಾಣಿಕರಿಗೆ ರದ್ದತಿ ಶುಲ್ಕವನ್ನು ತಪ್ಪಾಗಿ ವಿಧಿಸಲಾಗಿದೆ.")</f>
        <v>ಸರಿಯಾದ ಕಾರಣಗಳಿದ್ದರೂ ಪ್ರಯಾಣಿಕರಿಗೆ ರದ್ದತಿ ಶುಲ್ಕವನ್ನು ತಪ್ಪಾಗಿ ವಿಧಿಸಲಾಗಿದೆ.</v>
      </c>
      <c r="F950" s="7" t="str">
        <f>IFERROR(__xludf.DUMMYFUNCTION("GOOGLETRANSLATE(B950, ""en"", ""ml"")"),"സാധുവായ കാരണങ്ങളുണ്ടായിട്ടും യാത്രക്കാരനിൽ നിന്ന് തെറ്റായി റദ്ദാക്കൽ ഫീസ് ഈടാക്കി.")</f>
        <v>സാധുവായ കാരണങ്ങളുണ്ടായിട്ടും യാത്രക്കാരനിൽ നിന്ന് തെറ്റായി റദ്ദാക്കൽ ഫീസ് ഈടാക്കി.</v>
      </c>
      <c r="G950" s="7" t="str">
        <f>IFERROR(__xludf.DUMMYFUNCTION("GOOGLETRANSLATE(B950, ""en"", ""te"")"),"సరైన కారణాలు ఉన్నప్పటికీ ప్రయాణీకుడి నుండి తప్పుగా రద్దు రుసుము వసూలు చేయబడింది.")</f>
        <v>సరైన కారణాలు ఉన్నప్పటికీ ప్రయాణీకుడి నుండి తప్పుగా రద్దు రుసుము వసూలు చేయబడింది.</v>
      </c>
    </row>
    <row r="951">
      <c r="A951" s="4" t="s">
        <v>2300</v>
      </c>
      <c r="B951" s="5" t="s">
        <v>2301</v>
      </c>
      <c r="C951" s="6" t="s">
        <v>2302</v>
      </c>
      <c r="D951" s="6" t="str">
        <f>IFERROR(__xludf.DUMMYFUNCTION("GOOGLETRANSLATE(B951, ""en"", ""hi"")"),"यात्रा रद्द करने के शुल्क को लेकर विवाद")</f>
        <v>यात्रा रद्द करने के शुल्क को लेकर विवाद</v>
      </c>
      <c r="E951" s="6" t="str">
        <f>IFERROR(__xludf.DUMMYFUNCTION("GOOGLETRANSLATE(B951, ""en"", ""kn"")"),"ಪ್ರಯಾಣ ರದ್ದತಿ ಶುಲ್ಕದ ವಿವಾದ")</f>
        <v>ಪ್ರಯಾಣ ರದ್ದತಿ ಶುಲ್ಕದ ವಿವಾದ</v>
      </c>
      <c r="F951" s="7" t="str">
        <f>IFERROR(__xludf.DUMMYFUNCTION("GOOGLETRANSLATE(B951, ""en"", ""ml"")"),"യാത്ര റദ്ദാക്കൽ ഫീസ് തർക്കം")</f>
        <v>യാത്ര റദ്ദാക്കൽ ഫീസ് തർക്കം</v>
      </c>
      <c r="G951" s="7" t="str">
        <f>IFERROR(__xludf.DUMMYFUNCTION("GOOGLETRANSLATE(B951, ""en"", ""te"")"),"ట్రిప్ రద్దు రుసుము వివాదం")</f>
        <v>ట్రిప్ రద్దు రుసుము వివాదం</v>
      </c>
    </row>
    <row r="952">
      <c r="A952" s="4" t="s">
        <v>2303</v>
      </c>
      <c r="B952" s="5" t="s">
        <v>2304</v>
      </c>
      <c r="C952" s="6" t="s">
        <v>2305</v>
      </c>
      <c r="D952" s="6" t="str">
        <f>IFERROR(__xludf.DUMMYFUNCTION("GOOGLETRANSLATE(B952, ""en"", ""hi"")"),"यात्रा की कीमत निर्धारण, बिलिंग और भुगतान से संबंधित मुद्दे")</f>
        <v>यात्रा की कीमत निर्धारण, बिलिंग और भुगतान से संबंधित मुद्दे</v>
      </c>
      <c r="E952" s="6" t="str">
        <f>IFERROR(__xludf.DUMMYFUNCTION("GOOGLETRANSLATE(B952, ""en"", ""kn"")"),"ಪ್ರವಾಸದ ಬೆಲೆ ನಿಗದಿ, ಬಿಲ್ಲಿಂಗ್ ಮತ್ತು ಪಾವತಿಗೆ ಸಂಬಂಧಿಸಿದ ಸಮಸ್ಯೆಗಳು")</f>
        <v>ಪ್ರವಾಸದ ಬೆಲೆ ನಿಗದಿ, ಬಿಲ್ಲಿಂಗ್ ಮತ್ತು ಪಾವತಿಗೆ ಸಂಬಂಧಿಸಿದ ಸಮಸ್ಯೆಗಳು</v>
      </c>
      <c r="F952" s="7" t="str">
        <f>IFERROR(__xludf.DUMMYFUNCTION("GOOGLETRANSLATE(B952, ""en"", ""ml"")"),"യാത്രാ വിലനിർണ്ണയം, ബില്ലിംഗ്, പണമടയ്ക്കൽ എന്നിവയുമായി ബന്ധപ്പെട്ട പ്രശ്നങ്ങൾ")</f>
        <v>യാത്രാ വിലനിർണ്ണയം, ബില്ലിംഗ്, പണമടയ്ക്കൽ എന്നിവയുമായി ബന്ധപ്പെട്ട പ്രശ്നങ്ങൾ</v>
      </c>
      <c r="G952" s="7" t="str">
        <f>IFERROR(__xludf.DUMMYFUNCTION("GOOGLETRANSLATE(B952, ""en"", ""te"")"),"ట్రిప్ ధర, బిల్లింగ్ మరియు చెల్లింపుకు సంబంధించిన సమస్యలు")</f>
        <v>ట్రిప్ ధర, బిల్లింగ్ మరియు చెల్లింపుకు సంబంధించిన సమస్యలు</v>
      </c>
    </row>
    <row r="953">
      <c r="A953" s="4" t="s">
        <v>2306</v>
      </c>
      <c r="B953" s="5" t="s">
        <v>2307</v>
      </c>
      <c r="C953" s="6" t="s">
        <v>2308</v>
      </c>
      <c r="D953" s="6" t="str">
        <f>IFERROR(__xludf.DUMMYFUNCTION("GOOGLETRANSLATE(B953, ""en"", ""hi"")"),"यात्रा किराया संबंधी मुद्दे")</f>
        <v>यात्रा किराया संबंधी मुद्दे</v>
      </c>
      <c r="E953" s="6" t="str">
        <f>IFERROR(__xludf.DUMMYFUNCTION("GOOGLETRANSLATE(B953, ""en"", ""kn"")"),"ಪ್ರಯಾಣ ದರದ ಸಮಸ್ಯೆಗಳು")</f>
        <v>ಪ್ರಯಾಣ ದರದ ಸಮಸ್ಯೆಗಳು</v>
      </c>
      <c r="F953" s="7" t="str">
        <f>IFERROR(__xludf.DUMMYFUNCTION("GOOGLETRANSLATE(B953, ""en"", ""ml"")"),"യാത്രാ നിരക്കിലെ പ്രശ്നങ്ങൾ")</f>
        <v>യാത്രാ നിരക്കിലെ പ്രശ്നങ്ങൾ</v>
      </c>
      <c r="G953" s="7" t="str">
        <f>IFERROR(__xludf.DUMMYFUNCTION("GOOGLETRANSLATE(B953, ""en"", ""te"")"),"ట్రిప్ ఛార్జీల సమస్యలు")</f>
        <v>ట్రిప్ ఛార్జీల సమస్యలు</v>
      </c>
    </row>
    <row r="954">
      <c r="A954" s="4" t="s">
        <v>2309</v>
      </c>
      <c r="B954" s="5" t="s">
        <v>2310</v>
      </c>
      <c r="C954" s="6" t="s">
        <v>2311</v>
      </c>
      <c r="D954" s="6" t="str">
        <f>IFERROR(__xludf.DUMMYFUNCTION("GOOGLETRANSLATE(B954, ""en"", ""hi"")"),"ड्राइवर बुक किए गए वाहन के बजाय किसी दूसरे प्रकार का वाहन लेकर आया (उदाहरण के लिए, एसयूवी के बजाय सेडान)।")</f>
        <v>ड्राइवर बुक किए गए वाहन के बजाय किसी दूसरे प्रकार का वाहन लेकर आया (उदाहरण के लिए, एसयूवी के बजाय सेडान)।</v>
      </c>
      <c r="E954" s="6" t="str">
        <f>IFERROR(__xludf.DUMMYFUNCTION("GOOGLETRANSLATE(B954, ""en"", ""kn"")"),"ಚಾಲಕ ಬುಕ್ ಮಾಡಿದ ವಾಹನಕ್ಕಿಂತ ಬೇರೆ ವಾಹನ ಪ್ರಕಾರದೊಂದಿಗೆ ಬಂದಿದ್ದಾನೆ (ಉದಾ. SUV ಬದಲಿಗೆ ಸೆಡಾನ್)")</f>
        <v>ಚಾಲಕ ಬುಕ್ ಮಾಡಿದ ವಾಹನಕ್ಕಿಂತ ಬೇರೆ ವಾಹನ ಪ್ರಕಾರದೊಂದಿಗೆ ಬಂದಿದ್ದಾನೆ (ಉದಾ. SUV ಬದಲಿಗೆ ಸೆಡಾನ್)</v>
      </c>
      <c r="F954" s="7" t="str">
        <f>IFERROR(__xludf.DUMMYFUNCTION("GOOGLETRANSLATE(B954, ""en"", ""ml"")"),"ബുക്ക് ചെയ്തതിൽ നിന്ന് വ്യത്യസ്തമായ വാഹന തരവുമായി ഡ്രൈവർ എത്തി (ഉദാ. എസ്‌യുവിക്ക് പകരം സെഡാൻ)")</f>
        <v>ബുക്ക് ചെയ്തതിൽ നിന്ന് വ്യത്യസ്തമായ വാഹന തരവുമായി ഡ്രൈവർ എത്തി (ഉദാ. എസ്‌യുവിക്ക് പകരം സെഡാൻ)</v>
      </c>
      <c r="G954" s="7" t="str">
        <f>IFERROR(__xludf.DUMMYFUNCTION("GOOGLETRANSLATE(B954, ""en"", ""te"")"),"బుక్ చేసిన వాహనం కాకుండా వేరే వాహనం రకంతో డ్రైవర్ వచ్చాడు (ఉదా., SUV కి బదులుగా సెడాన్)")</f>
        <v>బుక్ చేసిన వాహనం కాకుండా వేరే వాహనం రకంతో డ్రైవర్ వచ్చాడు (ఉదా., SUV కి బదులుగా సెడాన్)</v>
      </c>
    </row>
    <row r="955">
      <c r="A955" s="4" t="s">
        <v>2312</v>
      </c>
      <c r="B955" s="5" t="s">
        <v>2313</v>
      </c>
      <c r="C955" s="6" t="s">
        <v>2314</v>
      </c>
      <c r="D955" s="6" t="str">
        <f>IFERROR(__xludf.DUMMYFUNCTION("GOOGLETRANSLATE(B955, ""en"", ""hi"")"),"वाहन अपेक्षा के अनुरूप नहीं है")</f>
        <v>वाहन अपेक्षा के अनुरूप नहीं है</v>
      </c>
      <c r="E955" s="6" t="str">
        <f>IFERROR(__xludf.DUMMYFUNCTION("GOOGLETRANSLATE(B955, ""en"", ""kn"")"),"ವಾಹನ ನಿರೀಕ್ಷೆಯಂತೆ ಇಲ್ಲ")</f>
        <v>ವಾಹನ ನಿರೀಕ್ಷೆಯಂತೆ ಇಲ್ಲ</v>
      </c>
      <c r="F955" s="7" t="str">
        <f>IFERROR(__xludf.DUMMYFUNCTION("GOOGLETRANSLATE(B955, ""en"", ""ml"")"),"വാഹനം പ്രതീക്ഷിച്ചത്ര മികച്ചതല്ല")</f>
        <v>വാഹനം പ്രതീക്ഷിച്ചത്ര മികച്ചതല്ല</v>
      </c>
      <c r="G955" s="7" t="str">
        <f>IFERROR(__xludf.DUMMYFUNCTION("GOOGLETRANSLATE(B955, ""en"", ""te"")"),"వాహనం ఆశించినంతగా లేదు")</f>
        <v>వాహనం ఆశించినంతగా లేదు</v>
      </c>
    </row>
    <row r="956">
      <c r="A956" s="4" t="s">
        <v>2315</v>
      </c>
      <c r="B956" s="5" t="s">
        <v>663</v>
      </c>
      <c r="C956" s="6" t="s">
        <v>2316</v>
      </c>
      <c r="D956" s="6" t="str">
        <f>IFERROR(__xludf.DUMMYFUNCTION("GOOGLETRANSLATE(B956, ""en"", ""hi"")"),"ऐप संबंधित")</f>
        <v>ऐप संबंधित</v>
      </c>
      <c r="E956" s="6" t="str">
        <f>IFERROR(__xludf.DUMMYFUNCTION("GOOGLETRANSLATE(B956, ""en"", ""kn"")"),"ಅಪ್ಲಿಕೇಶನ್ ಸಂಬಂಧಿತ")</f>
        <v>ಅಪ್ಲಿಕೇಶನ್ ಸಂಬಂಧಿತ</v>
      </c>
      <c r="F956" s="7" t="str">
        <f>IFERROR(__xludf.DUMMYFUNCTION("GOOGLETRANSLATE(B956, ""en"", ""ml"")"),"അനുബന്ധ ആപ്പ്")</f>
        <v>അനുബന്ധ ആപ്പ്</v>
      </c>
      <c r="G956" s="7" t="str">
        <f>IFERROR(__xludf.DUMMYFUNCTION("GOOGLETRANSLATE(B956, ""en"", ""te"")"),"సంబంధిత యాప్")</f>
        <v>సంబంధిత యాప్</v>
      </c>
    </row>
    <row r="957">
      <c r="A957" s="4" t="s">
        <v>2317</v>
      </c>
      <c r="B957" s="5" t="s">
        <v>2318</v>
      </c>
      <c r="C957" s="6" t="s">
        <v>2319</v>
      </c>
      <c r="D957" s="6" t="str">
        <f>IFERROR(__xludf.DUMMYFUNCTION("GOOGLETRANSLATE(B957, ""en"", ""hi"")"),"वर्ग")</f>
        <v>वर्ग</v>
      </c>
      <c r="E957" s="6" t="str">
        <f>IFERROR(__xludf.DUMMYFUNCTION("GOOGLETRANSLATE(B957, ""en"", ""kn"")"),"ವರ್ಗ")</f>
        <v>ವರ್ಗ</v>
      </c>
      <c r="F957" s="7" t="str">
        <f>IFERROR(__xludf.DUMMYFUNCTION("GOOGLETRANSLATE(B957, ""en"", ""ml"")"),"വിഭാഗം")</f>
        <v>വിഭാഗം</v>
      </c>
      <c r="G957" s="7" t="str">
        <f>IFERROR(__xludf.DUMMYFUNCTION("GOOGLETRANSLATE(B957, ""en"", ""te"")"),"వర్గం")</f>
        <v>వర్గం</v>
      </c>
    </row>
    <row r="958">
      <c r="A958" s="4" t="s">
        <v>2320</v>
      </c>
      <c r="B958" s="5" t="s">
        <v>677</v>
      </c>
      <c r="C958" s="6" t="s">
        <v>2321</v>
      </c>
      <c r="D958" s="6" t="str">
        <f>IFERROR(__xludf.DUMMYFUNCTION("GOOGLETRANSLATE(B958, ""en"", ""hi"")"),"तारीख")</f>
        <v>तारीख</v>
      </c>
      <c r="E958" s="6" t="str">
        <f>IFERROR(__xludf.DUMMYFUNCTION("GOOGLETRANSLATE(B958, ""en"", ""kn"")"),"ದಿನಾಂಕ")</f>
        <v>ದಿನಾಂಕ</v>
      </c>
      <c r="F958" s="7" t="str">
        <f>IFERROR(__xludf.DUMMYFUNCTION("GOOGLETRANSLATE(B958, ""en"", ""ml"")"),"തീയതി")</f>
        <v>തീയതി</v>
      </c>
      <c r="G958" s="7" t="str">
        <f>IFERROR(__xludf.DUMMYFUNCTION("GOOGLETRANSLATE(B958, ""en"", ""te"")"),"తేదీ")</f>
        <v>తేదీ</v>
      </c>
    </row>
    <row r="959">
      <c r="A959" s="4" t="s">
        <v>2322</v>
      </c>
      <c r="B959" s="5" t="s">
        <v>2323</v>
      </c>
      <c r="C959" s="6" t="s">
        <v>2324</v>
      </c>
      <c r="D959" s="6" t="str">
        <f>IFERROR(__xludf.DUMMYFUNCTION("GOOGLETRANSLATE(B959, ""en"", ""hi"")"),"विवरण")</f>
        <v>विवरण</v>
      </c>
      <c r="E959" s="6" t="str">
        <f>IFERROR(__xludf.DUMMYFUNCTION("GOOGLETRANSLATE(B959, ""en"", ""kn"")"),"ವಿವರಣೆ")</f>
        <v>ವಿವರಣೆ</v>
      </c>
      <c r="F959" s="7" t="str">
        <f>IFERROR(__xludf.DUMMYFUNCTION("GOOGLETRANSLATE(B959, ""en"", ""ml"")"),"വിവരണം")</f>
        <v>വിവരണം</v>
      </c>
      <c r="G959" s="7" t="str">
        <f>IFERROR(__xludf.DUMMYFUNCTION("GOOGLETRANSLATE(B959, ""en"", ""te"")"),"వివరణ")</f>
        <v>వివరణ</v>
      </c>
    </row>
    <row r="960">
      <c r="A960" s="4" t="s">
        <v>2325</v>
      </c>
      <c r="B960" s="5" t="s">
        <v>693</v>
      </c>
      <c r="C960" s="6" t="s">
        <v>2326</v>
      </c>
      <c r="D960" s="6" t="str">
        <f>IFERROR(__xludf.DUMMYFUNCTION("GOOGLETRANSLATE(B960, ""en"", ""hi"")"),"कृपया अपनी समस्या के बारे में विस्तृत जानकारी प्रदान करें...")</f>
        <v>कृपया अपनी समस्या के बारे में विस्तृत जानकारी प्रदान करें...</v>
      </c>
      <c r="E960" s="6" t="str">
        <f>IFERROR(__xludf.DUMMYFUNCTION("GOOGLETRANSLATE(B960, ""en"", ""kn"")"),"ದಯವಿಟ್ಟು ನಿಮ್ಮ ಸಮಸ್ಯೆಯ ಬಗ್ಗೆ ವಿವರವಾದ ಮಾಹಿತಿಯನ್ನು ಒದಗಿಸಿ...")</f>
        <v>ದಯವಿಟ್ಟು ನಿಮ್ಮ ಸಮಸ್ಯೆಯ ಬಗ್ಗೆ ವಿವರವಾದ ಮಾಹಿತಿಯನ್ನು ಒದಗಿಸಿ...</v>
      </c>
      <c r="F960" s="7" t="str">
        <f>IFERROR(__xludf.DUMMYFUNCTION("GOOGLETRANSLATE(B960, ""en"", ""ml"")"),"നിങ്ങളുടെ പ്രശ്നത്തെക്കുറിച്ചുള്ള വിശദമായ വിവരങ്ങൾ നൽകുക...")</f>
        <v>നിങ്ങളുടെ പ്രശ്നത്തെക്കുറിച്ചുള്ള വിശദമായ വിവരങ്ങൾ നൽകുക...</v>
      </c>
      <c r="G960" s="7" t="str">
        <f>IFERROR(__xludf.DUMMYFUNCTION("GOOGLETRANSLATE(B960, ""en"", ""te"")"),"దయచేసి మీ సమస్య గురించి వివరణాత్మక సమాచారాన్ని అందించండి...")</f>
        <v>దయచేసి మీ సమస్య గురించి వివరణాత్మక సమాచారాన్ని అందించండి...</v>
      </c>
    </row>
    <row r="961">
      <c r="A961" s="4" t="s">
        <v>2327</v>
      </c>
      <c r="B961" s="5" t="s">
        <v>1167</v>
      </c>
      <c r="C961" s="6" t="s">
        <v>1168</v>
      </c>
      <c r="D961" s="6" t="str">
        <f>IFERROR(__xludf.DUMMYFUNCTION("GOOGLETRANSLATE(B961, ""en"", ""hi"")"),"दूरी")</f>
        <v>दूरी</v>
      </c>
      <c r="E961" s="6" t="str">
        <f>IFERROR(__xludf.DUMMYFUNCTION("GOOGLETRANSLATE(B961, ""en"", ""kn"")"),"ದೂರ")</f>
        <v>ದೂರ</v>
      </c>
      <c r="F961" s="7" t="str">
        <f>IFERROR(__xludf.DUMMYFUNCTION("GOOGLETRANSLATE(B961, ""en"", ""ml"")"),"ദൂരം")</f>
        <v>ദൂരം</v>
      </c>
      <c r="G961" s="7" t="str">
        <f>IFERROR(__xludf.DUMMYFUNCTION("GOOGLETRANSLATE(B961, ""en"", ""te"")"),"దూరం")</f>
        <v>దూరం</v>
      </c>
    </row>
    <row r="962">
      <c r="A962" s="4" t="s">
        <v>2328</v>
      </c>
      <c r="B962" s="5" t="s">
        <v>681</v>
      </c>
      <c r="C962" s="6" t="s">
        <v>2329</v>
      </c>
      <c r="D962" s="6" t="str">
        <f>IFERROR(__xludf.DUMMYFUNCTION("GOOGLETRANSLATE(B962, ""en"", ""hi"")"),"ड्राइवर")</f>
        <v>ड्राइवर</v>
      </c>
      <c r="E962" s="6" t="str">
        <f>IFERROR(__xludf.DUMMYFUNCTION("GOOGLETRANSLATE(B962, ""en"", ""kn"")"),"ಚಾಲಕ")</f>
        <v>ಚಾಲಕ</v>
      </c>
      <c r="F962" s="7" t="str">
        <f>IFERROR(__xludf.DUMMYFUNCTION("GOOGLETRANSLATE(B962, ""en"", ""ml"")"),"ഡ്രൈവർ")</f>
        <v>ഡ്രൈവർ</v>
      </c>
      <c r="G962" s="7" t="str">
        <f>IFERROR(__xludf.DUMMYFUNCTION("GOOGLETRANSLATE(B962, ""en"", ""te"")"),"డ్రైవర్")</f>
        <v>డ్రైవర్</v>
      </c>
    </row>
    <row r="963">
      <c r="A963" s="4" t="s">
        <v>2330</v>
      </c>
      <c r="B963" s="5" t="s">
        <v>2331</v>
      </c>
      <c r="C963" s="6" t="s">
        <v>2332</v>
      </c>
      <c r="D963" s="6" t="str">
        <f>IFERROR(__xludf.DUMMYFUNCTION("GOOGLETRANSLATE(B963, ""en"", ""hi"")"),"कृपया एक कैटेगरी चयनित करें")</f>
        <v>कृपया एक कैटेगरी चयनित करें</v>
      </c>
      <c r="E963" s="6" t="str">
        <f>IFERROR(__xludf.DUMMYFUNCTION("GOOGLETRANSLATE(B963, ""en"", ""kn"")"),"ದಯವಿಟ್ಟು ವರ್ಗವನ್ನು ಆಯ್ಕೆಮಾಡಿ.")</f>
        <v>ದಯವಿಟ್ಟು ವರ್ಗವನ್ನು ಆಯ್ಕೆಮಾಡಿ.</v>
      </c>
      <c r="F963" s="7" t="str">
        <f>IFERROR(__xludf.DUMMYFUNCTION("GOOGLETRANSLATE(B963, ""en"", ""ml"")"),"ദയവായി ഒരു വിഭാഗം തിരഞ്ഞെടുക്കുക.")</f>
        <v>ദയവായി ഒരു വിഭാഗം തിരഞ്ഞെടുക്കുക.</v>
      </c>
      <c r="G963" s="7" t="str">
        <f>IFERROR(__xludf.DUMMYFUNCTION("GOOGLETRANSLATE(B963, ""en"", ""te"")"),"దయచేసి ఒక వర్గాన్ని ఎంచుకోండి.")</f>
        <v>దయచేసి ఒక వర్గాన్ని ఎంచుకోండి.</v>
      </c>
    </row>
    <row r="964">
      <c r="A964" s="4" t="s">
        <v>2333</v>
      </c>
      <c r="B964" s="5" t="s">
        <v>2334</v>
      </c>
      <c r="C964" s="6" t="s">
        <v>2335</v>
      </c>
      <c r="D964" s="6" t="str">
        <f>IFERROR(__xludf.DUMMYFUNCTION("GOOGLETRANSLATE(B964, ""en"", ""hi"")"),"विवरण आवश्यक है")</f>
        <v>विवरण आवश्यक है</v>
      </c>
      <c r="E964" s="6" t="str">
        <f>IFERROR(__xludf.DUMMYFUNCTION("GOOGLETRANSLATE(B964, ""en"", ""kn"")"),"ವಿವರಣೆ ಅಗತ್ಯವಿದೆ")</f>
        <v>ವಿವರಣೆ ಅಗತ್ಯವಿದೆ</v>
      </c>
      <c r="F964" s="7" t="str">
        <f>IFERROR(__xludf.DUMMYFUNCTION("GOOGLETRANSLATE(B964, ""en"", ""ml"")"),"വിവരണം ആവശ്യമാണ്")</f>
        <v>വിവരണം ആവശ്യമാണ്</v>
      </c>
      <c r="G964" s="7" t="str">
        <f>IFERROR(__xludf.DUMMYFUNCTION("GOOGLETRANSLATE(B964, ""en"", ""te"")"),"వివరణ అవసరం")</f>
        <v>వివరణ అవసరం</v>
      </c>
    </row>
    <row r="965">
      <c r="A965" s="4" t="s">
        <v>2336</v>
      </c>
      <c r="B965" s="5" t="s">
        <v>2337</v>
      </c>
      <c r="C965" s="6" t="s">
        <v>2338</v>
      </c>
      <c r="D965" s="6" t="str">
        <f>IFERROR(__xludf.DUMMYFUNCTION("GOOGLETRANSLATE(B965, ""en"", ""hi"")"),"कृपया एक यात्रा चुनें")</f>
        <v>कृपया एक यात्रा चुनें</v>
      </c>
      <c r="E965" s="6" t="str">
        <f>IFERROR(__xludf.DUMMYFUNCTION("GOOGLETRANSLATE(B965, ""en"", ""kn"")"),"ದಯವಿಟ್ಟು ಪ್ರವಾಸವನ್ನು ಆಯ್ಕೆಮಾಡಿ")</f>
        <v>ದಯವಿಟ್ಟು ಪ್ರವಾಸವನ್ನು ಆಯ್ಕೆಮಾಡಿ</v>
      </c>
      <c r="F965" s="7" t="str">
        <f>IFERROR(__xludf.DUMMYFUNCTION("GOOGLETRANSLATE(B965, ""en"", ""ml"")"),"ദയവായി ഒരു യാത്ര തിരഞ്ഞെടുക്കുക.")</f>
        <v>ദയവായി ഒരു യാത്ര തിരഞ്ഞെടുക്കുക.</v>
      </c>
      <c r="G965" s="7" t="str">
        <f>IFERROR(__xludf.DUMMYFUNCTION("GOOGLETRANSLATE(B965, ""en"", ""te"")"),"దయచేసి ఒక ట్రిప్‌ను ఎంచుకోండి.")</f>
        <v>దయచేసి ఒక ట్రిప్‌ను ఎంచుకోండి.</v>
      </c>
    </row>
    <row r="966">
      <c r="A966" s="4" t="s">
        <v>2339</v>
      </c>
      <c r="B966" s="5" t="s">
        <v>2340</v>
      </c>
      <c r="C966" s="6" t="s">
        <v>2341</v>
      </c>
      <c r="D966" s="6" t="str">
        <f>IFERROR(__xludf.DUMMYFUNCTION("GOOGLETRANSLATE(B966, ""en"", ""hi"")"),"विषय आवश्यक है")</f>
        <v>विषय आवश्यक है</v>
      </c>
      <c r="E966" s="6" t="str">
        <f>IFERROR(__xludf.DUMMYFUNCTION("GOOGLETRANSLATE(B966, ""en"", ""kn"")"),"ವಿಷಯ ಕಡ್ಡಾಯವಾಗಿದೆ")</f>
        <v>ವಿಷಯ ಕಡ್ಡಾಯವಾಗಿದೆ</v>
      </c>
      <c r="F966" s="7" t="str">
        <f>IFERROR(__xludf.DUMMYFUNCTION("GOOGLETRANSLATE(B966, ""en"", ""ml"")"),"വിഷയം ആവശ്യമാണ്")</f>
        <v>വിഷയം ആവശ്യമാണ്</v>
      </c>
      <c r="G966" s="7" t="str">
        <f>IFERROR(__xludf.DUMMYFUNCTION("GOOGLETRANSLATE(B966, ""en"", ""te"")"),"విషయం తప్పనిసరి")</f>
        <v>విషయం తప్పనిసరి</v>
      </c>
    </row>
    <row r="967">
      <c r="A967" s="4" t="s">
        <v>2342</v>
      </c>
      <c r="B967" s="5" t="s">
        <v>679</v>
      </c>
      <c r="C967" s="6" t="s">
        <v>1923</v>
      </c>
      <c r="D967" s="6" t="str">
        <f>IFERROR(__xludf.DUMMYFUNCTION("GOOGLETRANSLATE(B967, ""en"", ""hi"")"),"किराया")</f>
        <v>किराया</v>
      </c>
      <c r="E967" s="6" t="str">
        <f>IFERROR(__xludf.DUMMYFUNCTION("GOOGLETRANSLATE(B967, ""en"", ""kn"")"),"ಶುಲ್ಕ")</f>
        <v>ಶುಲ್ಕ</v>
      </c>
      <c r="F967" s="7" t="str">
        <f>IFERROR(__xludf.DUMMYFUNCTION("GOOGLETRANSLATE(B967, ""en"", ""ml"")"),"യാത്രാക്കൂലി")</f>
        <v>യാത്രാക്കൂലി</v>
      </c>
      <c r="G967" s="7" t="str">
        <f>IFERROR(__xludf.DUMMYFUNCTION("GOOGLETRANSLATE(B967, ""en"", ""te"")"),"ఛార్జీ")</f>
        <v>ఛార్జీ</v>
      </c>
    </row>
    <row r="968">
      <c r="A968" s="4" t="s">
        <v>2343</v>
      </c>
      <c r="B968" s="5" t="s">
        <v>673</v>
      </c>
      <c r="C968" s="6" t="s">
        <v>2344</v>
      </c>
      <c r="D968" s="6" t="str">
        <f>IFERROR(__xludf.DUMMYFUNCTION("GOOGLETRANSLATE(B968, ""en"", ""hi"")"),"से")</f>
        <v>से</v>
      </c>
      <c r="E968" s="6" t="str">
        <f>IFERROR(__xludf.DUMMYFUNCTION("GOOGLETRANSLATE(B968, ""en"", ""kn"")"),"ಇಂದ")</f>
        <v>ಇಂದ</v>
      </c>
      <c r="F968" s="7" t="str">
        <f>IFERROR(__xludf.DUMMYFUNCTION("GOOGLETRANSLATE(B968, ""en"", ""ml"")"),"ഉത്ഭവം")</f>
        <v>ഉത്ഭവം</v>
      </c>
      <c r="G968" s="7" t="str">
        <f>IFERROR(__xludf.DUMMYFUNCTION("GOOGLETRANSLATE(B968, ""en"", ""te"")"),"నుండి")</f>
        <v>నుండి</v>
      </c>
    </row>
    <row r="969">
      <c r="A969" s="4" t="s">
        <v>2345</v>
      </c>
      <c r="B969" s="5" t="s">
        <v>687</v>
      </c>
      <c r="C969" s="6" t="s">
        <v>2346</v>
      </c>
      <c r="D969" s="6" t="str">
        <f>IFERROR(__xludf.DUMMYFUNCTION("GOOGLETRANSLATE(B969, ""en"", ""hi"")"),"श्रेणियां लोड हो रही हैं...")</f>
        <v>श्रेणियां लोड हो रही हैं...</v>
      </c>
      <c r="E969" s="6" t="str">
        <f>IFERROR(__xludf.DUMMYFUNCTION("GOOGLETRANSLATE(B969, ""en"", ""kn"")"),"ವರ್ಗಗಳನ್ನು ಲೋಡ್ ಮಾಡಲಾಗುತ್ತಿದೆ...")</f>
        <v>ವರ್ಗಗಳನ್ನು ಲೋಡ್ ಮಾಡಲಾಗುತ್ತಿದೆ...</v>
      </c>
      <c r="F969" s="7" t="str">
        <f>IFERROR(__xludf.DUMMYFUNCTION("GOOGLETRANSLATE(B969, ""en"", ""ml"")"),"വിഭാഗങ്ങൾ ലോഡ് ചെയ്യുന്നു...")</f>
        <v>വിഭാഗങ്ങൾ ലോഡ് ചെയ്യുന്നു...</v>
      </c>
      <c r="G969" s="7" t="str">
        <f>IFERROR(__xludf.DUMMYFUNCTION("GOOGLETRANSLATE(B969, ""en"", ""te"")"),"వర్గాలను లోడ్ చేస్తోంది...")</f>
        <v>వర్గాలను లోడ్ చేస్తోంది...</v>
      </c>
    </row>
    <row r="970">
      <c r="A970" s="4" t="s">
        <v>2347</v>
      </c>
      <c r="B970" s="5" t="s">
        <v>689</v>
      </c>
      <c r="C970" s="6" t="s">
        <v>2348</v>
      </c>
      <c r="D970" s="6" t="str">
        <f>IFERROR(__xludf.DUMMYFUNCTION("GOOGLETRANSLATE(B970, ""en"", ""hi"")"),"इस टिकट प्रकार के लिए कोई श्रेणियां उपलब्ध नहीं हैं")</f>
        <v>इस टिकट प्रकार के लिए कोई श्रेणियां उपलब्ध नहीं हैं</v>
      </c>
      <c r="E970" s="6" t="str">
        <f>IFERROR(__xludf.DUMMYFUNCTION("GOOGLETRANSLATE(B970, ""en"", ""kn"")"),"ಈ ಟಿಕೆಟ್ ಪ್ರಕಾರಕ್ಕೆ ಯಾವುದೇ ವರ್ಗಗಳು ಲಭ್ಯವಿಲ್ಲ.")</f>
        <v>ಈ ಟಿಕೆಟ್ ಪ್ರಕಾರಕ್ಕೆ ಯಾವುದೇ ವರ್ಗಗಳು ಲಭ್ಯವಿಲ್ಲ.</v>
      </c>
      <c r="F970" s="7" t="str">
        <f>IFERROR(__xludf.DUMMYFUNCTION("GOOGLETRANSLATE(B970, ""en"", ""ml"")"),"ഈ ടിക്കറ്റ് തരത്തിന് വിഭാഗങ്ങളൊന്നും ലഭ്യമല്ല.")</f>
        <v>ഈ ടിക്കറ്റ് തരത്തിന് വിഭാഗങ്ങളൊന്നും ലഭ്യമല്ല.</v>
      </c>
      <c r="G970" s="7" t="str">
        <f>IFERROR(__xludf.DUMMYFUNCTION("GOOGLETRANSLATE(B970, ""en"", ""te"")"),"ఈ టికెట్ రకానికి వర్గాలు అందుబాటులో లేవు.")</f>
        <v>ఈ టికెట్ రకానికి వర్గాలు అందుబాటులో లేవు.</v>
      </c>
    </row>
    <row r="971">
      <c r="A971" s="4" t="s">
        <v>2349</v>
      </c>
      <c r="B971" s="5" t="s">
        <v>667</v>
      </c>
      <c r="C971" s="6" t="s">
        <v>2350</v>
      </c>
      <c r="D971" s="6" t="str">
        <f>IFERROR(__xludf.DUMMYFUNCTION("GOOGLETRANSLATE(B971, ""en"", ""hi"")"),"यात्रा चुनें")</f>
        <v>यात्रा चुनें</v>
      </c>
      <c r="E971" s="6" t="str">
        <f>IFERROR(__xludf.DUMMYFUNCTION("GOOGLETRANSLATE(B971, ""en"", ""kn"")"),"ಪ್ರವಾಸ ಆಯ್ಕೆಮಾಡಿ")</f>
        <v>ಪ್ರವಾಸ ಆಯ್ಕೆಮಾಡಿ</v>
      </c>
      <c r="F971" s="7" t="str">
        <f>IFERROR(__xludf.DUMMYFUNCTION("GOOGLETRANSLATE(B971, ""en"", ""ml"")"),"യാത്ര തിരഞ്ഞെടുക്കുക")</f>
        <v>യാത്ര തിരഞ്ഞെടുക്കുക</v>
      </c>
      <c r="G971" s="7" t="str">
        <f>IFERROR(__xludf.DUMMYFUNCTION("GOOGLETRANSLATE(B971, ""en"", ""te"")"),"ట్రిప్ ఎంచుకోండి")</f>
        <v>ట్రిప్ ఎంచుకోండి</v>
      </c>
    </row>
    <row r="972">
      <c r="A972" s="4" t="s">
        <v>2351</v>
      </c>
      <c r="B972" s="5" t="s">
        <v>669</v>
      </c>
      <c r="C972" s="6" t="s">
        <v>2352</v>
      </c>
      <c r="D972" s="6" t="str">
        <f>IFERROR(__xludf.DUMMYFUNCTION("GOOGLETRANSLATE(B972, ""en"", ""hi"")"),"अपनी राइड हिस्ट्री से एक ट्रिप चुनें")</f>
        <v>अपनी राइड हिस्ट्री से एक ट्रिप चुनें</v>
      </c>
      <c r="E972" s="6" t="str">
        <f>IFERROR(__xludf.DUMMYFUNCTION("GOOGLETRANSLATE(B972, ""en"", ""kn"")"),"ನಿಮ್ಮ ಸವಾರಿ ಇತಿಹಾಸದಿಂದ ಪ್ರವಾಸವನ್ನು ಆಯ್ಕೆಮಾಡಿ")</f>
        <v>ನಿಮ್ಮ ಸವಾರಿ ಇತಿಹಾಸದಿಂದ ಪ್ರವಾಸವನ್ನು ಆಯ್ಕೆಮಾಡಿ</v>
      </c>
      <c r="F972" s="7" t="str">
        <f>IFERROR(__xludf.DUMMYFUNCTION("GOOGLETRANSLATE(B972, ""en"", ""ml"")"),"നിങ്ങളുടെ റൈഡ് ചരിത്രത്തിൽ നിന്ന് ഒരു യാത്ര തിരഞ്ഞെടുക്കുക")</f>
        <v>നിങ്ങളുടെ റൈഡ് ചരിത്രത്തിൽ നിന്ന് ഒരു യാത്ര തിരഞ്ഞെടുക്കുക</v>
      </c>
      <c r="G972" s="7" t="str">
        <f>IFERROR(__xludf.DUMMYFUNCTION("GOOGLETRANSLATE(B972, ""en"", ""te"")"),"మీ రైడ్ చరిత్ర నుండి ఒక ట్రిప్‌ను ఎంచుకోండి")</f>
        <v>మీ రైడ్ చరిత్ర నుండి ఒక ట్రిప్‌ను ఎంచుకోండి</v>
      </c>
    </row>
    <row r="973">
      <c r="A973" s="4" t="s">
        <v>2353</v>
      </c>
      <c r="B973" s="5" t="s">
        <v>683</v>
      </c>
      <c r="C973" s="6" t="s">
        <v>2354</v>
      </c>
      <c r="D973" s="6" t="str">
        <f>IFERROR(__xludf.DUMMYFUNCTION("GOOGLETRANSLATE(B973, ""en"", ""hi"")"),"स्थिति")</f>
        <v>स्थिति</v>
      </c>
      <c r="E973" s="6" t="str">
        <f>IFERROR(__xludf.DUMMYFUNCTION("GOOGLETRANSLATE(B973, ""en"", ""kn"")"),"ಸ್ಥಿತಿ")</f>
        <v>ಸ್ಥಿತಿ</v>
      </c>
      <c r="F973" s="7" t="str">
        <f>IFERROR(__xludf.DUMMYFUNCTION("GOOGLETRANSLATE(B973, ""en"", ""ml"")"),"പദവി")</f>
        <v>പദവി</v>
      </c>
      <c r="G973" s="7" t="str">
        <f>IFERROR(__xludf.DUMMYFUNCTION("GOOGLETRANSLATE(B973, ""en"", ""te"")"),"స్థితి")</f>
        <v>స్థితి</v>
      </c>
    </row>
    <row r="974">
      <c r="A974" s="4" t="s">
        <v>2355</v>
      </c>
      <c r="B974" s="5" t="s">
        <v>659</v>
      </c>
      <c r="C974" s="6" t="s">
        <v>2356</v>
      </c>
      <c r="D974" s="6" t="str">
        <f>IFERROR(__xludf.DUMMYFUNCTION("GOOGLETRANSLATE(B974, ""en"", ""hi"")"),"अपनी समस्या का वर्णन करें, हम उसे हल करने में आपकी सहायता करेंगे।")</f>
        <v>अपनी समस्या का वर्णन करें, हम उसे हल करने में आपकी सहायता करेंगे।</v>
      </c>
      <c r="E974" s="6" t="str">
        <f>IFERROR(__xludf.DUMMYFUNCTION("GOOGLETRANSLATE(B974, ""en"", ""kn"")"),"ನಿಮ್ಮ ಸಮಸ್ಯೆಯನ್ನು ವಿವರಿಸಿ, ಅದನ್ನು ಪರಿಹರಿಸಲು ನಾವು ನಿಮಗೆ ಸಹಾಯ ಮಾಡುತ್ತೇವೆ.")</f>
        <v>ನಿಮ್ಮ ಸಮಸ್ಯೆಯನ್ನು ವಿವರಿಸಿ, ಅದನ್ನು ಪರಿಹರಿಸಲು ನಾವು ನಿಮಗೆ ಸಹಾಯ ಮಾಡುತ್ತೇವೆ.</v>
      </c>
      <c r="F974" s="7" t="str">
        <f>IFERROR(__xludf.DUMMYFUNCTION("GOOGLETRANSLATE(B974, ""en"", ""ml"")"),"നിങ്ങളുടെ പ്രശ്നം വിവരിക്കുക, അത് പരിഹരിക്കാൻ ഞങ്ങൾ നിങ്ങളെ സഹായിക്കും.")</f>
        <v>നിങ്ങളുടെ പ്രശ്നം വിവരിക്കുക, അത് പരിഹരിക്കാൻ ഞങ്ങൾ നിങ്ങളെ സഹായിക്കും.</v>
      </c>
      <c r="G974" s="7" t="str">
        <f>IFERROR(__xludf.DUMMYFUNCTION("GOOGLETRANSLATE(B974, ""en"", ""te"")"),"మీ సమస్యను వివరించండి, దాన్ని పరిష్కరించడంలో మేము మీకు సహాయం చేస్తాము.")</f>
        <v>మీ సమస్యను వివరించండి, దాన్ని పరిష్కరించడంలో మేము మీకు సహాయం చేస్తాము.</v>
      </c>
    </row>
    <row r="975">
      <c r="A975" s="4" t="s">
        <v>2357</v>
      </c>
      <c r="B975" s="5" t="s">
        <v>2358</v>
      </c>
      <c r="C975" s="6" t="s">
        <v>2359</v>
      </c>
      <c r="D975" s="6" t="str">
        <f>IFERROR(__xludf.DUMMYFUNCTION("GOOGLETRANSLATE(B975, ""en"", ""hi"")"),"टिकिट का प्रकार")</f>
        <v>टिकिट का प्रकार</v>
      </c>
      <c r="E975" s="6" t="str">
        <f>IFERROR(__xludf.DUMMYFUNCTION("GOOGLETRANSLATE(B975, ""en"", ""kn"")"),"ಟಿಕೆಟ್ ಪ್ರಕಾರ")</f>
        <v>ಟಿಕೆಟ್ ಪ್ರಕಾರ</v>
      </c>
      <c r="F975" s="7" t="str">
        <f>IFERROR(__xludf.DUMMYFUNCTION("GOOGLETRANSLATE(B975, ""en"", ""ml"")"),"ടിക്കറ്റ് തരം")</f>
        <v>ടിക്കറ്റ് തരം</v>
      </c>
      <c r="G975" s="7" t="str">
        <f>IFERROR(__xludf.DUMMYFUNCTION("GOOGLETRANSLATE(B975, ""en"", ""te"")"),"టికెట్ రకం")</f>
        <v>టికెట్ రకం</v>
      </c>
    </row>
    <row r="976">
      <c r="A976" s="4" t="s">
        <v>2360</v>
      </c>
      <c r="B976" s="5" t="s">
        <v>657</v>
      </c>
      <c r="C976" s="6" t="s">
        <v>2361</v>
      </c>
      <c r="D976" s="6" t="str">
        <f>IFERROR(__xludf.DUMMYFUNCTION("GOOGLETRANSLATE(B976, ""en"", ""hi"")"),"नया टिकट बनाएं")</f>
        <v>नया टिकट बनाएं</v>
      </c>
      <c r="E976" s="6" t="str">
        <f>IFERROR(__xludf.DUMMYFUNCTION("GOOGLETRANSLATE(B976, ""en"", ""kn"")"),"ಹೊಸ ಟಿಕೆಟ್ ರಚಿಸಿ")</f>
        <v>ಹೊಸ ಟಿಕೆಟ್ ರಚಿಸಿ</v>
      </c>
      <c r="F976" s="7" t="str">
        <f>IFERROR(__xludf.DUMMYFUNCTION("GOOGLETRANSLATE(B976, ""en"", ""ml"")"),"പുതിയ ടിക്കറ്റ് സൃഷ്ടിക്കുക")</f>
        <v>പുതിയ ടിക്കറ്റ് സൃഷ്ടിക്കുക</v>
      </c>
      <c r="G976" s="7" t="str">
        <f>IFERROR(__xludf.DUMMYFUNCTION("GOOGLETRANSLATE(B976, ""en"", ""te"")"),"కొత్త టికెట్ సృష్టించండి")</f>
        <v>కొత్త టికెట్ సృష్టించండి</v>
      </c>
    </row>
    <row r="977">
      <c r="A977" s="4" t="s">
        <v>2362</v>
      </c>
      <c r="B977" s="5" t="s">
        <v>675</v>
      </c>
      <c r="C977" s="6" t="s">
        <v>2363</v>
      </c>
      <c r="D977" s="6" t="str">
        <f>IFERROR(__xludf.DUMMYFUNCTION("GOOGLETRANSLATE(B977, ""en"", ""hi"")"),"को")</f>
        <v>को</v>
      </c>
      <c r="E977" s="6" t="str">
        <f>IFERROR(__xludf.DUMMYFUNCTION("GOOGLETRANSLATE(B977, ""en"", ""kn"")"),"ಗೆ")</f>
        <v>ಗೆ</v>
      </c>
      <c r="F977" s="7" t="str">
        <f>IFERROR(__xludf.DUMMYFUNCTION("GOOGLETRANSLATE(B977, ""en"", ""ml"")"),"ലേക്ക്")</f>
        <v>ലേക്ക്</v>
      </c>
      <c r="G977" s="7" t="str">
        <f>IFERROR(__xludf.DUMMYFUNCTION("GOOGLETRANSLATE(B977, ""en"", ""te"")"),"కు")</f>
        <v>కు</v>
      </c>
    </row>
    <row r="978">
      <c r="A978" s="4" t="s">
        <v>2364</v>
      </c>
      <c r="B978" s="5" t="s">
        <v>671</v>
      </c>
      <c r="C978" s="6" t="s">
        <v>2365</v>
      </c>
      <c r="D978" s="6" t="str">
        <f>IFERROR(__xludf.DUMMYFUNCTION("GOOGLETRANSLATE(B978, ""en"", ""hi"")"),"यात्रा विवरण")</f>
        <v>यात्रा विवरण</v>
      </c>
      <c r="E978" s="6" t="str">
        <f>IFERROR(__xludf.DUMMYFUNCTION("GOOGLETRANSLATE(B978, ""en"", ""kn"")"),"ಪ್ರವಾಸದ ವಿವರಗಳು")</f>
        <v>ಪ್ರವಾಸದ ವಿವರಗಳು</v>
      </c>
      <c r="F978" s="7" t="str">
        <f>IFERROR(__xludf.DUMMYFUNCTION("GOOGLETRANSLATE(B978, ""en"", ""ml"")"),"യാത്രാ വിശദാംശങ്ങൾ")</f>
        <v>യാത്രാ വിശദാംശങ്ങൾ</v>
      </c>
      <c r="G978" s="7" t="str">
        <f>IFERROR(__xludf.DUMMYFUNCTION("GOOGLETRANSLATE(B978, ""en"", ""te"")"),"పర్యటన వివరాలు")</f>
        <v>పర్యటన వివరాలు</v>
      </c>
    </row>
    <row r="979">
      <c r="A979" s="4" t="s">
        <v>2366</v>
      </c>
      <c r="B979" s="5" t="s">
        <v>665</v>
      </c>
      <c r="C979" s="6" t="s">
        <v>2367</v>
      </c>
      <c r="D979" s="6" t="str">
        <f>IFERROR(__xludf.DUMMYFUNCTION("GOOGLETRANSLATE(B979, ""en"", ""hi"")"),"यात्रा संबंधी")</f>
        <v>यात्रा संबंधी</v>
      </c>
      <c r="E979" s="6" t="str">
        <f>IFERROR(__xludf.DUMMYFUNCTION("GOOGLETRANSLATE(B979, ""en"", ""kn"")"),"ಪ್ರವಾಸ ಸಂಬಂಧಿತ")</f>
        <v>ಪ್ರವಾಸ ಸಂಬಂಧಿತ</v>
      </c>
      <c r="F979" s="7" t="str">
        <f>IFERROR(__xludf.DUMMYFUNCTION("GOOGLETRANSLATE(B979, ""en"", ""ml"")"),"യാത്രയുമായി ബന്ധപ്പെട്ടത്")</f>
        <v>യാത്രയുമായി ബന്ധപ്പെട്ടത്</v>
      </c>
      <c r="G979" s="7" t="str">
        <f>IFERROR(__xludf.DUMMYFUNCTION("GOOGLETRANSLATE(B979, ""en"", ""te"")"),"ట్రిప్ సంబంధిత")</f>
        <v>ట్రిప్ సంబంధిత</v>
      </c>
    </row>
    <row r="980">
      <c r="A980" s="4" t="s">
        <v>2368</v>
      </c>
      <c r="B980" s="5" t="s">
        <v>2369</v>
      </c>
      <c r="C980" s="6" t="s">
        <v>2370</v>
      </c>
      <c r="D980" s="6" t="str">
        <f>IFERROR(__xludf.DUMMYFUNCTION("GOOGLETRANSLATE(B980, ""en"", ""hi"")"),"सहायता अनुभाग")</f>
        <v>सहायता अनुभाग</v>
      </c>
      <c r="E980" s="6" t="str">
        <f>IFERROR(__xludf.DUMMYFUNCTION("GOOGLETRANSLATE(B980, ""en"", ""kn"")"),"ಬೆಂಬಲ ವಿಭಾಗ")</f>
        <v>ಬೆಂಬಲ ವಿಭಾಗ</v>
      </c>
      <c r="F980" s="7" t="str">
        <f>IFERROR(__xludf.DUMMYFUNCTION("GOOGLETRANSLATE(B980, ""en"", ""ml"")"),"പിന്തുണാ വിഭാഗം")</f>
        <v>പിന്തുണാ വിഭാഗം</v>
      </c>
      <c r="G980" s="7" t="str">
        <f>IFERROR(__xludf.DUMMYFUNCTION("GOOGLETRANSLATE(B980, ""en"", ""te"")"),"మద్దతు విభాగం")</f>
        <v>మద్దతు విభాగం</v>
      </c>
    </row>
    <row r="981">
      <c r="A981" s="4" t="s">
        <v>2371</v>
      </c>
      <c r="B981" s="5" t="s">
        <v>2372</v>
      </c>
      <c r="C981" s="6" t="s">
        <v>2373</v>
      </c>
      <c r="D981" s="6" t="str">
        <f>IFERROR(__xludf.DUMMYFUNCTION("GOOGLETRANSLATE(B981, ""en"", ""hi"")"),"लॉगआउट करने के लिए स्वाइप करें")</f>
        <v>लॉगआउट करने के लिए स्वाइप करें</v>
      </c>
      <c r="E981" s="6" t="str">
        <f>IFERROR(__xludf.DUMMYFUNCTION("GOOGLETRANSLATE(B981, ""en"", ""kn"")"),"ಲಾಗ್ ಔಟ್ ಮಾಡಲು ಸ್ವೈಪ್ ಮಾಡಿ")</f>
        <v>ಲಾಗ್ ಔಟ್ ಮಾಡಲು ಸ್ವೈಪ್ ಮಾಡಿ</v>
      </c>
      <c r="F981" s="7" t="str">
        <f>IFERROR(__xludf.DUMMYFUNCTION("GOOGLETRANSLATE(B981, ""en"", ""ml"")"),"ലോഗ്ഔട്ട് ചെയ്യാൻ സ്വൈപ്പ് ചെയ്യുക")</f>
        <v>ലോഗ്ഔട്ട് ചെയ്യാൻ സ്വൈപ്പ് ചെയ്യുക</v>
      </c>
      <c r="G981" s="7" t="str">
        <f>IFERROR(__xludf.DUMMYFUNCTION("GOOGLETRANSLATE(B981, ""en"", ""te"")"),"లాగ్ అవుట్ చేయడానికి స్వైప్ చేయండి")</f>
        <v>లాగ్ అవుట్ చేయడానికి స్వైప్ చేయండి</v>
      </c>
    </row>
    <row r="982">
      <c r="A982" s="4" t="s">
        <v>2374</v>
      </c>
      <c r="B982" s="5" t="s">
        <v>2375</v>
      </c>
      <c r="C982" s="6" t="s">
        <v>2376</v>
      </c>
      <c r="D982" s="6" t="str">
        <f>IFERROR(__xludf.DUMMYFUNCTION("GOOGLETRANSLATE(B982, ""en"", ""hi"")"),"हमारे ऐप के नाम पर टैप करें")</f>
        <v>हमारे ऐप के नाम पर टैप करें</v>
      </c>
      <c r="E982" s="6" t="str">
        <f>IFERROR(__xludf.DUMMYFUNCTION("GOOGLETRANSLATE(B982, ""en"", ""kn"")"),"ನಮ್ಮ ಅಪ್ಲಿಕೇಶನ್ ಹೆಸರಿನ ಮೇಲೆ ಟ್ಯಾಪ್ ಮಾಡಿ")</f>
        <v>ನಮ್ಮ ಅಪ್ಲಿಕೇಶನ್ ಹೆಸರಿನ ಮೇಲೆ ಟ್ಯಾಪ್ ಮಾಡಿ</v>
      </c>
      <c r="F982" s="7" t="str">
        <f>IFERROR(__xludf.DUMMYFUNCTION("GOOGLETRANSLATE(B982, ""en"", ""ml"")"),"ഞങ്ങളുടെ ആപ്പിന്റെ പേരിൽ ടാപ്പ് ചെയ്യുക")</f>
        <v>ഞങ്ങളുടെ ആപ്പിന്റെ പേരിൽ ടാപ്പ് ചെയ്യുക</v>
      </c>
      <c r="G982" s="7" t="str">
        <f>IFERROR(__xludf.DUMMYFUNCTION("GOOGLETRANSLATE(B982, ""en"", ""te"")"),"మా యాప్ పేరుపై నొక్కండి")</f>
        <v>మా యాప్ పేరుపై నొక్కండి</v>
      </c>
    </row>
    <row r="983">
      <c r="A983" s="4" t="s">
        <v>2377</v>
      </c>
      <c r="B983" s="5" t="s">
        <v>2378</v>
      </c>
      <c r="C983" s="6" t="s">
        <v>2379</v>
      </c>
      <c r="D983" s="6" t="str">
        <f>IFERROR(__xludf.DUMMYFUNCTION("GOOGLETRANSLATE(B983, ""en"", ""hi"")"),"नल का स्थान")</f>
        <v>नल का स्थान</v>
      </c>
      <c r="E983" s="6" t="str">
        <f>IFERROR(__xludf.DUMMYFUNCTION("GOOGLETRANSLATE(B983, ""en"", ""kn"")"),"ಸ್ಥಳವನ್ನು ಟ್ಯಾಪ್ ಮಾಡಿ")</f>
        <v>ಸ್ಥಳವನ್ನು ಟ್ಯಾಪ್ ಮಾಡಿ</v>
      </c>
      <c r="F983" s="7" t="str">
        <f>IFERROR(__xludf.DUMMYFUNCTION("GOOGLETRANSLATE(B983, ""en"", ""ml"")"),"ലൊക്കേഷൻ ടാപ്പ് ചെയ്യുക")</f>
        <v>ലൊക്കേഷൻ ടാപ്പ് ചെയ്യുക</v>
      </c>
      <c r="G983" s="7" t="str">
        <f>IFERROR(__xludf.DUMMYFUNCTION("GOOGLETRANSLATE(B983, ""en"", ""te"")"),"స్థానాన్ని నొక్కండి")</f>
        <v>స్థానాన్ని నొక్కండి</v>
      </c>
    </row>
    <row r="984">
      <c r="A984" s="4" t="s">
        <v>2380</v>
      </c>
      <c r="B984" s="5" t="s">
        <v>2381</v>
      </c>
      <c r="C984" s="6" t="s">
        <v>2382</v>
      </c>
      <c r="D984" s="6" t="str">
        <f>IFERROR(__xludf.DUMMYFUNCTION("GOOGLETRANSLATE(B984, ""en"", ""hi"")"),"टैप अनुमतियाँ")</f>
        <v>टैप अनुमतियाँ</v>
      </c>
      <c r="E984" s="6" t="str">
        <f>IFERROR(__xludf.DUMMYFUNCTION("GOOGLETRANSLATE(B984, ""en"", ""kn"")"),"ಅನುಮತಿಗಳನ್ನು ಟ್ಯಾಪ್ ಮಾಡಿ")</f>
        <v>ಅನುಮತಿಗಳನ್ನು ಟ್ಯಾಪ್ ಮಾಡಿ</v>
      </c>
      <c r="F984" s="7" t="str">
        <f>IFERROR(__xludf.DUMMYFUNCTION("GOOGLETRANSLATE(B984, ""en"", ""ml"")"),"അനുമതികൾ ടാപ്പ് ചെയ്യുക")</f>
        <v>അനുമതികൾ ടാപ്പ് ചെയ്യുക</v>
      </c>
      <c r="G984" s="7" t="str">
        <f>IFERROR(__xludf.DUMMYFUNCTION("GOOGLETRANSLATE(B984, ""en"", ""te"")"),"అనుమతులు నొక్కండి")</f>
        <v>అనుమతులు నొక్కండి</v>
      </c>
    </row>
    <row r="985">
      <c r="A985" s="4" t="s">
        <v>2383</v>
      </c>
      <c r="B985" s="5" t="s">
        <v>2384</v>
      </c>
      <c r="C985" s="6" t="s">
        <v>2385</v>
      </c>
      <c r="D985" s="6" t="str">
        <f>IFERROR(__xludf.DUMMYFUNCTION("GOOGLETRANSLATE(B985, ""en"", ""hi"")"),"कर")</f>
        <v>कर</v>
      </c>
      <c r="E985" s="6" t="str">
        <f>IFERROR(__xludf.DUMMYFUNCTION("GOOGLETRANSLATE(B985, ""en"", ""kn"")"),"ತೆರಿಗೆ")</f>
        <v>ತೆರಿಗೆ</v>
      </c>
      <c r="F985" s="7" t="str">
        <f>IFERROR(__xludf.DUMMYFUNCTION("GOOGLETRANSLATE(B985, ""en"", ""ml"")"),"നികുതി")</f>
        <v>നികുതി</v>
      </c>
      <c r="G985" s="7" t="str">
        <f>IFERROR(__xludf.DUMMYFUNCTION("GOOGLETRANSLATE(B985, ""en"", ""te"")"),"పన్ను")</f>
        <v>పన్ను</v>
      </c>
    </row>
    <row r="986">
      <c r="A986" s="4" t="s">
        <v>2386</v>
      </c>
      <c r="B986" s="5" t="s">
        <v>2387</v>
      </c>
      <c r="C986" s="6" t="s">
        <v>2388</v>
      </c>
      <c r="D986" s="6" t="str">
        <f>IFERROR(__xludf.DUMMYFUNCTION("GOOGLETRANSLATE(B986, ""en"", ""hi"")"),"परीक्षण स्क्रीन")</f>
        <v>परीक्षण स्क्रीन</v>
      </c>
      <c r="E986" s="6" t="str">
        <f>IFERROR(__xludf.DUMMYFUNCTION("GOOGLETRANSLATE(B986, ""en"", ""kn"")"),"ಪರೀಕ್ಷಾ ಪರದೆ")</f>
        <v>ಪರೀಕ್ಷಾ ಪರದೆ</v>
      </c>
      <c r="F986" s="7" t="str">
        <f>IFERROR(__xludf.DUMMYFUNCTION("GOOGLETRANSLATE(B986, ""en"", ""ml"")"),"ടെസ്റ്റ് സ്ക്രീൻ")</f>
        <v>ടെസ്റ്റ് സ്ക്രീൻ</v>
      </c>
      <c r="G986" s="7" t="str">
        <f>IFERROR(__xludf.DUMMYFUNCTION("GOOGLETRANSLATE(B986, ""en"", ""te"")"),"పరీక్ష స్క్రీన్")</f>
        <v>పరీక్ష స్క్రీన్</v>
      </c>
    </row>
    <row r="987">
      <c r="A987" s="4" t="s">
        <v>2389</v>
      </c>
      <c r="B987" s="5" t="s">
        <v>2390</v>
      </c>
      <c r="C987" s="6" t="s">
        <v>2391</v>
      </c>
      <c r="D987" s="6" t="str">
        <f>IFERROR(__xludf.DUMMYFUNCTION("GOOGLETRANSLATE(B987, ""en"", ""hi"")"),"धन्यवाद")</f>
        <v>धन्यवाद</v>
      </c>
      <c r="E987" s="6" t="str">
        <f>IFERROR(__xludf.DUMMYFUNCTION("GOOGLETRANSLATE(B987, ""en"", ""kn"")"),"ಧನ್ಯವಾದಗಳು")</f>
        <v>ಧನ್ಯವಾದಗಳು</v>
      </c>
      <c r="F987" s="7" t="str">
        <f>IFERROR(__xludf.DUMMYFUNCTION("GOOGLETRANSLATE(B987, ""en"", ""ml"")"),"നന്ദി")</f>
        <v>നന്ദി</v>
      </c>
      <c r="G987" s="7" t="str">
        <f>IFERROR(__xludf.DUMMYFUNCTION("GOOGLETRANSLATE(B987, ""en"", ""te"")"),"ధన్యవాదాలు")</f>
        <v>ధన్యవాదాలు</v>
      </c>
    </row>
    <row r="988">
      <c r="A988" s="4" t="s">
        <v>2392</v>
      </c>
      <c r="B988" s="5" t="s">
        <v>2393</v>
      </c>
      <c r="C988" s="6" t="s">
        <v>2394</v>
      </c>
      <c r="D988" s="6" t="str">
        <f>IFERROR(__xludf.DUMMYFUNCTION("GOOGLETRANSLATE(B988, ""en"", ""hi"")"),"इस साल")</f>
        <v>इस साल</v>
      </c>
      <c r="E988" s="6" t="str">
        <f>IFERROR(__xludf.DUMMYFUNCTION("GOOGLETRANSLATE(B988, ""en"", ""kn"")"),"ಈ ವರ್ಷ")</f>
        <v>ಈ ವರ್ಷ</v>
      </c>
      <c r="F988" s="7" t="str">
        <f>IFERROR(__xludf.DUMMYFUNCTION("GOOGLETRANSLATE(B988, ""en"", ""ml"")"),"ഈ വര്ഷം")</f>
        <v>ഈ വര്ഷം</v>
      </c>
      <c r="G988" s="7" t="str">
        <f>IFERROR(__xludf.DUMMYFUNCTION("GOOGLETRANSLATE(B988, ""en"", ""te"")"),"ఈ సంవత్సరం")</f>
        <v>ఈ సంవత్సరం</v>
      </c>
    </row>
    <row r="989">
      <c r="A989" s="4" t="s">
        <v>2395</v>
      </c>
      <c r="B989" s="5" t="s">
        <v>2396</v>
      </c>
      <c r="C989" s="6" t="s">
        <v>2397</v>
      </c>
      <c r="D989" s="6" t="str">
        <f>IFERROR(__xludf.DUMMYFUNCTION("GOOGLETRANSLATE(B989, ""en"", ""hi"")"),"टिकट सफलतापूर्वक बन गया!")</f>
        <v>टिकट सफलतापूर्वक बन गया!</v>
      </c>
      <c r="E989" s="6" t="str">
        <f>IFERROR(__xludf.DUMMYFUNCTION("GOOGLETRANSLATE(B989, ""en"", ""kn"")"),"ಟಿಕೆಟ್ ಅನ್ನು ಯಶಸ್ವಿಯಾಗಿ ರಚಿಸಲಾಗಿದೆ!")</f>
        <v>ಟಿಕೆಟ್ ಅನ್ನು ಯಶಸ್ವಿಯಾಗಿ ರಚಿಸಲಾಗಿದೆ!</v>
      </c>
      <c r="F989" s="7" t="str">
        <f>IFERROR(__xludf.DUMMYFUNCTION("GOOGLETRANSLATE(B989, ""en"", ""ml"")"),"ടിക്കറ്റ് വിജയകരമായി സൃഷ്ടിച്ചു!")</f>
        <v>ടിക്കറ്റ് വിജയകരമായി സൃഷ്ടിച്ചു!</v>
      </c>
      <c r="G989" s="7" t="str">
        <f>IFERROR(__xludf.DUMMYFUNCTION("GOOGLETRANSLATE(B989, ""en"", ""te"")"),"టికెట్ విజయవంతంగా సృష్టించబడింది!")</f>
        <v>టికెట్ విజయవంతంగా సృష్టించబడింది!</v>
      </c>
    </row>
    <row r="990">
      <c r="A990" s="4" t="s">
        <v>2398</v>
      </c>
      <c r="B990" s="5" t="s">
        <v>2399</v>
      </c>
      <c r="C990" s="6" t="s">
        <v>2400</v>
      </c>
      <c r="D990" s="6" t="str">
        <f>IFERROR(__xludf.DUMMYFUNCTION("GOOGLETRANSLATE(B990, ""en"", ""hi"")"),"टिकट नहीं मिला")</f>
        <v>टिकट नहीं मिला</v>
      </c>
      <c r="E990" s="6" t="str">
        <f>IFERROR(__xludf.DUMMYFUNCTION("GOOGLETRANSLATE(B990, ""en"", ""kn"")"),"ಟಿಕೆಟ್ ಸಿಗಲಿಲ್ಲ.")</f>
        <v>ಟಿಕೆಟ್ ಸಿಗಲಿಲ್ಲ.</v>
      </c>
      <c r="F990" s="7" t="str">
        <f>IFERROR(__xludf.DUMMYFUNCTION("GOOGLETRANSLATE(B990, ""en"", ""ml"")"),"ടിക്കറ്റ് കണ്ടെത്തിയില്ല.")</f>
        <v>ടിക്കറ്റ് കണ്ടെത്തിയില്ല.</v>
      </c>
      <c r="G990" s="7" t="str">
        <f>IFERROR(__xludf.DUMMYFUNCTION("GOOGLETRANSLATE(B990, ""en"", ""te"")"),"టికెట్ దొరకలేదు.")</f>
        <v>టికెట్ దొరకలేదు.</v>
      </c>
    </row>
    <row r="991">
      <c r="A991" s="4" t="s">
        <v>2401</v>
      </c>
      <c r="B991" s="5" t="s">
        <v>2402</v>
      </c>
      <c r="C991" s="6" t="s">
        <v>2403</v>
      </c>
      <c r="D991" s="6" t="str">
        <f>IFERROR(__xludf.DUMMYFUNCTION("GOOGLETRANSLATE(B991, ""en"", ""hi"")"),"समय किराया")</f>
        <v>समय किराया</v>
      </c>
      <c r="E991" s="6" t="str">
        <f>IFERROR(__xludf.DUMMYFUNCTION("GOOGLETRANSLATE(B991, ""en"", ""kn"")"),"ಸಮಯ ಶುಲ್ಕ")</f>
        <v>ಸಮಯ ಶುಲ್ಕ</v>
      </c>
      <c r="F991" s="7" t="str">
        <f>IFERROR(__xludf.DUMMYFUNCTION("GOOGLETRANSLATE(B991, ""en"", ""ml"")"),"സമയ നിരക്ക്")</f>
        <v>സമയ നിരക്ക്</v>
      </c>
      <c r="G991" s="7" t="str">
        <f>IFERROR(__xludf.DUMMYFUNCTION("GOOGLETRANSLATE(B991, ""en"", ""te"")"),"సమయ ఛార్జీ")</f>
        <v>సమయ ఛార్జీ</v>
      </c>
    </row>
    <row r="992">
      <c r="A992" s="4" t="s">
        <v>2404</v>
      </c>
      <c r="B992" s="5" t="s">
        <v>2405</v>
      </c>
      <c r="C992" s="6" t="s">
        <v>2406</v>
      </c>
      <c r="D992" s="6" t="str">
        <f>IFERROR(__xludf.DUMMYFUNCTION("GOOGLETRANSLATE(B992, ""en"", ""hi"")"),"ड्राइवर को")</f>
        <v>ड्राइवर को</v>
      </c>
      <c r="E992" s="6" t="str">
        <f>IFERROR(__xludf.DUMMYFUNCTION("GOOGLETRANSLATE(B992, ""en"", ""kn"")"),"ಚಾಲಕನಿಗೆ")</f>
        <v>ಚಾಲಕನಿಗೆ</v>
      </c>
      <c r="F992" s="7" t="str">
        <f>IFERROR(__xludf.DUMMYFUNCTION("GOOGLETRANSLATE(B992, ""en"", ""ml"")"),"ഡ്രൈവർക്ക്")</f>
        <v>ഡ്രൈവർക്ക്</v>
      </c>
      <c r="G992" s="7" t="str">
        <f>IFERROR(__xludf.DUMMYFUNCTION("GOOGLETRANSLATE(B992, ""en"", ""te"")"),"డ్రైవర్ కు")</f>
        <v>డ్రైవర్ కు</v>
      </c>
    </row>
    <row r="993">
      <c r="A993" s="4" t="s">
        <v>2407</v>
      </c>
      <c r="B993" s="5" t="s">
        <v>2408</v>
      </c>
      <c r="C993" s="6" t="s">
        <v>2409</v>
      </c>
      <c r="D993" s="6" t="str">
        <f>IFERROR(__xludf.DUMMYFUNCTION("GOOGLETRANSLATE(B993, ""en"", ""hi"")"),"कुल किराया")</f>
        <v>कुल किराया</v>
      </c>
      <c r="E993" s="6" t="str">
        <f>IFERROR(__xludf.DUMMYFUNCTION("GOOGLETRANSLATE(B993, ""en"", ""kn"")"),"ಒಟ್ಟು ದರ")</f>
        <v>ಒಟ್ಟು ದರ</v>
      </c>
      <c r="F993" s="7" t="str">
        <f>IFERROR(__xludf.DUMMYFUNCTION("GOOGLETRANSLATE(B993, ""en"", ""ml"")"),"ആകെ യാത്രാക്കൂലി")</f>
        <v>ആകെ യാത്രാക്കൂലി</v>
      </c>
      <c r="G993" s="7" t="str">
        <f>IFERROR(__xludf.DUMMYFUNCTION("GOOGLETRANSLATE(B993, ""en"", ""te"")"),"మొత్తం ఛార్జీ")</f>
        <v>మొత్తం ఛార్జీ</v>
      </c>
    </row>
    <row r="994">
      <c r="A994" s="4" t="s">
        <v>2410</v>
      </c>
      <c r="B994" s="5" t="s">
        <v>2411</v>
      </c>
      <c r="C994" s="6" t="str">
        <f>IFERROR(__xludf.DUMMYFUNCTION("GOOGLETRANSLATE(B994, ""en"", ""ta"")"),"செலுத்த வேண்டிய மொத்தத் தொகை")</f>
        <v>செலுத்த வேண்டிய மொத்தத் தொகை</v>
      </c>
      <c r="D994" s="6" t="str">
        <f>IFERROR(__xludf.DUMMYFUNCTION("GOOGLETRANSLATE(B994, ""en"", ""hi"")"),"कुल देय राशि")</f>
        <v>कुल देय राशि</v>
      </c>
      <c r="E994" s="6" t="str">
        <f>IFERROR(__xludf.DUMMYFUNCTION("GOOGLETRANSLATE(B994, ""en"", ""kn"")"),"ಪಾವತಿಸಬೇಕಾದ ಒಟ್ಟು ಮೊತ್ತ")</f>
        <v>ಪಾವತಿಸಬೇಕಾದ ಒಟ್ಟು ಮೊತ್ತ</v>
      </c>
      <c r="F994" s="7" t="str">
        <f>IFERROR(__xludf.DUMMYFUNCTION("GOOGLETRANSLATE(B994, ""en"", ""ml"")"),"അടയ്‌ക്കേണ്ട ആകെ തുക")</f>
        <v>അടയ്‌ക്കേണ്ട ആകെ തുക</v>
      </c>
      <c r="G994" s="7" t="str">
        <f>IFERROR(__xludf.DUMMYFUNCTION("GOOGLETRANSLATE(B994, ""en"", ""te"")"),"చెల్లించవలసిన మొత్తం")</f>
        <v>చెల్లించవలసిన మొత్తం</v>
      </c>
    </row>
    <row r="995">
      <c r="A995" s="4" t="s">
        <v>2412</v>
      </c>
      <c r="B995" s="5" t="s">
        <v>2413</v>
      </c>
      <c r="C995" s="6" t="s">
        <v>2414</v>
      </c>
      <c r="D995" s="6" t="str">
        <f>IFERROR(__xludf.DUMMYFUNCTION("GOOGLETRANSLATE(B995, ""en"", ""hi"")"),"कुल खर्च")</f>
        <v>कुल खर्च</v>
      </c>
      <c r="E995" s="6" t="str">
        <f>IFERROR(__xludf.DUMMYFUNCTION("GOOGLETRANSLATE(B995, ""en"", ""kn"")"),"ಒಟ್ಟು ಖರ್ಚು")</f>
        <v>ಒಟ್ಟು ಖರ್ಚು</v>
      </c>
      <c r="F995" s="7" t="str">
        <f>IFERROR(__xludf.DUMMYFUNCTION("GOOGLETRANSLATE(B995, ""en"", ""ml"")"),"ആകെ ചെലവ്")</f>
        <v>ആകെ ചെലവ്</v>
      </c>
      <c r="G995" s="7" t="str">
        <f>IFERROR(__xludf.DUMMYFUNCTION("GOOGLETRANSLATE(B995, ""en"", ""te"")"),"మొత్తం ఖర్చు")</f>
        <v>మొత్తం ఖర్చు</v>
      </c>
    </row>
    <row r="996">
      <c r="A996" s="4" t="s">
        <v>2415</v>
      </c>
      <c r="B996" s="5" t="s">
        <v>2416</v>
      </c>
      <c r="C996" s="6" t="s">
        <v>2417</v>
      </c>
      <c r="D996" s="6" t="str">
        <f>IFERROR(__xludf.DUMMYFUNCTION("GOOGLETRANSLATE(B996, ""en"", ""hi"")"),"अपनी सवारी को ट्रैक करें")</f>
        <v>अपनी सवारी को ट्रैक करें</v>
      </c>
      <c r="E996" s="6" t="str">
        <f>IFERROR(__xludf.DUMMYFUNCTION("GOOGLETRANSLATE(B996, ""en"", ""kn"")"),"ನಿಮ್ಮ ಸವಾರಿಯನ್ನು ಟ್ರ್ಯಾಕ್ ಮಾಡಿ")</f>
        <v>ನಿಮ್ಮ ಸವಾರಿಯನ್ನು ಟ್ರ್ಯಾಕ್ ಮಾಡಿ</v>
      </c>
      <c r="F996" s="7" t="str">
        <f>IFERROR(__xludf.DUMMYFUNCTION("GOOGLETRANSLATE(B996, ""en"", ""ml"")"),"നിങ്ങളുടെ റൈഡ് ട്രാക്ക് ചെയ്യുക")</f>
        <v>നിങ്ങളുടെ റൈഡ് ട്രാക്ക് ചെയ്യുക</v>
      </c>
      <c r="G996" s="7" t="str">
        <f>IFERROR(__xludf.DUMMYFUNCTION("GOOGLETRANSLATE(B996, ""en"", ""te"")"),"మీ రైడ్‌ను ట్రాక్ చేయండి")</f>
        <v>మీ రైడ్‌ను ట్రాక్ చేయండి</v>
      </c>
    </row>
    <row r="997">
      <c r="A997" s="4" t="s">
        <v>2418</v>
      </c>
      <c r="B997" s="5" t="s">
        <v>2419</v>
      </c>
      <c r="C997" s="6" t="s">
        <v>2420</v>
      </c>
      <c r="D997" s="6" t="str">
        <f>IFERROR(__xludf.DUMMYFUNCTION("GOOGLETRANSLATE(B997, ""en"", ""hi"")"),"अपने ड्राइवर के आने का समय रियल-टाइम में देखें और उनकी लोकेशन से अपडेट रहें। अब आपको यह अंदाज़ा लगाने की ज़रूरत नहीं है कि आपकी राइड कब आएगी।")</f>
        <v>अपने ड्राइवर के आने का समय रियल-टाइम में देखें और उनकी लोकेशन से अपडेट रहें। अब आपको यह अंदाज़ा लगाने की ज़रूरत नहीं है कि आपकी राइड कब आएगी।</v>
      </c>
      <c r="E997" s="6" t="str">
        <f>IFERROR(__xludf.DUMMYFUNCTION("GOOGLETRANSLATE(B997, ""en"", ""kn"")"),"ನಿಮ್ಮ ಚಾಲಕನ ಆಗಮನವನ್ನು ನೈಜ ಸಮಯದಲ್ಲಿ ವೀಕ್ಷಿಸಿ ಮತ್ತು ಅವರ ಸ್ಥಳದ ಬಗ್ಗೆ ನವೀಕೃತವಾಗಿರಿ. ನಿಮ್ಮ ಸವಾರಿ ಯಾವಾಗ ಬರುತ್ತದೆ ಎಂದು ಇನ್ನು ಮುಂದೆ ಊಹಿಸುವ ಅಗತ್ಯವಿಲ್ಲ.")</f>
        <v>ನಿಮ್ಮ ಚಾಲಕನ ಆಗಮನವನ್ನು ನೈಜ ಸಮಯದಲ್ಲಿ ವೀಕ್ಷಿಸಿ ಮತ್ತು ಅವರ ಸ್ಥಳದ ಬಗ್ಗೆ ನವೀಕೃತವಾಗಿರಿ. ನಿಮ್ಮ ಸವಾರಿ ಯಾವಾಗ ಬರುತ್ತದೆ ಎಂದು ಇನ್ನು ಮುಂದೆ ಊಹಿಸುವ ಅಗತ್ಯವಿಲ್ಲ.</v>
      </c>
      <c r="F997" s="7" t="str">
        <f>IFERROR(__xludf.DUMMYFUNCTION("GOOGLETRANSLATE(B997, ""en"", ""ml"")"),"നിങ്ങളുടെ ഡ്രൈവറുടെ വരവ് തത്സമയം നിരീക്ഷിക്കുകയും അവരുടെ ലൊക്കേഷനുമായി അപ്‌ഡേറ്റ് ചെയ്യുകയും ചെയ്യുക. നിങ്ങളുടെ റൈഡ് എപ്പോൾ എത്തുമെന്ന് ഇനി ഊഹിക്കേണ്ടതില്ല.")</f>
        <v>നിങ്ങളുടെ ഡ്രൈവറുടെ വരവ് തത്സമയം നിരീക്ഷിക്കുകയും അവരുടെ ലൊക്കേഷനുമായി അപ്‌ഡേറ്റ് ചെയ്യുകയും ചെയ്യുക. നിങ്ങളുടെ റൈഡ് എപ്പോൾ എത്തുമെന്ന് ഇനി ഊഹിക്കേണ്ടതില്ല.</v>
      </c>
      <c r="G997" s="7" t="str">
        <f>IFERROR(__xludf.DUMMYFUNCTION("GOOGLETRANSLATE(B997, ""en"", ""te"")"),"మీ డ్రైవర్ రాకను నిజ సమయంలో చూడండి మరియు వారి స్థానంతో తాజాగా ఉండండి. మీ రైడ్ ఎప్పుడు వస్తుందో ఊహించాల్సిన అవసరం లేదు.")</f>
        <v>మీ డ్రైవర్ రాకను నిజ సమయంలో చూడండి మరియు వారి స్థానంతో తాజాగా ఉండండి. మీ రైడ్ ఎప్పుడు వస్తుందో ఊహించాల్సిన అవసరం లేదు.</v>
      </c>
    </row>
    <row r="998">
      <c r="A998" s="4" t="s">
        <v>2421</v>
      </c>
      <c r="B998" s="5" t="s">
        <v>2422</v>
      </c>
      <c r="C998" s="6" t="s">
        <v>2423</v>
      </c>
      <c r="D998" s="6" t="str">
        <f>IFERROR(__xludf.DUMMYFUNCTION("GOOGLETRANSLATE(B998, ""en"", ""hi"")"),"लेनदेन आईडी")</f>
        <v>लेनदेन आईडी</v>
      </c>
      <c r="E998" s="6" t="str">
        <f>IFERROR(__xludf.DUMMYFUNCTION("GOOGLETRANSLATE(B998, ""en"", ""kn"")"),"ವಹಿವಾಟು ಐಡಿ")</f>
        <v>ವಹಿವಾಟು ಐಡಿ</v>
      </c>
      <c r="F998" s="7" t="str">
        <f>IFERROR(__xludf.DUMMYFUNCTION("GOOGLETRANSLATE(B998, ""en"", ""ml"")"),"ഇടപാട് ഐഡി")</f>
        <v>ഇടപാട് ഐഡി</v>
      </c>
      <c r="G998" s="7" t="str">
        <f>IFERROR(__xludf.DUMMYFUNCTION("GOOGLETRANSLATE(B998, ""en"", ""te"")"),"లావాదేవీ ID")</f>
        <v>లావాదేవీ ID</v>
      </c>
    </row>
    <row r="999">
      <c r="A999" s="4" t="s">
        <v>2424</v>
      </c>
      <c r="B999" s="5" t="s">
        <v>2425</v>
      </c>
      <c r="C999" s="6" t="s">
        <v>2426</v>
      </c>
      <c r="D999" s="6" t="str">
        <f>IFERROR(__xludf.DUMMYFUNCTION("GOOGLETRANSLATE(B999, ""en"", ""hi"")"),"यात्रा शुल्क")</f>
        <v>यात्रा शुल्क</v>
      </c>
      <c r="E999" s="6" t="str">
        <f>IFERROR(__xludf.DUMMYFUNCTION("GOOGLETRANSLATE(B999, ""en"", ""kn"")"),"ಪ್ರಯಾಣ ಶುಲ್ಕ")</f>
        <v>ಪ್ರಯಾಣ ಶುಲ್ಕ</v>
      </c>
      <c r="F999" s="7" t="str">
        <f>IFERROR(__xludf.DUMMYFUNCTION("GOOGLETRANSLATE(B999, ""en"", ""ml"")"),"യാത്രാ നിരക്ക്")</f>
        <v>യാത്രാ നിരക്ക്</v>
      </c>
      <c r="G999" s="7" t="str">
        <f>IFERROR(__xludf.DUMMYFUNCTION("GOOGLETRANSLATE(B999, ""en"", ""te"")"),"ట్రిప్ ఛార్జ్")</f>
        <v>ట్రిప్ ఛార్జ్</v>
      </c>
    </row>
    <row r="1000">
      <c r="A1000" s="4" t="s">
        <v>2427</v>
      </c>
      <c r="B1000" s="5" t="s">
        <v>2428</v>
      </c>
      <c r="C1000" s="6" t="s">
        <v>2429</v>
      </c>
      <c r="D1000" s="6" t="str">
        <f>IFERROR(__xludf.DUMMYFUNCTION("GOOGLETRANSLATE(B1000, ""en"", ""hi"")"),"{vehicleName} अपनी अधिकतम अनुमत यात्रा दूरी से अधिक दूरी तय कर चुका है। कृपया कोई दूसरा वाहन चुनें या यात्रा दूरी कम करें।")</f>
        <v>{vehicleName} अपनी अधिकतम अनुमत यात्रा दूरी से अधिक दूरी तय कर चुका है। कृपया कोई दूसरा वाहन चुनें या यात्रा दूरी कम करें।</v>
      </c>
      <c r="E1000" s="6" t="str">
        <f>IFERROR(__xludf.DUMMYFUNCTION("GOOGLETRANSLATE(B1000, ""en"", ""kn"")"),"{vehicleName} ವಾಹನವು ಅನುಮತಿಸಲಾದ ಗರಿಷ್ಠ ಪ್ರಯಾಣದ ದೂರವನ್ನು ಮೀರಿದೆ. ದಯವಿಟ್ಟು ಬೇರೆ ವಾಹನವನ್ನು ಆಯ್ಕೆಮಾಡಿ ಅಥವಾ ಪ್ರಯಾಣದ ದೂರವನ್ನು ಕಡಿಮೆ ಮಾಡಿ.")</f>
        <v>{vehicleName} ವಾಹನವು ಅನುಮತಿಸಲಾದ ಗರಿಷ್ಠ ಪ್ರಯಾಣದ ದೂರವನ್ನು ಮೀರಿದೆ. ದಯವಿಟ್ಟು ಬೇರೆ ವಾಹನವನ್ನು ಆಯ್ಕೆಮಾಡಿ ಅಥವಾ ಪ್ರಯಾಣದ ದೂರವನ್ನು ಕಡಿಮೆ ಮಾಡಿ.</v>
      </c>
      <c r="F1000" s="7" t="str">
        <f>IFERROR(__xludf.DUMMYFUNCTION("GOOGLETRANSLATE(B1000, ""en"", ""ml"")"),"{vehicleName} അനുവദനീയമായ പരമാവധി യാത്രാ ദൂരം കവിയുന്നു. ദയവായി മറ്റൊരു വാഹനം തിരഞ്ഞെടുക്കുകയോ യാത്രാ ദൂരം കുറയ്ക്കുകയോ ചെയ്യുക.")</f>
        <v>{vehicleName} അനുവദനീയമായ പരമാവധി യാത്രാ ദൂരം കവിയുന്നു. ദയവായി മറ്റൊരു വാഹനം തിരഞ്ഞെടുക്കുകയോ യാത്രാ ദൂരം കുറയ്ക്കുകയോ ചെയ്യുക.</v>
      </c>
      <c r="G1000" s="7" t="str">
        <f>IFERROR(__xludf.DUMMYFUNCTION("GOOGLETRANSLATE(B1000, ""en"", ""te"")"),"{vehicleName} దాని గరిష్ట ప్రయాణ దూరాన్ని మించిపోయింది. దయచేసి వేరే వాహనాన్ని ఎంచుకోండి లేదా ప్రయాణ దూరాన్ని తగ్గించండి.")</f>
        <v>{vehicleName} దాని గరిష్ట ప్రయాణ దూరాన్ని మించిపోయింది. దయచేసి వేరే వాహనాన్ని ఎంచుకోండి లేదా ప్రయాణ దూరాన్ని తగ్గించండి.</v>
      </c>
    </row>
    <row r="1001">
      <c r="A1001" s="4" t="s">
        <v>2430</v>
      </c>
      <c r="B1001" s="5" t="s">
        <v>2431</v>
      </c>
      <c r="C1001" s="6" t="s">
        <v>2432</v>
      </c>
      <c r="D1001" s="6" t="str">
        <f>IFERROR(__xludf.DUMMYFUNCTION("GOOGLETRANSLATE(B1001, ""en"", ""hi"")"),"यात्रा की दूरी सीमा से अधिक हो गई")</f>
        <v>यात्रा की दूरी सीमा से अधिक हो गई</v>
      </c>
      <c r="E1001" s="6" t="str">
        <f>IFERROR(__xludf.DUMMYFUNCTION("GOOGLETRANSLATE(B1001, ""en"", ""kn"")"),"ಪ್ರಯಾಣದ ದೂರ ಮೀರಿದೆ")</f>
        <v>ಪ್ರಯಾಣದ ದೂರ ಮೀರಿದೆ</v>
      </c>
      <c r="F1001" s="7" t="str">
        <f>IFERROR(__xludf.DUMMYFUNCTION("GOOGLETRANSLATE(B1001, ""en"", ""ml"")"),"യാത്രാ ദൂരം കവിഞ്ഞു")</f>
        <v>യാത്രാ ദൂരം കവിഞ്ഞു</v>
      </c>
      <c r="G1001" s="7" t="str">
        <f>IFERROR(__xludf.DUMMYFUNCTION("GOOGLETRANSLATE(B1001, ""en"", ""te"")"),"ప్రయాణ దూరం మించిపోయింది")</f>
        <v>ప్రయాణ దూరం మించిపోయింది</v>
      </c>
    </row>
    <row r="1002">
      <c r="A1002" s="4" t="s">
        <v>2433</v>
      </c>
      <c r="B1002" s="5" t="s">
        <v>2434</v>
      </c>
      <c r="C1002" s="6" t="s">
        <v>2435</v>
      </c>
      <c r="D1002" s="6" t="str">
        <f>IFERROR(__xludf.DUMMYFUNCTION("GOOGLETRANSLATE(B1002, ""en"", ""hi"")"),"{vehicleName} की अधिकतम दूरी {maxKm} किमी है। कृपया कोई दूसरा वाहन चुनें या {maxKm} किमी से कम की यात्रा की योजना बनाएं।")</f>
        <v>{vehicleName} की अधिकतम दूरी {maxKm} किमी है। कृपया कोई दूसरा वाहन चुनें या {maxKm} किमी से कम की यात्रा की योजना बनाएं।</v>
      </c>
      <c r="E1002" s="6" t="str">
        <f>IFERROR(__xludf.DUMMYFUNCTION("GOOGLETRANSLATE(B1002, ""en"", ""kn"")"),"{vehicleName} ಗರಿಷ್ಠ ದೂರ {maxKm} ಕಿ.ಮೀ. ದಯವಿಟ್ಟು ಬೇರೆ ವಾಹನವನ್ನು ಆಯ್ಕೆಮಾಡಿ ಅಥವಾ {maxKm} ಕಿ.ಮೀ.ಗಿಂತ ಕಡಿಮೆ ಪ್ರಯಾಣವನ್ನು ಯೋಜಿಸಿ.")</f>
        <v>{vehicleName} ಗರಿಷ್ಠ ದೂರ {maxKm} ಕಿ.ಮೀ. ದಯವಿಟ್ಟು ಬೇರೆ ವಾಹನವನ್ನು ಆಯ್ಕೆಮಾಡಿ ಅಥವಾ {maxKm} ಕಿ.ಮೀ.ಗಿಂತ ಕಡಿಮೆ ಪ್ರಯಾಣವನ್ನು ಯೋಜಿಸಿ.</v>
      </c>
      <c r="F1002" s="7" t="str">
        <f>IFERROR(__xludf.DUMMYFUNCTION("GOOGLETRANSLATE(B1002, ""en"", ""ml"")"),"{vehicleName} പരമാവധി ദൂരം {maxKm} കിലോമീറ്ററാണ്. മറ്റൊരു വാഹനം തിരഞ്ഞെടുക്കുകയോ {maxKm} കിലോമീറ്ററിൽ താഴെയുള്ള യാത്ര പ്ലാൻ ചെയ്യുകയോ ചെയ്യുക.")</f>
        <v>{vehicleName} പരമാവധി ദൂരം {maxKm} കിലോമീറ്ററാണ്. മറ്റൊരു വാഹനം തിരഞ്ഞെടുക്കുകയോ {maxKm} കിലോമീറ്ററിൽ താഴെയുള്ള യാത്ര പ്ലാൻ ചെയ്യുകയോ ചെയ്യുക.</v>
      </c>
      <c r="G1002" s="7" t="str">
        <f>IFERROR(__xludf.DUMMYFUNCTION("GOOGLETRANSLATE(B1002, ""en"", ""te"")"),"{vehicleName} గరిష్ట దూరం {maxKm} కి.మీ. దయచేసి వేరే వాహనాన్ని ఎంచుకోండి లేదా {maxKm} కి.మీ కంటే తక్కువ దూరం ప్రయాణించడానికి ప్లాన్ చేయండి.")</f>
        <v>{vehicleName} గరిష్ట దూరం {maxKm} కి.మీ. దయచేసి వేరే వాహనాన్ని ఎంచుకోండి లేదా {maxKm} కి.మీ కంటే తక్కువ దూరం ప్రయాణించడానికి ప్లాన్ చేయండి.</v>
      </c>
    </row>
    <row r="1003">
      <c r="A1003" s="4" t="s">
        <v>2436</v>
      </c>
      <c r="B1003" s="5" t="s">
        <v>2437</v>
      </c>
      <c r="C1003" s="6" t="s">
        <v>2438</v>
      </c>
      <c r="D1003" s="6" t="str">
        <f>IFERROR(__xludf.DUMMYFUNCTION("GOOGLETRANSLATE(B1003, ""en"", ""hi"")"),"यात्रा की दूरी बहुत कम है। न्यूनतम अनुमत दूरी {minDistance} मीटर है।")</f>
        <v>यात्रा की दूरी बहुत कम है। न्यूनतम अनुमत दूरी {minDistance} मीटर है।</v>
      </c>
      <c r="E1003" s="6" t="str">
        <f>IFERROR(__xludf.DUMMYFUNCTION("GOOGLETRANSLATE(B1003, ""en"", ""kn"")"),"ಪ್ರಯಾಣದ ದೂರ ತುಂಬಾ ಕಡಿಮೆ. ಅನುಮತಿಸಲಾದ ಕನಿಷ್ಠ ದೂರ {minDistance} ಮೀಟರ್‌ಗಳು.")</f>
        <v>ಪ್ರಯಾಣದ ದೂರ ತುಂಬಾ ಕಡಿಮೆ. ಅನುಮತಿಸಲಾದ ಕನಿಷ್ಠ ದೂರ {minDistance} ಮೀಟರ್‌ಗಳು.</v>
      </c>
      <c r="F1003" s="7" t="str">
        <f>IFERROR(__xludf.DUMMYFUNCTION("GOOGLETRANSLATE(B1003, ""en"", ""ml"")"),"യാത്രാ ദൂരം വളരെ കുറവാണ്. അനുവദനീയമായ ഏറ്റവും കുറഞ്ഞ ദൂരം {minDistance} മീറ്ററാണ്.")</f>
        <v>യാത്രാ ദൂരം വളരെ കുറവാണ്. അനുവദനീയമായ ഏറ്റവും കുറഞ്ഞ ദൂരം {minDistance} മീറ്ററാണ്.</v>
      </c>
      <c r="G1003" s="7" t="str">
        <f>IFERROR(__xludf.DUMMYFUNCTION("GOOGLETRANSLATE(B1003, ""en"", ""te"")"),"ప్రయాణ దూరం చాలా తక్కువ. అనుమతించబడిన కనీస దూరం {minDistance} మీటర్లు.")</f>
        <v>ప్రయాణ దూరం చాలా తక్కువ. అనుమతించబడిన కనీస దూరం {minDistance} మీటర్లు.</v>
      </c>
    </row>
    <row r="1004">
      <c r="A1004" s="4" t="s">
        <v>2439</v>
      </c>
      <c r="B1004" s="5" t="s">
        <v>2440</v>
      </c>
      <c r="C1004" s="6" t="s">
        <v>2441</v>
      </c>
      <c r="D1004" s="6" t="str">
        <f>IFERROR(__xludf.DUMMYFUNCTION("GOOGLETRANSLATE(B1004, ""en"", ""hi"")"),"यात्रा की दूरी बहुत कम है")</f>
        <v>यात्रा की दूरी बहुत कम है</v>
      </c>
      <c r="E1004" s="6" t="str">
        <f>IFERROR(__xludf.DUMMYFUNCTION("GOOGLETRANSLATE(B1004, ""en"", ""kn"")"),"ಪ್ರಯಾಣದ ದೂರ ತುಂಬಾ ಕಡಿಮೆ")</f>
        <v>ಪ್ರಯಾಣದ ದೂರ ತುಂಬಾ ಕಡಿಮೆ</v>
      </c>
      <c r="F1004" s="7" t="str">
        <f>IFERROR(__xludf.DUMMYFUNCTION("GOOGLETRANSLATE(B1004, ""en"", ""ml"")"),"യാത്രാ ദൂരം വളരെ കുറവാണ്")</f>
        <v>യാത്രാ ദൂരം വളരെ കുറവാണ്</v>
      </c>
      <c r="G1004" s="7" t="str">
        <f>IFERROR(__xludf.DUMMYFUNCTION("GOOGLETRANSLATE(B1004, ""en"", ""te"")"),"ప్రయాణ దూరం చాలా తక్కువ")</f>
        <v>ప్రయాణ దూరం చాలా తక్కువ</v>
      </c>
    </row>
    <row r="1005">
      <c r="A1005" s="4" t="s">
        <v>2442</v>
      </c>
      <c r="B1005" s="5" t="s">
        <v>508</v>
      </c>
      <c r="C1005" s="6" t="s">
        <v>2443</v>
      </c>
      <c r="D1005" s="6" t="str">
        <f>IFERROR(__xludf.DUMMYFUNCTION("GOOGLETRANSLATE(B1005, ""en"", ""hi"")"),"सवारी का किराया")</f>
        <v>सवारी का किराया</v>
      </c>
      <c r="E1005" s="6" t="str">
        <f>IFERROR(__xludf.DUMMYFUNCTION("GOOGLETRANSLATE(B1005, ""en"", ""kn"")"),"ಸವಾರಿ ದರ")</f>
        <v>ಸವಾರಿ ದರ</v>
      </c>
      <c r="F1005" s="7" t="str">
        <f>IFERROR(__xludf.DUMMYFUNCTION("GOOGLETRANSLATE(B1005, ""en"", ""ml"")"),"യാത്രാക്കൂലി")</f>
        <v>യാത്രാക്കൂലി</v>
      </c>
      <c r="G1005" s="7" t="str">
        <f>IFERROR(__xludf.DUMMYFUNCTION("GOOGLETRANSLATE(B1005, ""en"", ""te"")"),"రైడ్ ఛార్జీలు")</f>
        <v>రైడ్ ఛార్జీలు</v>
      </c>
    </row>
    <row r="1006">
      <c r="A1006" s="4" t="s">
        <v>2444</v>
      </c>
      <c r="B1006" s="5" t="s">
        <v>2445</v>
      </c>
      <c r="C1006" s="6" t="s">
        <v>2446</v>
      </c>
      <c r="D1006" s="6" t="str">
        <f>IFERROR(__xludf.DUMMYFUNCTION("GOOGLETRANSLATE(B1006, ""en"", ""hi"")"),"यात्रा के लिए")</f>
        <v>यात्रा के लिए</v>
      </c>
      <c r="E1006" s="6" t="str">
        <f>IFERROR(__xludf.DUMMYFUNCTION("GOOGLETRANSLATE(B1006, ""en"", ""kn"")"),"ಪ್ರವಾಸಕ್ಕಾಗಿ")</f>
        <v>ಪ್ರವಾಸಕ್ಕಾಗಿ</v>
      </c>
      <c r="F1006" s="7" t="str">
        <f>IFERROR(__xludf.DUMMYFUNCTION("GOOGLETRANSLATE(B1006, ""en"", ""ml"")"),"യാത്രയ്ക്കുള്ള യാത്ര")</f>
        <v>യാത്രയ്ക്കുള്ള യാത്ര</v>
      </c>
      <c r="G1006" s="7" t="str">
        <f>IFERROR(__xludf.DUMMYFUNCTION("GOOGLETRANSLATE(B1006, ""en"", ""te"")"),"ట్రిప్ ఫర్")</f>
        <v>ట్రిప్ ఫర్</v>
      </c>
    </row>
    <row r="1007">
      <c r="A1007" s="4" t="s">
        <v>2447</v>
      </c>
      <c r="B1007" s="5" t="s">
        <v>2448</v>
      </c>
      <c r="C1007" s="6" t="s">
        <v>2449</v>
      </c>
      <c r="D1007" s="6" t="str">
        <f>IFERROR(__xludf.DUMMYFUNCTION("GOOGLETRANSLATE(B1007, ""en"", ""hi"")"),"यात्रा संबंधी जानकारी")</f>
        <v>यात्रा संबंधी जानकारी</v>
      </c>
      <c r="E1007" s="6" t="str">
        <f>IFERROR(__xludf.DUMMYFUNCTION("GOOGLETRANSLATE(B1007, ""en"", ""kn"")"),"ಪ್ರವಾಸ ಮೆಟಾ ಮಾಹಿತಿ")</f>
        <v>ಪ್ರವಾಸ ಮೆಟಾ ಮಾಹಿತಿ</v>
      </c>
      <c r="F1007" s="7" t="str">
        <f>IFERROR(__xludf.DUMMYFUNCTION("GOOGLETRANSLATE(B1007, ""en"", ""ml"")"),"യാത്രാ മെറ്റാ വിവരങ്ങൾ")</f>
        <v>യാത്രാ മെറ്റാ വിവരങ്ങൾ</v>
      </c>
      <c r="G1007" s="7" t="str">
        <f>IFERROR(__xludf.DUMMYFUNCTION("GOOGLETRANSLATE(B1007, ""en"", ""te"")"),"ట్రిప్ మెటా సమాచారం")</f>
        <v>ట్రిప్ మెటా సమాచారం</v>
      </c>
    </row>
    <row r="1008">
      <c r="A1008" s="4" t="s">
        <v>2450</v>
      </c>
      <c r="B1008" s="5" t="s">
        <v>2451</v>
      </c>
      <c r="C1008" s="6" t="s">
        <v>2452</v>
      </c>
      <c r="D1008" s="6" t="str">
        <f>IFERROR(__xludf.DUMMYFUNCTION("GOOGLETRANSLATE(B1008, ""en"", ""hi"")"),"यात्रा के आँकड़े")</f>
        <v>यात्रा के आँकड़े</v>
      </c>
      <c r="E1008" s="6" t="str">
        <f>IFERROR(__xludf.DUMMYFUNCTION("GOOGLETRANSLATE(B1008, ""en"", ""kn"")"),"ಪ್ರವಾಸದ ಅಂಕಿಅಂಶಗಳು")</f>
        <v>ಪ್ರವಾಸದ ಅಂಕಿಅಂಶಗಳು</v>
      </c>
      <c r="F1008" s="7" t="str">
        <f>IFERROR(__xludf.DUMMYFUNCTION("GOOGLETRANSLATE(B1008, ""en"", ""ml"")"),"യാത്രാ സ്ഥിതിവിവരക്കണക്കുകൾ")</f>
        <v>യാത്രാ സ്ഥിതിവിവരക്കണക്കുകൾ</v>
      </c>
      <c r="G1008" s="7" t="str">
        <f>IFERROR(__xludf.DUMMYFUNCTION("GOOGLETRANSLATE(B1008, ""en"", ""te"")"),"ట్రిప్ గణాంకాలు")</f>
        <v>ట్రిప్ గణాంకాలు</v>
      </c>
    </row>
    <row r="1009">
      <c r="A1009" s="4" t="s">
        <v>2453</v>
      </c>
      <c r="B1009" s="5" t="s">
        <v>2454</v>
      </c>
      <c r="C1009" s="6" t="s">
        <v>2455</v>
      </c>
      <c r="D1009" s="6" t="str">
        <f>IFERROR(__xludf.DUMMYFUNCTION("GOOGLETRANSLATE(B1009, ""en"", ""hi"")"),"यात्रा की स्थिति")</f>
        <v>यात्रा की स्थिति</v>
      </c>
      <c r="E1009" s="6" t="str">
        <f>IFERROR(__xludf.DUMMYFUNCTION("GOOGLETRANSLATE(B1009, ""en"", ""kn"")"),"ಪ್ರವಾಸದ ಸ್ಥಿತಿ")</f>
        <v>ಪ್ರವಾಸದ ಸ್ಥಿತಿ</v>
      </c>
      <c r="F1009" s="7" t="str">
        <f>IFERROR(__xludf.DUMMYFUNCTION("GOOGLETRANSLATE(B1009, ""en"", ""ml"")"),"യാത്രാ നില")</f>
        <v>യാത്രാ നില</v>
      </c>
      <c r="G1009" s="7" t="str">
        <f>IFERROR(__xludf.DUMMYFUNCTION("GOOGLETRANSLATE(B1009, ""en"", ""te"")"),"ట్రిప్ స్థితి")</f>
        <v>ట్రిప్ స్థితి</v>
      </c>
    </row>
    <row r="1010">
      <c r="A1010" s="4" t="s">
        <v>2456</v>
      </c>
      <c r="B1010" s="5" t="s">
        <v>2457</v>
      </c>
      <c r="C1010" s="6" t="s">
        <v>2458</v>
      </c>
      <c r="D1010" s="6" t="str">
        <f>IFERROR(__xludf.DUMMYFUNCTION("GOOGLETRANSLATE(B1010, ""en"", ""hi"")"),"यात्रा बीच रास्ते में ही रुक गई")</f>
        <v>यात्रा बीच रास्ते में ही रुक गई</v>
      </c>
      <c r="E1010" s="6" t="str">
        <f>IFERROR(__xludf.DUMMYFUNCTION("GOOGLETRANSLATE(B1010, ""en"", ""kn"")"),"ಪ್ರಯಾಣ ಅರ್ಧದಲ್ಲೇ ನಿಂತಿತು")</f>
        <v>ಪ್ರಯಾಣ ಅರ್ಧದಲ್ಲೇ ನಿಂತಿತು</v>
      </c>
      <c r="F1010" s="7" t="str">
        <f>IFERROR(__xludf.DUMMYFUNCTION("GOOGLETRANSLATE(B1010, ""en"", ""ml"")"),"യാത്ര പാതിവഴിയിൽ നിർത്തി.")</f>
        <v>യാത്ര പാതിവഴിയിൽ നിർത്തി.</v>
      </c>
      <c r="G1010" s="7" t="str">
        <f>IFERROR(__xludf.DUMMYFUNCTION("GOOGLETRANSLATE(B1010, ""en"", ""te"")"),"ప్రయాణం మధ్యలో ఆగిపోయింది")</f>
        <v>ప్రయాణం మధ్యలో ఆగిపోయింది</v>
      </c>
    </row>
    <row r="1011">
      <c r="A1011" s="4" t="s">
        <v>2459</v>
      </c>
      <c r="B1011" s="5" t="s">
        <v>653</v>
      </c>
      <c r="C1011" s="6" t="s">
        <v>2460</v>
      </c>
      <c r="D1011" s="6" t="str">
        <f>IFERROR(__xludf.DUMMYFUNCTION("GOOGLETRANSLATE(B1011, ""en"", ""hi"")"),"अपने खोज शब्दों को समायोजित करने का प्रयास करें")</f>
        <v>अपने खोज शब्दों को समायोजित करने का प्रयास करें</v>
      </c>
      <c r="E1011" s="6" t="str">
        <f>IFERROR(__xludf.DUMMYFUNCTION("GOOGLETRANSLATE(B1011, ""en"", ""kn"")"),"ನಿಮ್ಮ ಹುಡುಕಾಟ ಪದಗಳನ್ನು ಸರಿಹೊಂದಿಸಲು ಪ್ರಯತ್ನಿಸಿ.")</f>
        <v>ನಿಮ್ಮ ಹುಡುಕಾಟ ಪದಗಳನ್ನು ಸರಿಹೊಂದಿಸಲು ಪ್ರಯತ್ನಿಸಿ.</v>
      </c>
      <c r="F1011" s="7" t="str">
        <f>IFERROR(__xludf.DUMMYFUNCTION("GOOGLETRANSLATE(B1011, ""en"", ""ml"")"),"നിങ്ങളുടെ തിരയൽ പദങ്ങൾ ക്രമീകരിക്കാൻ ശ്രമിക്കുക.")</f>
        <v>നിങ്ങളുടെ തിരയൽ പദങ്ങൾ ക്രമീകരിക്കാൻ ശ്രമിക്കുക.</v>
      </c>
      <c r="G1011" s="7" t="str">
        <f>IFERROR(__xludf.DUMMYFUNCTION("GOOGLETRANSLATE(B1011, ""en"", ""te"")"),"మీ శోధన పదాలను సర్దుబాటు చేయడానికి ప్రయత్నించండి.")</f>
        <v>మీ శోధన పదాలను సర్దుబాటు చేయడానికి ప్రయత్నించండి.</v>
      </c>
    </row>
    <row r="1012">
      <c r="A1012" s="4" t="s">
        <v>2461</v>
      </c>
      <c r="B1012" s="5" t="s">
        <v>2462</v>
      </c>
      <c r="C1012" s="6" t="s">
        <v>2463</v>
      </c>
      <c r="D1012" s="6" t="str">
        <f>IFERROR(__xludf.DUMMYFUNCTION("GOOGLETRANSLATE(B1012, ""en"", ""hi"")"),"कृपया बाद में पुन: प्रयास करें")</f>
        <v>कृपया बाद में पुन: प्रयास करें</v>
      </c>
      <c r="E1012" s="6" t="str">
        <f>IFERROR(__xludf.DUMMYFUNCTION("GOOGLETRANSLATE(B1012, ""en"", ""kn"")"),"ದಯವಿಟ್ಟು ನಂತರ ಮತ್ತೆ ಪ್ರಯತ್ನಿಸಿ.")</f>
        <v>ದಯವಿಟ್ಟು ನಂತರ ಮತ್ತೆ ಪ್ರಯತ್ನಿಸಿ.</v>
      </c>
      <c r="F1012" s="7" t="str">
        <f>IFERROR(__xludf.DUMMYFUNCTION("GOOGLETRANSLATE(B1012, ""en"", ""ml"")"),"ദയവായി പിന്നീട് വീണ്ടും ശ്രമിക്കുക.")</f>
        <v>ദയവായി പിന്നീട് വീണ്ടും ശ്രമിക്കുക.</v>
      </c>
      <c r="G1012" s="7" t="str">
        <f>IFERROR(__xludf.DUMMYFUNCTION("GOOGLETRANSLATE(B1012, ""en"", ""te"")"),"దయచేసి తర్వాత మళ్ళీ ప్రయత్నించండి.")</f>
        <v>దయచేసి తర్వాత మళ్ళీ ప్రయత్నించండి.</v>
      </c>
    </row>
    <row r="1013">
      <c r="A1013" s="4" t="s">
        <v>2464</v>
      </c>
      <c r="B1013" s="5" t="s">
        <v>2465</v>
      </c>
      <c r="C1013" s="6" t="s">
        <v>2466</v>
      </c>
      <c r="D1013" s="6" t="str">
        <f>IFERROR(__xludf.DUMMYFUNCTION("GOOGLETRANSLATE(B1013, ""en"", ""hi"")"),"कोई दूसरा नाम या नंबर आज़माएँ")</f>
        <v>कोई दूसरा नाम या नंबर आज़माएँ</v>
      </c>
      <c r="E1013" s="6" t="str">
        <f>IFERROR(__xludf.DUMMYFUNCTION("GOOGLETRANSLATE(B1013, ""en"", ""kn"")"),"ಬೇರೆ ಹೆಸರು ಅಥವಾ ಸಂಖ್ಯೆಯನ್ನು ಪ್ರಯತ್ನಿಸಿ")</f>
        <v>ಬೇರೆ ಹೆಸರು ಅಥವಾ ಸಂಖ್ಯೆಯನ್ನು ಪ್ರಯತ್ನಿಸಿ</v>
      </c>
      <c r="F1013" s="7" t="str">
        <f>IFERROR(__xludf.DUMMYFUNCTION("GOOGLETRANSLATE(B1013, ""en"", ""ml"")"),"മറ്റൊരു പേരോ നമ്പറോ പരീക്ഷിക്കൂ")</f>
        <v>മറ്റൊരു പേരോ നമ്പറോ പരീക്ഷിക്കൂ</v>
      </c>
      <c r="G1013" s="7" t="str">
        <f>IFERROR(__xludf.DUMMYFUNCTION("GOOGLETRANSLATE(B1013, ""en"", ""te"")"),"వేరే పేరు లేదా నంబర్‌ను ప్రయత్నించండి")</f>
        <v>వేరే పేరు లేదా నంబర్‌ను ప్రయత్నించండి</v>
      </c>
    </row>
    <row r="1014">
      <c r="A1014" s="4" t="s">
        <v>2467</v>
      </c>
      <c r="B1014" s="5" t="s">
        <v>2468</v>
      </c>
      <c r="C1014" s="6" t="s">
        <v>2469</v>
      </c>
      <c r="D1014" s="6" t="str">
        <f>IFERROR(__xludf.DUMMYFUNCTION("GOOGLETRANSLATE(B1014, ""en"", ""hi"")"),"अपना संदेश टाइप करें...")</f>
        <v>अपना संदेश टाइप करें...</v>
      </c>
      <c r="E1014" s="6" t="str">
        <f>IFERROR(__xludf.DUMMYFUNCTION("GOOGLETRANSLATE(B1014, ""en"", ""kn"")"),"ನಿಮ್ಮ ಸಂದೇಶವನ್ನು ಟೈಪ್ ಮಾಡಿ...")</f>
        <v>ನಿಮ್ಮ ಸಂದೇಶವನ್ನು ಟೈಪ್ ಮಾಡಿ...</v>
      </c>
      <c r="F1014" s="7" t="str">
        <f>IFERROR(__xludf.DUMMYFUNCTION("GOOGLETRANSLATE(B1014, ""en"", ""ml"")"),"നിങ്ങളുടെ സന്ദേശം ടൈപ്പ് ചെയ്യുക...")</f>
        <v>നിങ്ങളുടെ സന്ദേശം ടൈപ്പ് ചെയ്യുക...</v>
      </c>
      <c r="G1014" s="7" t="str">
        <f>IFERROR(__xludf.DUMMYFUNCTION("GOOGLETRANSLATE(B1014, ""en"", ""te"")"),"మీ సందేశాన్ని టైప్ చేయండి...")</f>
        <v>మీ సందేశాన్ని టైప్ చేయండి...</v>
      </c>
    </row>
    <row r="1015">
      <c r="A1015" s="4" t="s">
        <v>2470</v>
      </c>
      <c r="B1015" s="5" t="s">
        <v>2471</v>
      </c>
      <c r="C1015" s="6" t="s">
        <v>2472</v>
      </c>
      <c r="D1015" s="6" t="str">
        <f>IFERROR(__xludf.DUMMYFUNCTION("GOOGLETRANSLATE(B1015, ""en"", ""hi"")"),"फिलहाल ड्राइवर उपलब्ध नहीं है। कृपया पुनः प्रयास करें।")</f>
        <v>फिलहाल ड्राइवर उपलब्ध नहीं है। कृपया पुनः प्रयास करें।</v>
      </c>
      <c r="E1015" s="6" t="str">
        <f>IFERROR(__xludf.DUMMYFUNCTION("GOOGLETRANSLATE(B1015, ""en"", ""kn"")"),"ಈ ಸಮಯದಲ್ಲಿ ಚಾಲಕನನ್ನು ಹುಡುಕಲು ಸಾಧ್ಯವಾಗುತ್ತಿಲ್ಲ. ದಯವಿಟ್ಟು ಮತ್ತೆ ಪ್ರಯತ್ನಿಸಿ.")</f>
        <v>ಈ ಸಮಯದಲ್ಲಿ ಚಾಲಕನನ್ನು ಹುಡುಕಲು ಸಾಧ್ಯವಾಗುತ್ತಿಲ್ಲ. ದಯವಿಟ್ಟು ಮತ್ತೆ ಪ್ರಯತ್ನಿಸಿ.</v>
      </c>
      <c r="F1015" s="7" t="str">
        <f>IFERROR(__xludf.DUMMYFUNCTION("GOOGLETRANSLATE(B1015, ""en"", ""ml"")"),"ഇപ്പോൾ ഡ്രൈവറെ കണ്ടെത്താനായില്ല. വീണ്ടും ശ്രമിക്കുക.")</f>
        <v>ഇപ്പോൾ ഡ്രൈവറെ കണ്ടെത്താനായില്ല. വീണ്ടും ശ്രമിക്കുക.</v>
      </c>
      <c r="G1015" s="7" t="str">
        <f>IFERROR(__xludf.DUMMYFUNCTION("GOOGLETRANSLATE(B1015, ""en"", ""te"")"),"ప్రస్తుతానికి డ్రైవర్ దొరకలేదు. దయచేసి మళ్ళీ ప్రయత్నించండి.")</f>
        <v>ప్రస్తుతానికి డ్రైవర్ దొరకలేదు. దయచేసి మళ్ళీ ప్రయత్నించండి.</v>
      </c>
    </row>
    <row r="1016">
      <c r="A1016" s="4" t="s">
        <v>2473</v>
      </c>
      <c r="B1016" s="5" t="s">
        <v>2474</v>
      </c>
      <c r="C1016" s="6" t="s">
        <v>2475</v>
      </c>
      <c r="D1016" s="6" t="str">
        <f>IFERROR(__xludf.DUMMYFUNCTION("GOOGLETRANSLATE(B1016, ""en"", ""hi"")"),"एक अप्रत्याशित त्रुटि उत्पन्न हुई। कृपया पुनः प्रयास करें।")</f>
        <v>एक अप्रत्याशित त्रुटि उत्पन्न हुई। कृपया पुनः प्रयास करें।</v>
      </c>
      <c r="E1016" s="6" t="str">
        <f>IFERROR(__xludf.DUMMYFUNCTION("GOOGLETRANSLATE(B1016, ""en"", ""kn"")"),"ಅನಿರೀಕ್ಷಿತ ದೋಷ ಸಂಭವಿಸಿದೆ. ದಯವಿಟ್ಟು ಮತ್ತೆ ಪ್ರಯತ್ನಿಸಿ.")</f>
        <v>ಅನಿರೀಕ್ಷಿತ ದೋಷ ಸಂಭವಿಸಿದೆ. ದಯವಿಟ್ಟು ಮತ್ತೆ ಪ್ರಯತ್ನಿಸಿ.</v>
      </c>
      <c r="F1016" s="7" t="str">
        <f>IFERROR(__xludf.DUMMYFUNCTION("GOOGLETRANSLATE(B1016, ""en"", ""ml"")"),"ഒരു അപ്രതീക്ഷിത പിശക് സംഭവിച്ചു. വീണ്ടും ശ്രമിക്കുക.")</f>
        <v>ഒരു അപ്രതീക്ഷിത പിശക് സംഭവിച്ചു. വീണ്ടും ശ്രമിക്കുക.</v>
      </c>
      <c r="G1016" s="7" t="str">
        <f>IFERROR(__xludf.DUMMYFUNCTION("GOOGLETRANSLATE(B1016, ""en"", ""te"")"),"ఊహించని లోపం సంభవించింది. దయచేసి మళ్ళీ ప్రయత్నించండి.")</f>
        <v>ఊహించని లోపం సంభవించింది. దయచేసి మళ్ళీ ప్రయత్నించండి.</v>
      </c>
    </row>
    <row r="1017">
      <c r="A1017" s="4" t="s">
        <v>2476</v>
      </c>
      <c r="B1017" s="5" t="s">
        <v>2477</v>
      </c>
      <c r="C1017" s="6" t="s">
        <v>2478</v>
      </c>
      <c r="D1017" s="6" t="str">
        <f>IFERROR(__xludf.DUMMYFUNCTION("GOOGLETRANSLATE(B1017, ""en"", ""hi"")"),"अप्रत्याशित मार्ग या वैकल्पिक मार्ग")</f>
        <v>अप्रत्याशित मार्ग या वैकल्पिक मार्ग</v>
      </c>
      <c r="E1017" s="6" t="str">
        <f>IFERROR(__xludf.DUMMYFUNCTION("GOOGLETRANSLATE(B1017, ""en"", ""kn"")"),"ಅನಿರೀಕ್ಷಿತ ಮಾರ್ಗ ಅಥವಾ ಪರ್ಯಾಯ ಮಾರ್ಗ")</f>
        <v>ಅನಿರೀಕ್ಷಿತ ಮಾರ್ಗ ಅಥವಾ ಪರ್ಯಾಯ ಮಾರ್ಗ</v>
      </c>
      <c r="F1017" s="7" t="str">
        <f>IFERROR(__xludf.DUMMYFUNCTION("GOOGLETRANSLATE(B1017, ""en"", ""ml"")"),"അപ്രതീക്ഷിത വഴി അല്ലെങ്കിൽ വഴിമാറിപോക്ക്")</f>
        <v>അപ്രതീക്ഷിത വഴി അല്ലെങ്കിൽ വഴിമാറിപോക്ക്</v>
      </c>
      <c r="G1017" s="7" t="str">
        <f>IFERROR(__xludf.DUMMYFUNCTION("GOOGLETRANSLATE(B1017, ""en"", ""te"")"),"ఊహించని మార్గం లేదా మళ్లింపు")</f>
        <v>ఊహించని మార్గం లేదా మళ్లింపు</v>
      </c>
    </row>
    <row r="1018">
      <c r="A1018" s="4" t="s">
        <v>2479</v>
      </c>
      <c r="B1018" s="5" t="s">
        <v>2480</v>
      </c>
      <c r="C1018" s="6" t="s">
        <v>2481</v>
      </c>
      <c r="D1018" s="6" t="str">
        <f>IFERROR(__xludf.DUMMYFUNCTION("GOOGLETRANSLATE(B1018, ""en"", ""hi"")"),"अज्ञात पता")</f>
        <v>अज्ञात पता</v>
      </c>
      <c r="E1018" s="6" t="str">
        <f>IFERROR(__xludf.DUMMYFUNCTION("GOOGLETRANSLATE(B1018, ""en"", ""kn"")"),"ಅಪರಿಚಿತ ವಿಳಾಸ")</f>
        <v>ಅಪರಿಚಿತ ವಿಳಾಸ</v>
      </c>
      <c r="F1018" s="7" t="str">
        <f>IFERROR(__xludf.DUMMYFUNCTION("GOOGLETRANSLATE(B1018, ""en"", ""ml"")"),"അജ്ഞാത വിലാസം")</f>
        <v>അജ്ഞാത വിലാസം</v>
      </c>
      <c r="G1018" s="7" t="str">
        <f>IFERROR(__xludf.DUMMYFUNCTION("GOOGLETRANSLATE(B1018, ""en"", ""te"")"),"తెలియని చిరునామా")</f>
        <v>తెలియని చిరునామా</v>
      </c>
    </row>
    <row r="1019">
      <c r="A1019" s="4" t="s">
        <v>2482</v>
      </c>
      <c r="B1019" s="5" t="s">
        <v>2483</v>
      </c>
      <c r="C1019" s="6" t="s">
        <v>2484</v>
      </c>
      <c r="D1019" s="6" t="str">
        <f>IFERROR(__xludf.DUMMYFUNCTION("GOOGLETRANSLATE(B1019, ""en"", ""hi"")"),"आगामी राइड्स")</f>
        <v>आगामी राइड्स</v>
      </c>
      <c r="E1019" s="6" t="str">
        <f>IFERROR(__xludf.DUMMYFUNCTION("GOOGLETRANSLATE(B1019, ""en"", ""kn"")"),"ಮುಂಬರುವ ಸವಾರಿಗಳು")</f>
        <v>ಮುಂಬರುವ ಸವಾರಿಗಳು</v>
      </c>
      <c r="F1019" s="7" t="str">
        <f>IFERROR(__xludf.DUMMYFUNCTION("GOOGLETRANSLATE(B1019, ""en"", ""ml"")"),"വരാനിരിക്കുന്ന റൈഡുകൾ")</f>
        <v>വരാനിരിക്കുന്ന റൈഡുകൾ</v>
      </c>
      <c r="G1019" s="7" t="str">
        <f>IFERROR(__xludf.DUMMYFUNCTION("GOOGLETRANSLATE(B1019, ""en"", ""te"")"),"రాబోయే రైడ్‌లు")</f>
        <v>రాబోయే రైడ్‌లు</v>
      </c>
    </row>
    <row r="1020">
      <c r="A1020" s="4" t="s">
        <v>2485</v>
      </c>
      <c r="B1020" s="5" t="s">
        <v>2486</v>
      </c>
      <c r="C1020" s="6" t="s">
        <v>2487</v>
      </c>
      <c r="D1020" s="6" t="str">
        <f>IFERROR(__xludf.DUMMYFUNCTION("GOOGLETRANSLATE(B1020, ""en"", ""hi"")"),"स्थान अपडेट करें")</f>
        <v>स्थान अपडेट करें</v>
      </c>
      <c r="E1020" s="6" t="str">
        <f>IFERROR(__xludf.DUMMYFUNCTION("GOOGLETRANSLATE(B1020, ""en"", ""kn"")"),"ಸ್ಥಳವನ್ನು ನವೀಕರಿಸಿ")</f>
        <v>ಸ್ಥಳವನ್ನು ನವೀಕರಿಸಿ</v>
      </c>
      <c r="F1020" s="7" t="str">
        <f>IFERROR(__xludf.DUMMYFUNCTION("GOOGLETRANSLATE(B1020, ""en"", ""ml"")"),"സ്ഥലം അപ്ഡേറ്റ് ചെയ്യുക")</f>
        <v>സ്ഥലം അപ്ഡേറ്റ് ചെയ്യുക</v>
      </c>
      <c r="G1020" s="7" t="str">
        <f>IFERROR(__xludf.DUMMYFUNCTION("GOOGLETRANSLATE(B1020, ""en"", ""te"")"),"స్థలాన్ని నవీకరించండి")</f>
        <v>స్థలాన్ని నవీకరించండి</v>
      </c>
    </row>
    <row r="1021">
      <c r="A1021" s="4" t="s">
        <v>2488</v>
      </c>
      <c r="B1021" s="5" t="s">
        <v>2489</v>
      </c>
      <c r="C1021" s="6" t="s">
        <v>2490</v>
      </c>
      <c r="D1021" s="6" t="str">
        <f>IFERROR(__xludf.DUMMYFUNCTION("GOOGLETRANSLATE(B1021, ""en"", ""hi"")"),"किराया विवरण अपडेट किया गया")</f>
        <v>किराया विवरण अपडेट किया गया</v>
      </c>
      <c r="E1021" s="6" t="str">
        <f>IFERROR(__xludf.DUMMYFUNCTION("GOOGLETRANSLATE(B1021, ""en"", ""kn"")"),"ನವೀಕರಿಸಿದ ದರ ವಿವರಗಳು")</f>
        <v>ನವೀಕರಿಸಿದ ದರ ವಿವರಗಳು</v>
      </c>
      <c r="F1021" s="7" t="str">
        <f>IFERROR(__xludf.DUMMYFUNCTION("GOOGLETRANSLATE(B1021, ""en"", ""ml"")"),"പുതുക്കിയ യാത്രാനിരക്ക് വിശദാംശങ്ങൾ")</f>
        <v>പുതുക്കിയ യാത്രാനിരക്ക് വിശദാംശങ്ങൾ</v>
      </c>
      <c r="G1021" s="7" t="str">
        <f>IFERROR(__xludf.DUMMYFUNCTION("GOOGLETRANSLATE(B1021, ""en"", ""te"")"),"నవీకరించబడిన ఛార్జీ వివరాలు")</f>
        <v>నవీకరించబడిన ఛార్జీ వివరాలు</v>
      </c>
    </row>
    <row r="1022">
      <c r="A1022" s="4" t="s">
        <v>2491</v>
      </c>
      <c r="B1022" s="5" t="s">
        <v>2492</v>
      </c>
      <c r="C1022" s="6" t="str">
        <f>IFERROR(__xludf.DUMMYFUNCTION("GOOGLETRANSLATE(B1022, ""en"", ""ta"")"),"வெற்றிகரமாகப் புதுப்பிக்கப்பட்டது")</f>
        <v>வெற்றிகரமாகப் புதுப்பிக்கப்பட்டது</v>
      </c>
      <c r="D1022" s="6" t="str">
        <f>IFERROR(__xludf.DUMMYFUNCTION("GOOGLETRANSLATE(B1022, ""en"", ""hi"")"),"सफलतापूर्वक अपडेट किया गया")</f>
        <v>सफलतापूर्वक अपडेट किया गया</v>
      </c>
      <c r="E1022" s="6" t="str">
        <f>IFERROR(__xludf.DUMMYFUNCTION("GOOGLETRANSLATE(B1022, ""en"", ""kn"")"),"ಯಶಸ್ವಿಯಾಗಿ ನವೀಕರಿಸಲಾಗಿದೆ")</f>
        <v>ಯಶಸ್ವಿಯಾಗಿ ನವೀಕರಿಸಲಾಗಿದೆ</v>
      </c>
      <c r="F1022" s="7" t="str">
        <f>IFERROR(__xludf.DUMMYFUNCTION("GOOGLETRANSLATE(B1022, ""en"", ""ml"")"),"വിജയകരമായി അപ്‌ഡേറ്റ് ചെയ്‌തു")</f>
        <v>വിജയകരമായി അപ്‌ഡേറ്റ് ചെയ്‌തു</v>
      </c>
      <c r="G1022" s="7" t="str">
        <f>IFERROR(__xludf.DUMMYFUNCTION("GOOGLETRANSLATE(B1022, ""en"", ""te"")"),"విజయవంతంగా నవీకరించబడింది")</f>
        <v>విజయవంతంగా నవీకరించబడింది</v>
      </c>
    </row>
    <row r="1023">
      <c r="A1023" s="4" t="s">
        <v>2493</v>
      </c>
      <c r="B1023" s="5" t="s">
        <v>2494</v>
      </c>
      <c r="C1023" s="6" t="s">
        <v>2494</v>
      </c>
      <c r="D1023" s="6" t="str">
        <f>IFERROR(__xludf.DUMMYFUNCTION("GOOGLETRANSLATE(B1023, ""en"", ""hi"")"),"है मैं")</f>
        <v>है मैं</v>
      </c>
      <c r="E1023" s="6" t="str">
        <f>IFERROR(__xludf.DUMMYFUNCTION("GOOGLETRANSLATE(B1023, ""en"", ""kn"")"),"ಯುಪಿಐ")</f>
        <v>ಯುಪಿಐ</v>
      </c>
      <c r="F1023" s="7" t="str">
        <f>IFERROR(__xludf.DUMMYFUNCTION("GOOGLETRANSLATE(B1023, ""en"", ""ml"")"),"യുപിഐ")</f>
        <v>യുപിഐ</v>
      </c>
      <c r="G1023" s="7" t="str">
        <f>IFERROR(__xludf.DUMMYFUNCTION("GOOGLETRANSLATE(B1023, ""en"", ""te"")"),"యుపిఐ")</f>
        <v>యుపిఐ</v>
      </c>
    </row>
    <row r="1024">
      <c r="A1024" s="4" t="s">
        <v>2495</v>
      </c>
      <c r="B1024" s="5" t="s">
        <v>2496</v>
      </c>
      <c r="C1024" s="6" t="s">
        <v>2497</v>
      </c>
      <c r="D1024" s="6" t="str">
        <f>IFERROR(__xludf.DUMMYFUNCTION("GOOGLETRANSLATE(B1024, ""en"", ""hi"")"),"उपयोगकर्ता विवरण")</f>
        <v>उपयोगकर्ता विवरण</v>
      </c>
      <c r="E1024" s="6" t="str">
        <f>IFERROR(__xludf.DUMMYFUNCTION("GOOGLETRANSLATE(B1024, ""en"", ""kn"")"),"ಬಳಕೆದಾರರ ವಿವರಗಳು")</f>
        <v>ಬಳಕೆದಾರರ ವಿವರಗಳು</v>
      </c>
      <c r="F1024" s="7" t="str">
        <f>IFERROR(__xludf.DUMMYFUNCTION("GOOGLETRANSLATE(B1024, ""en"", ""ml"")"),"ഉപയോക്തൃ വിശദാംശങ്ങൾ")</f>
        <v>ഉപയോക്തൃ വിശദാംശങ്ങൾ</v>
      </c>
      <c r="G1024" s="7" t="str">
        <f>IFERROR(__xludf.DUMMYFUNCTION("GOOGLETRANSLATE(B1024, ""en"", ""te"")"),"వినియోగదారు వివరాలు")</f>
        <v>వినియోగదారు వివరాలు</v>
      </c>
    </row>
    <row r="1025">
      <c r="A1025" s="4" t="s">
        <v>2498</v>
      </c>
      <c r="B1025" s="5" t="s">
        <v>2499</v>
      </c>
      <c r="C1025" s="6" t="s">
        <v>2500</v>
      </c>
      <c r="D1025" s="6" t="str">
        <f>IFERROR(__xludf.DUMMYFUNCTION("GOOGLETRANSLATE(B1025, ""en"", ""hi"")"),"उपयोगकर्ता विवरण उपलब्ध नहीं हैं")</f>
        <v>उपयोगकर्ता विवरण उपलब्ध नहीं हैं</v>
      </c>
      <c r="E1025" s="6" t="str">
        <f>IFERROR(__xludf.DUMMYFUNCTION("GOOGLETRANSLATE(B1025, ""en"", ""kn"")"),"ಬಳಕೆದಾರರ ವಿವರಗಳು ಲಭ್ಯವಿಲ್ಲ.")</f>
        <v>ಬಳಕೆದಾರರ ವಿವರಗಳು ಲಭ್ಯವಿಲ್ಲ.</v>
      </c>
      <c r="F1025" s="7" t="str">
        <f>IFERROR(__xludf.DUMMYFUNCTION("GOOGLETRANSLATE(B1025, ""en"", ""ml"")"),"ഉപയോക്തൃ വിശദാംശങ്ങൾ ലഭ്യമല്ല.")</f>
        <v>ഉപയോക്തൃ വിശദാംശങ്ങൾ ലഭ്യമല്ല.</v>
      </c>
      <c r="G1025" s="7" t="str">
        <f>IFERROR(__xludf.DUMMYFUNCTION("GOOGLETRANSLATE(B1025, ""en"", ""te"")"),"వినియోగదారు వివరాలు అందుబాటులో లేవు")</f>
        <v>వినియోగదారు వివరాలు అందుబాటులో లేవు</v>
      </c>
    </row>
    <row r="1026">
      <c r="A1026" s="4" t="s">
        <v>2501</v>
      </c>
      <c r="B1026" s="5" t="s">
        <v>2502</v>
      </c>
      <c r="C1026" s="6" t="s">
        <v>2502</v>
      </c>
      <c r="D1026" s="6" t="str">
        <f>IFERROR(__xludf.DUMMYFUNCTION("GOOGLETRANSLATE(B1026, ""en"", ""hi"")"),"user@xyz.com")</f>
        <v>user@xyz.com</v>
      </c>
      <c r="E1026" s="6" t="str">
        <f>IFERROR(__xludf.DUMMYFUNCTION("GOOGLETRANSLATE(B1026, ""en"", ""kn"")"),"ಬಳಕೆದಾರ@xyz.com")</f>
        <v>ಬಳಕೆದಾರ@xyz.com</v>
      </c>
      <c r="F1026" s="7" t="str">
        <f>IFERROR(__xludf.DUMMYFUNCTION("GOOGLETRANSLATE(B1026, ""en"", ""ml"")"),"യൂസർ@ക്സിസ്.കോം")</f>
        <v>യൂസർ@ക്സിസ്.കോം</v>
      </c>
      <c r="G1026" s="7" t="str">
        <f>IFERROR(__xludf.DUMMYFUNCTION("GOOGLETRANSLATE(B1026, ""en"", ""te"")"),"యూజర్@xyz.com")</f>
        <v>యూజర్@xyz.com</v>
      </c>
    </row>
    <row r="1027">
      <c r="A1027" s="4" t="s">
        <v>2503</v>
      </c>
      <c r="B1027" s="5" t="s">
        <v>2504</v>
      </c>
      <c r="C1027" s="6" t="s">
        <v>2505</v>
      </c>
      <c r="D1027" s="6" t="str">
        <f>IFERROR(__xludf.DUMMYFUNCTION("GOOGLETRANSLATE(B1027, ""en"", ""hi"")"),"वाहन की जानकारी")</f>
        <v>वाहन की जानकारी</v>
      </c>
      <c r="E1027" s="6" t="str">
        <f>IFERROR(__xludf.DUMMYFUNCTION("GOOGLETRANSLATE(B1027, ""en"", ""kn"")"),"ವಾಹನ ಮಾಹಿತಿ")</f>
        <v>ವಾಹನ ಮಾಹಿತಿ</v>
      </c>
      <c r="F1027" s="7" t="str">
        <f>IFERROR(__xludf.DUMMYFUNCTION("GOOGLETRANSLATE(B1027, ""en"", ""ml"")"),"വാഹന വിവരങ്ങൾ")</f>
        <v>വാഹന വിവരങ്ങൾ</v>
      </c>
      <c r="G1027" s="7" t="str">
        <f>IFERROR(__xludf.DUMMYFUNCTION("GOOGLETRANSLATE(B1027, ""en"", ""te"")"),"వాహన సమాచారం")</f>
        <v>వాహన సమాచారం</v>
      </c>
    </row>
    <row r="1028">
      <c r="A1028" s="4" t="s">
        <v>2506</v>
      </c>
      <c r="B1028" s="5" t="s">
        <v>2507</v>
      </c>
      <c r="C1028" s="6" t="s">
        <v>2508</v>
      </c>
      <c r="D1028" s="6" t="str">
        <f>IFERROR(__xludf.DUMMYFUNCTION("GOOGLETRANSLATE(B1028, ""en"", ""hi"")"),"वाहन साफ ​​या सुरक्षित नहीं है")</f>
        <v>वाहन साफ ​​या सुरक्षित नहीं है</v>
      </c>
      <c r="E1028" s="6" t="str">
        <f>IFERROR(__xludf.DUMMYFUNCTION("GOOGLETRANSLATE(B1028, ""en"", ""kn"")"),"ವಾಹನವು ಸ್ವಚ್ಛವಾಗಿಲ್ಲ ಅಥವಾ ಸುರಕ್ಷಿತವಾಗಿಲ್ಲ.")</f>
        <v>ವಾಹನವು ಸ್ವಚ್ಛವಾಗಿಲ್ಲ ಅಥವಾ ಸುರಕ್ಷಿತವಾಗಿಲ್ಲ.</v>
      </c>
      <c r="F1028" s="7" t="str">
        <f>IFERROR(__xludf.DUMMYFUNCTION("GOOGLETRANSLATE(B1028, ""en"", ""ml"")"),"വാഹനം വൃത്തിയുള്ളതോ സുരക്ഷിതമോ അല്ല.")</f>
        <v>വാഹനം വൃത്തിയുള്ളതോ സുരക്ഷിതമോ അല്ല.</v>
      </c>
      <c r="G1028" s="7" t="str">
        <f>IFERROR(__xludf.DUMMYFUNCTION("GOOGLETRANSLATE(B1028, ""en"", ""te"")"),"వాహనం శుభ్రంగా లేదా సురక్షితంగా లేదు.")</f>
        <v>వాహనం శుభ్రంగా లేదా సురక్షితంగా లేదు.</v>
      </c>
    </row>
    <row r="1029">
      <c r="A1029" s="4" t="s">
        <v>2509</v>
      </c>
      <c r="B1029" s="5" t="s">
        <v>2510</v>
      </c>
      <c r="C1029" s="6" t="s">
        <v>2511</v>
      </c>
      <c r="D1029" s="6" t="str">
        <f>IFERROR(__xludf.DUMMYFUNCTION("GOOGLETRANSLATE(B1029, ""en"", ""hi"")"),"वाहन संख्या")</f>
        <v>वाहन संख्या</v>
      </c>
      <c r="E1029" s="6" t="str">
        <f>IFERROR(__xludf.DUMMYFUNCTION("GOOGLETRANSLATE(B1029, ""en"", ""kn"")"),"ವಾಹನ ಸಂಖ್ಯೆ")</f>
        <v>ವಾಹನ ಸಂಖ್ಯೆ</v>
      </c>
      <c r="F1029" s="7" t="str">
        <f>IFERROR(__xludf.DUMMYFUNCTION("GOOGLETRANSLATE(B1029, ""en"", ""ml"")"),"വാഹന നമ്പർ")</f>
        <v>വാഹന നമ്പർ</v>
      </c>
      <c r="G1029" s="7" t="str">
        <f>IFERROR(__xludf.DUMMYFUNCTION("GOOGLETRANSLATE(B1029, ""en"", ""te"")"),"వాహన సంఖ్య")</f>
        <v>వాహన సంఖ్య</v>
      </c>
    </row>
    <row r="1030">
      <c r="A1030" s="4" t="s">
        <v>2512</v>
      </c>
      <c r="B1030" s="5" t="s">
        <v>2513</v>
      </c>
      <c r="C1030" s="6" t="s">
        <v>2514</v>
      </c>
      <c r="D1030" s="6" t="str">
        <f>IFERROR(__xludf.DUMMYFUNCTION("GOOGLETRANSLATE(B1030, ""en"", ""hi"")"),"वाहन का चयन आवश्यक है")</f>
        <v>वाहन का चयन आवश्यक है</v>
      </c>
      <c r="E1030" s="6" t="str">
        <f>IFERROR(__xludf.DUMMYFUNCTION("GOOGLETRANSLATE(B1030, ""en"", ""kn"")"),"ವಾಹನ ಆಯ್ಕೆ ಅಗತ್ಯವಿದೆ")</f>
        <v>ವಾಹನ ಆಯ್ಕೆ ಅಗತ್ಯವಿದೆ</v>
      </c>
      <c r="F1030" s="7" t="str">
        <f>IFERROR(__xludf.DUMMYFUNCTION("GOOGLETRANSLATE(B1030, ""en"", ""ml"")"),"വാഹന തിരഞ്ഞെടുപ്പ് നിർബന്ധമാണ്")</f>
        <v>വാഹന തിരഞ്ഞെടുപ്പ് നിർബന്ധമാണ്</v>
      </c>
      <c r="G1030" s="7" t="str">
        <f>IFERROR(__xludf.DUMMYFUNCTION("GOOGLETRANSLATE(B1030, ""en"", ""te"")"),"వాహన ఎంపిక తప్పనిసరి")</f>
        <v>వాహన ఎంపిక తప్పనిసరి</v>
      </c>
    </row>
    <row r="1031">
      <c r="A1031" s="4" t="s">
        <v>2515</v>
      </c>
      <c r="B1031" s="5" t="s">
        <v>2516</v>
      </c>
      <c r="C1031" s="6" t="s">
        <v>2517</v>
      </c>
      <c r="D1031" s="6" t="str">
        <f>IFERROR(__xludf.DUMMYFUNCTION("GOOGLETRANSLATE(B1031, ""en"", ""hi"")"),"सत्यापन में विफल रहा")</f>
        <v>सत्यापन में विफल रहा</v>
      </c>
      <c r="E1031" s="6" t="str">
        <f>IFERROR(__xludf.DUMMYFUNCTION("GOOGLETRANSLATE(B1031, ""en"", ""kn"")"),"ಪರಿಶೀಲನೆ ವಿಫಲವಾಗಿದೆ")</f>
        <v>ಪರಿಶೀಲನೆ ವಿಫಲವಾಗಿದೆ</v>
      </c>
      <c r="F1031" s="7" t="str">
        <f>IFERROR(__xludf.DUMMYFUNCTION("GOOGLETRANSLATE(B1031, ""en"", ""ml"")"),"പരിശോധന പരാജയപ്പെട്ടു")</f>
        <v>പരിശോധന പരാജയപ്പെട്ടു</v>
      </c>
      <c r="G1031" s="7" t="str">
        <f>IFERROR(__xludf.DUMMYFUNCTION("GOOGLETRANSLATE(B1031, ""en"", ""te"")"),"ధృవీకరణ విఫలమైంది")</f>
        <v>ధృవీకరణ విఫలమైంది</v>
      </c>
    </row>
    <row r="1032">
      <c r="A1032" s="4" t="s">
        <v>2518</v>
      </c>
      <c r="B1032" s="5" t="s">
        <v>2519</v>
      </c>
      <c r="C1032" s="6" t="s">
        <v>2520</v>
      </c>
      <c r="D1032" s="6" t="str">
        <f>IFERROR(__xludf.DUMMYFUNCTION("GOOGLETRANSLATE(B1032, ""en"", ""hi"")"),"रसीद देखें")</f>
        <v>रसीद देखें</v>
      </c>
      <c r="E1032" s="6" t="str">
        <f>IFERROR(__xludf.DUMMYFUNCTION("GOOGLETRANSLATE(B1032, ""en"", ""kn"")"),"ರಶೀದಿಯನ್ನು ವೀಕ್ಷಿಸಿ")</f>
        <v>ರಶೀದಿಯನ್ನು ವೀಕ್ಷಿಸಿ</v>
      </c>
      <c r="F1032" s="7" t="str">
        <f>IFERROR(__xludf.DUMMYFUNCTION("GOOGLETRANSLATE(B1032, ""en"", ""ml"")"),"രസീത് കാണുക")</f>
        <v>രസീത് കാണുക</v>
      </c>
      <c r="G1032" s="7" t="str">
        <f>IFERROR(__xludf.DUMMYFUNCTION("GOOGLETRANSLATE(B1032, ""en"", ""te"")"),"రసీదును చూడండి")</f>
        <v>రసీదును చూడండి</v>
      </c>
    </row>
    <row r="1033">
      <c r="A1033" s="4" t="s">
        <v>2521</v>
      </c>
      <c r="B1033" s="5" t="s">
        <v>2522</v>
      </c>
      <c r="C1033" s="6" t="s">
        <v>2523</v>
      </c>
      <c r="D1033" s="6" t="str">
        <f>IFERROR(__xludf.DUMMYFUNCTION("GOOGLETRANSLATE(B1033, ""en"", ""hi"")"),"प्रतीक्षा समय")</f>
        <v>प्रतीक्षा समय</v>
      </c>
      <c r="E1033" s="6" t="str">
        <f>IFERROR(__xludf.DUMMYFUNCTION("GOOGLETRANSLATE(B1033, ""en"", ""kn"")"),"ಕಾಯುವ ಸಮಯ")</f>
        <v>ಕಾಯುವ ಸಮಯ</v>
      </c>
      <c r="F1033" s="7" t="str">
        <f>IFERROR(__xludf.DUMMYFUNCTION("GOOGLETRANSLATE(B1033, ""en"", ""ml"")"),"കാത്തിരിപ്പ് സമയം")</f>
        <v>കാത്തിരിപ്പ് സമയം</v>
      </c>
      <c r="G1033" s="7" t="str">
        <f>IFERROR(__xludf.DUMMYFUNCTION("GOOGLETRANSLATE(B1033, ""en"", ""te"")"),"వేచి ఉండే సమయం")</f>
        <v>వేచి ఉండే సమయం</v>
      </c>
    </row>
    <row r="1034">
      <c r="A1034" s="4" t="s">
        <v>2524</v>
      </c>
      <c r="B1034" s="5" t="s">
        <v>2525</v>
      </c>
      <c r="C1034" s="6" t="s">
        <v>2526</v>
      </c>
      <c r="D1034" s="6" t="str">
        <f>IFERROR(__xludf.DUMMYFUNCTION("GOOGLETRANSLATE(B1034, ""en"", ""hi"")"),"प्रतीक्षा समय शुल्क")</f>
        <v>प्रतीक्षा समय शुल्क</v>
      </c>
      <c r="E1034" s="6" t="str">
        <f>IFERROR(__xludf.DUMMYFUNCTION("GOOGLETRANSLATE(B1034, ""en"", ""kn"")"),"ಕಾಯುವ ಸಮಯದ ಶುಲ್ಕಗಳು")</f>
        <v>ಕಾಯುವ ಸಮಯದ ಶುಲ್ಕಗಳು</v>
      </c>
      <c r="F1034" s="7" t="str">
        <f>IFERROR(__xludf.DUMMYFUNCTION("GOOGLETRANSLATE(B1034, ""en"", ""ml"")"),"കാത്തിരിപ്പ് സമയ നിരക്കുകൾ")</f>
        <v>കാത്തിരിപ്പ് സമയ നിരക്കുകൾ</v>
      </c>
      <c r="G1034" s="7" t="str">
        <f>IFERROR(__xludf.DUMMYFUNCTION("GOOGLETRANSLATE(B1034, ""en"", ""te"")"),"వేచి ఉండే సమయ ఛార్జీలు")</f>
        <v>వేచి ఉండే సమయ ఛార్జీలు</v>
      </c>
    </row>
    <row r="1035">
      <c r="A1035" s="4" t="s">
        <v>2527</v>
      </c>
      <c r="B1035" s="12" t="s">
        <v>2528</v>
      </c>
      <c r="C1035" s="15" t="s">
        <v>2529</v>
      </c>
      <c r="D1035" s="6" t="str">
        <f>IFERROR(__xludf.DUMMYFUNCTION("GOOGLETRANSLATE(B1035, ""en"", ""hi"")"),"पहले {defaultwaitingTime} मिनट: निःशुल्क
अतिरिक्त समय: ₹{waitingTimeChargesPerMinute} प्रति मिनट
अधिकतम प्रतीक्षा समय: {maxwaitingTime} मिनट")</f>
        <v>पहले {defaultwaitingTime} मिनट: निःशुल्क
अतिरिक्त समय: ₹{waitingTimeChargesPerMinute} प्रति मिनट
अधिकतम प्रतीक्षा समय: {maxwaitingTime} मिनट</v>
      </c>
      <c r="E1035" s="6" t="str">
        <f>IFERROR(__xludf.DUMMYFUNCTION("GOOGLETRANSLATE(B1035, ""en"", ""kn"")"),"ಮೊದಲ {defaultwaitingTime} ನಿಮಿಷಗಳು: ಉಚಿತ
ಹೆಚ್ಚುವರಿ ಸಮಯ: ಪ್ರತಿ ನಿಮಿಷಕ್ಕೆ ₹{waitingTimeChargesPerMinute}
ಗರಿಷ್ಠ ಕಾಯುವ ಸಮಯ: {maxwaitingTime} ನಿಮಿಷಗಳು")</f>
        <v>ಮೊದಲ {defaultwaitingTime} ನಿಮಿಷಗಳು: ಉಚಿತ
ಹೆಚ್ಚುವರಿ ಸಮಯ: ಪ್ರತಿ ನಿಮಿಷಕ್ಕೆ ₹{waitingTimeChargesPerMinute}
ಗರಿಷ್ಠ ಕಾಯುವ ಸಮಯ: {maxwaitingTime} ನಿಮಿಷಗಳು</v>
      </c>
      <c r="F1035" s="7" t="str">
        <f>IFERROR(__xludf.DUMMYFUNCTION("GOOGLETRANSLATE(B1035, ""en"", ""ml"")"),"ആദ്യ {defaultwaitingTime} മിനിറ്റ്: സൗജന്യം
അധിക സമയം: മിനിറ്റിന് ₹{waitingTimeChargesPerMinute}
പരമാവധി കാത്തിരിപ്പ് സമയം: {maxwaitingTime} മിനിറ്റ്")</f>
        <v>ആദ്യ {defaultwaitingTime} മിനിറ്റ്: സൗജന്യം
അധിക സമയം: മിനിറ്റിന് ₹{waitingTimeChargesPerMinute}
പരമാവധി കാത്തിരിപ്പ് സമയം: {maxwaitingTime} മിനിറ്റ്</v>
      </c>
      <c r="G1035" s="7" t="str">
        <f>IFERROR(__xludf.DUMMYFUNCTION("GOOGLETRANSLATE(B1035, ""en"", ""te"")"),"మొదటి {defaultwaitingTime} నిమిషాలు: ఉచితం
అదనపు సమయం: నిమిషానికి ₹{waitingTimeChargesPerMinute}
గరిష్ట నిరీక్షణ సమయం: {maxwaitingTime} నిమిషాలు")</f>
        <v>మొదటి {defaultwaitingTime} నిమిషాలు: ఉచితం
అదనపు సమయం: నిమిషానికి ₹{waitingTimeChargesPerMinute}
గరిష్ట నిరీక్షణ సమయం: {maxwaitingTime} నిమిషాలు</v>
      </c>
    </row>
    <row r="1036">
      <c r="A1036" s="4" t="s">
        <v>2530</v>
      </c>
      <c r="B1036" s="5" t="s">
        <v>2531</v>
      </c>
      <c r="C1036" s="6" t="s">
        <v>2532</v>
      </c>
      <c r="D1036" s="6" t="str">
        <f>IFERROR(__xludf.DUMMYFUNCTION("GOOGLETRANSLATE(B1036, ""en"", ""hi"")"),"यदि ड्राइवर को सही किराया प्राप्त करने के लिए {defaultwaitingTime} मिनट से अधिक प्रतीक्षा करनी पड़ती है, तो प्रतीक्षा समय जोड़ें।")</f>
        <v>यदि ड्राइवर को सही किराया प्राप्त करने के लिए {defaultwaitingTime} मिनट से अधिक प्रतीक्षा करनी पड़ती है, तो प्रतीक्षा समय जोड़ें।</v>
      </c>
      <c r="E1036" s="6" t="str">
        <f>IFERROR(__xludf.DUMMYFUNCTION("GOOGLETRANSLATE(B1036, ""en"", ""kn"")"),"ನಿಖರವಾದ ದರಕ್ಕಾಗಿ ಚಾಲಕ {defaultwaitingTime} ನಿಮಿಷಗಳಿಗಿಂತ ಹೆಚ್ಚು ಕಾಯಬೇಕಾದರೆ ಕಾಯುವ ಸಮಯವನ್ನು ಸೇರಿಸಿ.")</f>
        <v>ನಿಖರವಾದ ದರಕ್ಕಾಗಿ ಚಾಲಕ {defaultwaitingTime} ನಿಮಿಷಗಳಿಗಿಂತ ಹೆಚ್ಚು ಕಾಯಬೇಕಾದರೆ ಕಾಯುವ ಸಮಯವನ್ನು ಸೇರಿಸಿ.</v>
      </c>
      <c r="F1036" s="7" t="str">
        <f>IFERROR(__xludf.DUMMYFUNCTION("GOOGLETRANSLATE(B1036, ""en"", ""ml"")"),"കൃത്യമായ നിരക്കിനായി ഡ്രൈവർക്ക് {defaultwaitingTime} മിനിറ്റിൽ കൂടുതൽ കാത്തിരിക്കേണ്ടിവന്നാൽ കാത്തിരിപ്പ് സമയം ചേർക്കുക.")</f>
        <v>കൃത്യമായ നിരക്കിനായി ഡ്രൈവർക്ക് {defaultwaitingTime} മിനിറ്റിൽ കൂടുതൽ കാത്തിരിക്കേണ്ടിവന്നാൽ കാത്തിരിപ്പ് സമയം ചേർക്കുക.</v>
      </c>
      <c r="G1036" s="7" t="str">
        <f>IFERROR(__xludf.DUMMYFUNCTION("GOOGLETRANSLATE(B1036, ""en"", ""te"")"),"ఖచ్చితమైన ఛార్జీ కోసం డ్రైవర్ {defaultwaitingTime} నిమిషాల కంటే ఎక్కువ వేచి ఉండాల్సి వస్తే వేచి ఉండే సమయాన్ని జోడించండి.")</f>
        <v>ఖచ్చితమైన ఛార్జీ కోసం డ్రైవర్ {defaultwaitingTime} నిమిషాల కంటే ఎక్కువ వేచి ఉండాల్సి వస్తే వేచి ఉండే సమయాన్ని జోడించండి.</v>
      </c>
    </row>
    <row r="1037">
      <c r="A1037" s="4" t="s">
        <v>2533</v>
      </c>
      <c r="B1037" s="5" t="s">
        <v>2534</v>
      </c>
      <c r="C1037" s="6" t="s">
        <v>2535</v>
      </c>
      <c r="D1037" s="6" t="str">
        <f>IFERROR(__xludf.DUMMYFUNCTION("GOOGLETRANSLATE(B1037, ""en"", ""hi"")"),"ड्राइवर की स्वीकृति का इंतजार है")</f>
        <v>ड्राइवर की स्वीकृति का इंतजार है</v>
      </c>
      <c r="E1037" s="6" t="str">
        <f>IFERROR(__xludf.DUMMYFUNCTION("GOOGLETRANSLATE(B1037, ""en"", ""kn"")"),"ಚಾಲಕನ ಅನುಮೋದನೆಗಾಗಿ ಕಾಯಲಾಗುತ್ತಿದೆ")</f>
        <v>ಚಾಲಕನ ಅನುಮೋದನೆಗಾಗಿ ಕಾಯಲಾಗುತ್ತಿದೆ</v>
      </c>
      <c r="F1037" s="7" t="str">
        <f>IFERROR(__xludf.DUMMYFUNCTION("GOOGLETRANSLATE(B1037, ""en"", ""ml"")"),"ഡ്രൈവറുടെ അംഗീകാരത്തിനായി കാത്തിരിക്കുന്നു")</f>
        <v>ഡ്രൈവറുടെ അംഗീകാരത്തിനായി കാത്തിരിക്കുന്നു</v>
      </c>
      <c r="G1037" s="7" t="str">
        <f>IFERROR(__xludf.DUMMYFUNCTION("GOOGLETRANSLATE(B1037, ""en"", ""te"")"),"డ్రైవర్ ఆమోదం కోసం వేచి ఉంది")</f>
        <v>డ్రైవర్ ఆమోదం కోసం వేచి ఉంది</v>
      </c>
    </row>
    <row r="1038">
      <c r="A1038" s="4" t="s">
        <v>2536</v>
      </c>
      <c r="B1038" s="5" t="s">
        <v>2537</v>
      </c>
      <c r="C1038" s="6" t="str">
        <f>IFERROR(__xludf.DUMMYFUNCTION("GOOGLETRANSLATE(B1038, ""en"", ""ta"")"),"எச்சரிக்கை")</f>
        <v>எச்சரிக்கை</v>
      </c>
      <c r="D1038" s="6" t="str">
        <f>IFERROR(__xludf.DUMMYFUNCTION("GOOGLETRANSLATE(B1038, ""en"", ""hi"")"),"चेतावनी")</f>
        <v>चेतावनी</v>
      </c>
      <c r="E1038" s="6" t="str">
        <f>IFERROR(__xludf.DUMMYFUNCTION("GOOGLETRANSLATE(B1038, ""en"", ""kn"")"),"ಎಚ್ಚರಿಕೆ")</f>
        <v>ಎಚ್ಚರಿಕೆ</v>
      </c>
      <c r="F1038" s="7" t="str">
        <f>IFERROR(__xludf.DUMMYFUNCTION("GOOGLETRANSLATE(B1038, ""en"", ""ml"")"),"മുന്നറിയിപ്പ്")</f>
        <v>മുന്നറിയിപ്പ്</v>
      </c>
      <c r="G1038" s="7" t="str">
        <f>IFERROR(__xludf.DUMMYFUNCTION("GOOGLETRANSLATE(B1038, ""en"", ""te"")"),"హెచ్చరిక")</f>
        <v>హెచ్చరిక</v>
      </c>
    </row>
    <row r="1039">
      <c r="A1039" s="4" t="s">
        <v>2538</v>
      </c>
      <c r="B1039" s="5" t="s">
        <v>2539</v>
      </c>
      <c r="C1039" s="6" t="s">
        <v>2540</v>
      </c>
      <c r="D1039" s="6" t="str">
        <f>IFERROR(__xludf.DUMMYFUNCTION("GOOGLETRANSLATE(B1039, ""en"", ""hi"")"),"इस सप्ताह")</f>
        <v>इस सप्ताह</v>
      </c>
      <c r="E1039" s="6" t="str">
        <f>IFERROR(__xludf.DUMMYFUNCTION("GOOGLETRANSLATE(B1039, ""en"", ""kn"")"),"ಈ ವಾರ")</f>
        <v>ಈ ವಾರ</v>
      </c>
      <c r="F1039" s="7" t="str">
        <f>IFERROR(__xludf.DUMMYFUNCTION("GOOGLETRANSLATE(B1039, ""en"", ""ml"")"),"ഈ ആഴ്ച")</f>
        <v>ഈ ആഴ്ച</v>
      </c>
      <c r="G1039" s="7" t="str">
        <f>IFERROR(__xludf.DUMMYFUNCTION("GOOGLETRANSLATE(B1039, ""en"", ""te"")"),"ఈ వారం")</f>
        <v>ఈ వారం</v>
      </c>
    </row>
    <row r="1040">
      <c r="A1040" s="4" t="s">
        <v>2541</v>
      </c>
      <c r="B1040" s="12" t="s">
        <v>2542</v>
      </c>
      <c r="C1040" s="6" t="s">
        <v>2543</v>
      </c>
      <c r="D1040" s="6" t="str">
        <f>IFERROR(__xludf.DUMMYFUNCTION("GOOGLETRANSLATE(B1040, ""en"", ""hi"")"),"स्वागत")</f>
        <v>स्वागत</v>
      </c>
      <c r="E1040" s="6" t="str">
        <f>IFERROR(__xludf.DUMMYFUNCTION("GOOGLETRANSLATE(B1040, ""en"", ""kn"")"),"ಸ್ವಾಗತ")</f>
        <v>ಸ್ವಾಗತ</v>
      </c>
      <c r="F1040" s="7" t="str">
        <f>IFERROR(__xludf.DUMMYFUNCTION("GOOGLETRANSLATE(B1040, ""en"", ""ml"")"),"സ്വാഗതം")</f>
        <v>സ്വാഗതം</v>
      </c>
      <c r="G1040" s="7" t="str">
        <f>IFERROR(__xludf.DUMMYFUNCTION("GOOGLETRANSLATE(B1040, ""en"", ""te"")"),"స్వాగతం")</f>
        <v>స్వాగతం</v>
      </c>
    </row>
    <row r="1041">
      <c r="A1041" s="4" t="s">
        <v>2544</v>
      </c>
      <c r="B1041" s="12" t="s">
        <v>943</v>
      </c>
      <c r="C1041" s="6" t="s">
        <v>2545</v>
      </c>
      <c r="D1041" s="6" t="str">
        <f>IFERROR(__xludf.DUMMYFUNCTION("GOOGLETRANSLATE(B1041, ""en"", ""hi"")"),"ड्राइवर बन गया")</f>
        <v>ड्राइवर बन गया</v>
      </c>
      <c r="E1041" s="6" t="str">
        <f>IFERROR(__xludf.DUMMYFUNCTION("GOOGLETRANSLATE(B1041, ""en"", ""kn"")"),"ಚಾಲಕನಾದನು")</f>
        <v>ಚಾಲಕನಾದನು</v>
      </c>
      <c r="F1041" s="7" t="str">
        <f>IFERROR(__xludf.DUMMYFUNCTION("GOOGLETRANSLATE(B1041, ""en"", ""ml"")"),"ഒരു_ഡ്രൈവർ ആയി")</f>
        <v>ഒരു_ഡ്രൈവർ ആയി</v>
      </c>
      <c r="G1041" s="7" t="str">
        <f>IFERROR(__xludf.DUMMYFUNCTION("GOOGLETRANSLATE(B1041, ""en"", ""te"")"),"డ్రైవర్_అయ్యాడు")</f>
        <v>డ్రైవర్_అయ్యాడు</v>
      </c>
    </row>
    <row r="1042">
      <c r="A1042" s="4" t="s">
        <v>2546</v>
      </c>
      <c r="B1042" s="12" t="s">
        <v>2547</v>
      </c>
      <c r="C1042" s="6" t="s">
        <v>2548</v>
      </c>
      <c r="D1042" s="6" t="str">
        <f>IFERROR(__xludf.DUMMYFUNCTION("GOOGLETRANSLATE(B1042, ""en"", ""hi"")"),"स्वागत")</f>
        <v>स्वागत</v>
      </c>
      <c r="E1042" s="6" t="str">
        <f>IFERROR(__xludf.DUMMYFUNCTION("GOOGLETRANSLATE(B1042, ""en"", ""kn"")"),"ಸ್ವಾಗತ")</f>
        <v>ಸ್ವಾಗತ</v>
      </c>
      <c r="F1042" s="7" t="str">
        <f>IFERROR(__xludf.DUMMYFUNCTION("GOOGLETRANSLATE(B1042, ""en"", ""ml"")"),"സ്വാഗതം")</f>
        <v>സ്വാഗതം</v>
      </c>
      <c r="G1042" s="7" t="str">
        <f>IFERROR(__xludf.DUMMYFUNCTION("GOOGLETRANSLATE(B1042, ""en"", ""te"")"),"స్వాగతం")</f>
        <v>స్వాగతం</v>
      </c>
    </row>
    <row r="1043">
      <c r="A1043" s="4" t="s">
        <v>2549</v>
      </c>
      <c r="B1043" s="12" t="s">
        <v>2547</v>
      </c>
      <c r="C1043" s="6" t="s">
        <v>2550</v>
      </c>
      <c r="D1043" s="6" t="str">
        <f>IFERROR(__xludf.DUMMYFUNCTION("GOOGLETRANSLATE(B1043, ""en"", ""hi"")"),"स्वागत")</f>
        <v>स्वागत</v>
      </c>
      <c r="E1043" s="6" t="str">
        <f>IFERROR(__xludf.DUMMYFUNCTION("GOOGLETRANSLATE(B1043, ""en"", ""kn"")"),"ಸ್ವಾಗತ")</f>
        <v>ಸ್ವಾಗತ</v>
      </c>
      <c r="F1043" s="7" t="str">
        <f>IFERROR(__xludf.DUMMYFUNCTION("GOOGLETRANSLATE(B1043, ""en"", ""ml"")"),"സ്വാഗതം")</f>
        <v>സ്വാഗതം</v>
      </c>
      <c r="G1043" s="7" t="str">
        <f>IFERROR(__xludf.DUMMYFUNCTION("GOOGLETRANSLATE(B1043, ""en"", ""te"")"),"స్వాగతం")</f>
        <v>స్వాగతం</v>
      </c>
    </row>
    <row r="1044">
      <c r="A1044" s="4" t="s">
        <v>2551</v>
      </c>
      <c r="B1044" s="12" t="s">
        <v>2547</v>
      </c>
      <c r="C1044" s="6" t="s">
        <v>2552</v>
      </c>
      <c r="D1044" s="6" t="str">
        <f>IFERROR(__xludf.DUMMYFUNCTION("GOOGLETRANSLATE(B1044, ""en"", ""hi"")"),"स्वागत")</f>
        <v>स्वागत</v>
      </c>
      <c r="E1044" s="6" t="str">
        <f>IFERROR(__xludf.DUMMYFUNCTION("GOOGLETRANSLATE(B1044, ""en"", ""kn"")"),"ಸ್ವಾಗತ")</f>
        <v>ಸ್ವಾಗತ</v>
      </c>
      <c r="F1044" s="7" t="str">
        <f>IFERROR(__xludf.DUMMYFUNCTION("GOOGLETRANSLATE(B1044, ""en"", ""ml"")"),"സ്വാഗതം")</f>
        <v>സ്വാഗതം</v>
      </c>
      <c r="G1044" s="7" t="str">
        <f>IFERROR(__xludf.DUMMYFUNCTION("GOOGLETRANSLATE(B1044, ""en"", ""te"")"),"స్వాగతం")</f>
        <v>స్వాగతం</v>
      </c>
    </row>
    <row r="1045">
      <c r="A1045" s="4" t="s">
        <v>2553</v>
      </c>
      <c r="B1045" s="12" t="s">
        <v>2547</v>
      </c>
      <c r="C1045" s="6" t="s">
        <v>2554</v>
      </c>
      <c r="D1045" s="6" t="str">
        <f>IFERROR(__xludf.DUMMYFUNCTION("GOOGLETRANSLATE(B1045, ""en"", ""hi"")"),"स्वागत")</f>
        <v>स्वागत</v>
      </c>
      <c r="E1045" s="6" t="str">
        <f>IFERROR(__xludf.DUMMYFUNCTION("GOOGLETRANSLATE(B1045, ""en"", ""kn"")"),"ಸ್ವಾಗತ")</f>
        <v>ಸ್ವಾಗತ</v>
      </c>
      <c r="F1045" s="7" t="str">
        <f>IFERROR(__xludf.DUMMYFUNCTION("GOOGLETRANSLATE(B1045, ""en"", ""ml"")"),"സ്വാഗതം")</f>
        <v>സ്വാഗതം</v>
      </c>
      <c r="G1045" s="7" t="str">
        <f>IFERROR(__xludf.DUMMYFUNCTION("GOOGLETRANSLATE(B1045, ""en"", ""te"")"),"స్వాగతం")</f>
        <v>స్వాగతం</v>
      </c>
    </row>
    <row r="1046">
      <c r="A1046" s="4" t="s">
        <v>2555</v>
      </c>
      <c r="B1046" s="12" t="s">
        <v>2547</v>
      </c>
      <c r="C1046" s="6" t="s">
        <v>2556</v>
      </c>
      <c r="D1046" s="6" t="str">
        <f>IFERROR(__xludf.DUMMYFUNCTION("GOOGLETRANSLATE(B1046, ""en"", ""hi"")"),"स्वागत")</f>
        <v>स्वागत</v>
      </c>
      <c r="E1046" s="6" t="str">
        <f>IFERROR(__xludf.DUMMYFUNCTION("GOOGLETRANSLATE(B1046, ""en"", ""kn"")"),"ಸ್ವಾಗತ")</f>
        <v>ಸ್ವಾಗತ</v>
      </c>
      <c r="F1046" s="7" t="str">
        <f>IFERROR(__xludf.DUMMYFUNCTION("GOOGLETRANSLATE(B1046, ""en"", ""ml"")"),"സ്വാഗതം")</f>
        <v>സ്വാഗതം</v>
      </c>
      <c r="G1046" s="7" t="str">
        <f>IFERROR(__xludf.DUMMYFUNCTION("GOOGLETRANSLATE(B1046, ""en"", ""te"")"),"స్వాగతం")</f>
        <v>స్వాగతం</v>
      </c>
    </row>
    <row r="1047">
      <c r="A1047" s="4" t="s">
        <v>2557</v>
      </c>
      <c r="B1047" s="12" t="s">
        <v>2547</v>
      </c>
      <c r="C1047" s="6" t="s">
        <v>2558</v>
      </c>
      <c r="D1047" s="6" t="str">
        <f>IFERROR(__xludf.DUMMYFUNCTION("GOOGLETRANSLATE(B1047, ""en"", ""hi"")"),"स्वागत")</f>
        <v>स्वागत</v>
      </c>
      <c r="E1047" s="6" t="str">
        <f>IFERROR(__xludf.DUMMYFUNCTION("GOOGLETRANSLATE(B1047, ""en"", ""kn"")"),"ಸ್ವಾಗತ")</f>
        <v>ಸ್ವಾಗತ</v>
      </c>
      <c r="F1047" s="7" t="str">
        <f>IFERROR(__xludf.DUMMYFUNCTION("GOOGLETRANSLATE(B1047, ""en"", ""ml"")"),"സ്വാഗതം")</f>
        <v>സ്വാഗതം</v>
      </c>
      <c r="G1047" s="7" t="str">
        <f>IFERROR(__xludf.DUMMYFUNCTION("GOOGLETRANSLATE(B1047, ""en"", ""te"")"),"స్వాగతం")</f>
        <v>స్వాగతం</v>
      </c>
    </row>
    <row r="1048">
      <c r="A1048" s="4" t="s">
        <v>2559</v>
      </c>
      <c r="B1048" s="12" t="s">
        <v>2547</v>
      </c>
      <c r="C1048" s="6" t="s">
        <v>2560</v>
      </c>
      <c r="D1048" s="6" t="str">
        <f>IFERROR(__xludf.DUMMYFUNCTION("GOOGLETRANSLATE(B1048, ""en"", ""hi"")"),"स्वागत")</f>
        <v>स्वागत</v>
      </c>
      <c r="E1048" s="6" t="str">
        <f>IFERROR(__xludf.DUMMYFUNCTION("GOOGLETRANSLATE(B1048, ""en"", ""kn"")"),"ಸ್ವಾಗತ")</f>
        <v>ಸ್ವಾಗತ</v>
      </c>
      <c r="F1048" s="7" t="str">
        <f>IFERROR(__xludf.DUMMYFUNCTION("GOOGLETRANSLATE(B1048, ""en"", ""ml"")"),"സ്വാഗതം")</f>
        <v>സ്വാഗതം</v>
      </c>
      <c r="G1048" s="7" t="str">
        <f>IFERROR(__xludf.DUMMYFUNCTION("GOOGLETRANSLATE(B1048, ""en"", ""te"")"),"స్వాగతం")</f>
        <v>స్వాగతం</v>
      </c>
    </row>
    <row r="1049">
      <c r="A1049" s="4" t="s">
        <v>2561</v>
      </c>
      <c r="B1049" s="5" t="s">
        <v>2562</v>
      </c>
      <c r="C1049" s="6" t="s">
        <v>2563</v>
      </c>
      <c r="D1049" s="6" t="str">
        <f>IFERROR(__xludf.DUMMYFUNCTION("GOOGLETRANSLATE(B1049, ""en"", ""hi"")"),"आपका ई मेल पता क्या है")</f>
        <v>आपका ई मेल पता क्या है</v>
      </c>
      <c r="E1049" s="6" t="str">
        <f>IFERROR(__xludf.DUMMYFUNCTION("GOOGLETRANSLATE(B1049, ""en"", ""kn"")"),"ನಿಮ್ಮ ಇಮೇಲ್ ವಿಳಾಸವೇನು?")</f>
        <v>ನಿಮ್ಮ ಇಮೇಲ್ ವಿಳಾಸವೇನು?</v>
      </c>
      <c r="F1049" s="7" t="str">
        <f>IFERROR(__xludf.DUMMYFUNCTION("GOOGLETRANSLATE(B1049, ""en"", ""ml"")"),"എന്താണ് നിങ്ങളുടെ ഇമെയിൽ വിലാസം")</f>
        <v>എന്താണ് നിങ്ങളുടെ ഇമെയിൽ വിലാസം</v>
      </c>
      <c r="G1049" s="7" t="str">
        <f>IFERROR(__xludf.DUMMYFUNCTION("GOOGLETRANSLATE(B1049, ""en"", ""te"")"),"మీ ఇమెయిల్ చిరునామా ఏమిటి?")</f>
        <v>మీ ఇమెయిల్ చిరునామా ఏమిటి?</v>
      </c>
    </row>
    <row r="1050">
      <c r="A1050" s="4" t="s">
        <v>2564</v>
      </c>
      <c r="B1050" s="5" t="s">
        <v>2565</v>
      </c>
      <c r="C1050" s="6" t="s">
        <v>2566</v>
      </c>
      <c r="D1050" s="6" t="str">
        <f>IFERROR(__xludf.DUMMYFUNCTION("GOOGLETRANSLATE(B1050, ""en"", ""hi"")"),"तुम लड़का हो या लड़की")</f>
        <v>तुम लड़का हो या लड़की</v>
      </c>
      <c r="E1050" s="6" t="str">
        <f>IFERROR(__xludf.DUMMYFUNCTION("GOOGLETRANSLATE(B1050, ""en"", ""kn"")"),"ನಿಮ್ಮ ಲಿಂಗ ಏನು?")</f>
        <v>ನಿಮ್ಮ ಲಿಂಗ ಏನು?</v>
      </c>
      <c r="F1050" s="7" t="str">
        <f>IFERROR(__xludf.DUMMYFUNCTION("GOOGLETRANSLATE(B1050, ""en"", ""ml"")"),"നിങ്ങളുടെ ലിംഗഭേദം എന്താണ്?")</f>
        <v>നിങ്ങളുടെ ലിംഗഭേദം എന്താണ്?</v>
      </c>
      <c r="G1050" s="7" t="str">
        <f>IFERROR(__xludf.DUMMYFUNCTION("GOOGLETRANSLATE(B1050, ""en"", ""te"")"),"మీ లింగం ఏమిటి?")</f>
        <v>మీ లింగం ఏమిటి?</v>
      </c>
    </row>
    <row r="1051">
      <c r="A1051" s="4" t="s">
        <v>2567</v>
      </c>
      <c r="B1051" s="5" t="s">
        <v>2568</v>
      </c>
      <c r="C1051" s="6" t="s">
        <v>2569</v>
      </c>
      <c r="D1051" s="6" t="str">
        <f>IFERROR(__xludf.DUMMYFUNCTION("GOOGLETRANSLATE(B1051, ""en"", ""hi"")"),"आप कहाँ जाना चाहते हैं?")</f>
        <v>आप कहाँ जाना चाहते हैं?</v>
      </c>
      <c r="E1051" s="6" t="str">
        <f>IFERROR(__xludf.DUMMYFUNCTION("GOOGLETRANSLATE(B1051, ""en"", ""kn"")"),"ನೀವು ಎಲ್ಲಿಗೆ ಹೋಗಬೇಕು?")</f>
        <v>ನೀವು ಎಲ್ಲಿಗೆ ಹೋಗಬೇಕು?</v>
      </c>
      <c r="F1051" s="7" t="str">
        <f>IFERROR(__xludf.DUMMYFUNCTION("GOOGLETRANSLATE(B1051, ""en"", ""ml"")"),"നിങ്ങൾക്ക് എവിടേക്കാണ് പോകേണ്ടത്?")</f>
        <v>നിങ്ങൾക്ക് എവിടേക്കാണ് പോകേണ്ടത്?</v>
      </c>
      <c r="G1051" s="7" t="str">
        <f>IFERROR(__xludf.DUMMYFUNCTION("GOOGLETRANSLATE(B1051, ""en"", ""te"")"),"మీరు ఎక్కడికి వెళ్లాలనుకుంటున్నారు?")</f>
        <v>మీరు ఎక్కడికి వెళ్లాలనుకుంటున్నారు?</v>
      </c>
    </row>
    <row r="1052">
      <c r="A1052" s="4" t="s">
        <v>2570</v>
      </c>
      <c r="B1052" s="5" t="s">
        <v>2571</v>
      </c>
      <c r="C1052" s="6" t="s">
        <v>2572</v>
      </c>
      <c r="D1052" s="6" t="str">
        <f>IFERROR(__xludf.DUMMYFUNCTION("GOOGLETRANSLATE(B1052, ""en"", ""hi"")"),"आप यात्रा क्यों रद्द कर रहे हैं?")</f>
        <v>आप यात्रा क्यों रद्द कर रहे हैं?</v>
      </c>
      <c r="E1052" s="6" t="str">
        <f>IFERROR(__xludf.DUMMYFUNCTION("GOOGLETRANSLATE(B1052, ""en"", ""kn"")"),"ನೀವು ಪ್ರವಾಸವನ್ನು ಏಕೆ ರದ್ದುಗೊಳಿಸುತ್ತಿದ್ದೀರಿ?")</f>
        <v>ನೀವು ಪ್ರವಾಸವನ್ನು ಏಕೆ ರದ್ದುಗೊಳಿಸುತ್ತಿದ್ದೀರಿ?</v>
      </c>
      <c r="F1052" s="7" t="str">
        <f>IFERROR(__xludf.DUMMYFUNCTION("GOOGLETRANSLATE(B1052, ""en"", ""ml"")"),"നീ എന്തിനാണ് യാത്ര റദ്ദാക്കുന്നത്?")</f>
        <v>നീ എന്തിനാണ് യാത്ര റദ്ദാക്കുന്നത്?</v>
      </c>
      <c r="G1052" s="7" t="str">
        <f>IFERROR(__xludf.DUMMYFUNCTION("GOOGLETRANSLATE(B1052, ""en"", ""te"")"),"మీరు ప్రయాణాన్ని ఎందుకు రద్దు చేసుకుంటున్నారు?")</f>
        <v>మీరు ప్రయాణాన్ని ఎందుకు రద్దు చేసుకుంటున్నారు?</v>
      </c>
    </row>
    <row r="1053">
      <c r="A1053" s="4" t="s">
        <v>2573</v>
      </c>
      <c r="B1053" s="5" t="s">
        <v>2574</v>
      </c>
      <c r="C1053" s="6" t="s">
        <v>2575</v>
      </c>
      <c r="D1053" s="6" t="str">
        <f>IFERROR(__xludf.DUMMYFUNCTION("GOOGLETRANSLATE(B1053, ""en"", ""hi"")"),"काम")</f>
        <v>काम</v>
      </c>
      <c r="E1053" s="6" t="str">
        <f>IFERROR(__xludf.DUMMYFUNCTION("GOOGLETRANSLATE(B1053, ""en"", ""kn"")"),"ಕೆಲಸ")</f>
        <v>ಕೆಲಸ</v>
      </c>
      <c r="F1053" s="7" t="str">
        <f>IFERROR(__xludf.DUMMYFUNCTION("GOOGLETRANSLATE(B1053, ""en"", ""ml"")"),"ജോലി")</f>
        <v>ജോലി</v>
      </c>
      <c r="G1053" s="7" t="str">
        <f>IFERROR(__xludf.DUMMYFUNCTION("GOOGLETRANSLATE(B1053, ""en"", ""te"")"),"పని")</f>
        <v>పని</v>
      </c>
    </row>
    <row r="1054">
      <c r="A1054" s="4" t="s">
        <v>2576</v>
      </c>
      <c r="B1054" s="5" t="s">
        <v>2577</v>
      </c>
      <c r="C1054" s="6" t="str">
        <f>IFERROR(__xludf.DUMMYFUNCTION("GOOGLETRANSLATE(B1054, ""en"", ""ta"")"),"நீங்கள் Razorpay வழியாக பணம் செலுத்துகிறீர்கள்.")</f>
        <v>நீங்கள் Razorpay வழியாக பணம் செலுத்துகிறீர்கள்.</v>
      </c>
      <c r="D1054" s="6" t="str">
        <f>IFERROR(__xludf.DUMMYFUNCTION("GOOGLETRANSLATE(B1054, ""en"", ""hi"")"),"आप रेज़रपे के माध्यम से भुगतान कर रहे हैं")</f>
        <v>आप रेज़रपे के माध्यम से भुगतान कर रहे हैं</v>
      </c>
      <c r="E1054" s="6" t="str">
        <f>IFERROR(__xludf.DUMMYFUNCTION("GOOGLETRANSLATE(B1054, ""en"", ""kn"")"),"ನೀವು Razorpay ಮೂಲಕ ಪಾವತಿಸುತ್ತಿದ್ದೀರಿ.")</f>
        <v>ನೀವು Razorpay ಮೂಲಕ ಪಾವತಿಸುತ್ತಿದ್ದೀರಿ.</v>
      </c>
      <c r="F1054" s="7" t="str">
        <f>IFERROR(__xludf.DUMMYFUNCTION("GOOGLETRANSLATE(B1054, ""en"", ""ml"")"),"നിങ്ങൾ Razorpay വഴിയാണ് പണമടയ്ക്കുന്നത്.")</f>
        <v>നിങ്ങൾ Razorpay വഴിയാണ് പണമടയ്ക്കുന്നത്.</v>
      </c>
      <c r="G1054" s="7" t="str">
        <f>IFERROR(__xludf.DUMMYFUNCTION("GOOGLETRANSLATE(B1054, ""en"", ""te"")"),"మీరు Razorpay ద్వారా చెల్లిస్తున్నారు.")</f>
        <v>మీరు Razorpay ద్వారా చెల్లిస్తున్నారు.</v>
      </c>
    </row>
    <row r="1055">
      <c r="A1055" s="4" t="s">
        <v>2578</v>
      </c>
      <c r="B1055" s="5" t="s">
        <v>2579</v>
      </c>
      <c r="C1055" s="6" t="s">
        <v>2580</v>
      </c>
      <c r="D1055" s="6" t="str">
        <f>IFERROR(__xludf.DUMMYFUNCTION("GOOGLETRANSLATE(B1055, ""en"", ""hi"")"),"आपका ड्राइवर आ जाएगा")</f>
        <v>आपका ड्राइवर आ जाएगा</v>
      </c>
      <c r="E1055" s="6" t="str">
        <f>IFERROR(__xludf.DUMMYFUNCTION("GOOGLETRANSLATE(B1055, ""en"", ""kn"")"),"ನಿಮ್ಮ ಚಾಲಕ ಬರುತ್ತಾರೆ")</f>
        <v>ನಿಮ್ಮ ಚಾಲಕ ಬರುತ್ತಾರೆ</v>
      </c>
      <c r="F1055" s="7" t="str">
        <f>IFERROR(__xludf.DUMMYFUNCTION("GOOGLETRANSLATE(B1055, ""en"", ""ml"")"),"നിങ്ങളുടെ ഡ്രൈവർ എത്തും")</f>
        <v>നിങ്ങളുടെ ഡ്രൈവർ എത്തും</v>
      </c>
      <c r="G1055" s="7" t="str">
        <f>IFERROR(__xludf.DUMMYFUNCTION("GOOGLETRANSLATE(B1055, ""en"", ""te"")"),"మీ డ్రైవర్ వస్తాడు")</f>
        <v>మీ డ్రైవర్ వస్తాడు</v>
      </c>
    </row>
    <row r="1056">
      <c r="A1056" s="4" t="s">
        <v>2581</v>
      </c>
      <c r="B1056" s="5" t="s">
        <v>2582</v>
      </c>
      <c r="C1056" s="6" t="s">
        <v>2583</v>
      </c>
      <c r="D1056" s="6" t="str">
        <f>IFERROR(__xludf.DUMMYFUNCTION("GOOGLETRANSLATE(B1056, ""en"", ""hi"")"),"आपकी प्रतिक्रिया से हमें ड्राइविंग अनुभव को बेहतर बनाने में मदद मिलेगी।")</f>
        <v>आपकी प्रतिक्रिया से हमें ड्राइविंग अनुभव को बेहतर बनाने में मदद मिलेगी।</v>
      </c>
      <c r="E1056" s="6" t="str">
        <f>IFERROR(__xludf.DUMMYFUNCTION("GOOGLETRANSLATE(B1056, ""en"", ""kn"")"),"ನಿಮ್ಮ ಪ್ರತಿಕ್ರಿಯೆಯು ಚಾಲನಾ ಅನುಭವವನ್ನು ಉತ್ತಮವಾಗಿ ಸುಧಾರಿಸಲು ನಮಗೆ ಸಹಾಯ ಮಾಡುತ್ತದೆ.")</f>
        <v>ನಿಮ್ಮ ಪ್ರತಿಕ್ರಿಯೆಯು ಚಾಲನಾ ಅನುಭವವನ್ನು ಉತ್ತಮವಾಗಿ ಸುಧಾರಿಸಲು ನಮಗೆ ಸಹಾಯ ಮಾಡುತ್ತದೆ.</v>
      </c>
      <c r="F1056" s="7" t="str">
        <f>IFERROR(__xludf.DUMMYFUNCTION("GOOGLETRANSLATE(B1056, ""en"", ""ml"")"),"ഡ്രൈവിംഗ് അനുഭവം മികച്ചതാക്കാൻ നിങ്ങളുടെ ഫീഡ്‌ബാക്ക് ഞങ്ങളെ സഹായിക്കും.")</f>
        <v>ഡ്രൈവിംഗ് അനുഭവം മികച്ചതാക്കാൻ നിങ്ങളുടെ ഫീഡ്‌ബാക്ക് ഞങ്ങളെ സഹായിക്കും.</v>
      </c>
      <c r="G1056" s="7" t="str">
        <f>IFERROR(__xludf.DUMMYFUNCTION("GOOGLETRANSLATE(B1056, ""en"", ""te"")"),"డ్రైవింగ్ అనుభవాన్ని మెరుగుపరచడంలో మీ అభిప్రాయం మాకు సహాయపడుతుంది.")</f>
        <v>డ్రైవింగ్ అనుభవాన్ని మెరుగుపరచడంలో మీ అభిప్రాయం మాకు సహాయపడుతుంది.</v>
      </c>
    </row>
    <row r="1057">
      <c r="A1057" s="4" t="s">
        <v>2584</v>
      </c>
      <c r="B1057" s="5" t="s">
        <v>2585</v>
      </c>
      <c r="C1057" s="6" t="s">
        <v>2586</v>
      </c>
      <c r="D1057" s="6" t="str">
        <f>IFERROR(__xludf.DUMMYFUNCTION("GOOGLETRANSLATE(B1057, ""en"", ""hi"")"),"आपका स्थान")</f>
        <v>आपका स्थान</v>
      </c>
      <c r="E1057" s="6" t="str">
        <f>IFERROR(__xludf.DUMMYFUNCTION("GOOGLETRANSLATE(B1057, ""en"", ""kn"")"),"ನಿಮ್ಮ ಸ್ಥಳ")</f>
        <v>ನಿಮ್ಮ ಸ್ಥಳ</v>
      </c>
      <c r="F1057" s="7" t="str">
        <f>IFERROR(__xludf.DUMMYFUNCTION("GOOGLETRANSLATE(B1057, ""en"", ""ml"")"),"നിങ്ങളുടെ സ്ഥലം")</f>
        <v>നിങ്ങളുടെ സ്ഥലം</v>
      </c>
      <c r="G1057" s="7" t="str">
        <f>IFERROR(__xludf.DUMMYFUNCTION("GOOGLETRANSLATE(B1057, ""en"", ""te"")"),"మీ స్థానం")</f>
        <v>మీ స్థానం</v>
      </c>
    </row>
    <row r="1058">
      <c r="A1058" s="4" t="s">
        <v>2587</v>
      </c>
      <c r="B1058" s="5" t="s">
        <v>2588</v>
      </c>
      <c r="C1058" s="6" t="s">
        <v>2589</v>
      </c>
      <c r="D1058" s="6" t="str">
        <f>IFERROR(__xludf.DUMMYFUNCTION("GOOGLETRANSLATE(B1058, ""en"", ""hi"")"),"आपका नाम")</f>
        <v>आपका नाम</v>
      </c>
      <c r="E1058" s="6" t="str">
        <f>IFERROR(__xludf.DUMMYFUNCTION("GOOGLETRANSLATE(B1058, ""en"", ""kn"")"),"ನಿಮ್ಮ ಹೆಸರು")</f>
        <v>ನಿಮ್ಮ ಹೆಸರು</v>
      </c>
      <c r="F1058" s="7" t="str">
        <f>IFERROR(__xludf.DUMMYFUNCTION("GOOGLETRANSLATE(B1058, ""en"", ""ml"")"),"നിങ്ങളുടെ പേര്")</f>
        <v>നിങ്ങളുടെ പേര്</v>
      </c>
      <c r="G1058" s="7" t="str">
        <f>IFERROR(__xludf.DUMMYFUNCTION("GOOGLETRANSLATE(B1058, ""en"", ""te"")"),"మీ పేరు")</f>
        <v>మీ పేరు</v>
      </c>
    </row>
    <row r="1059">
      <c r="A1059" s="4" t="s">
        <v>2590</v>
      </c>
      <c r="B1059" s="5" t="s">
        <v>2591</v>
      </c>
      <c r="C1059" s="6" t="s">
        <v>2592</v>
      </c>
      <c r="D1059" s="6" t="str">
        <f>IFERROR(__xludf.DUMMYFUNCTION("GOOGLETRANSLATE(B1059, ""en"", ""hi"")"),"आपकी हाल की खोजें यहां दिखाई देंगी।")</f>
        <v>आपकी हाल की खोजें यहां दिखाई देंगी।</v>
      </c>
      <c r="E1059" s="6" t="str">
        <f>IFERROR(__xludf.DUMMYFUNCTION("GOOGLETRANSLATE(B1059, ""en"", ""kn"")"),"ನಿಮ್ಮ ಇತ್ತೀಚಿನ ಹುಡುಕಾಟಗಳು ಇಲ್ಲಿ ಕಾಣಿಸಿಕೊಳ್ಳುತ್ತವೆ.")</f>
        <v>ನಿಮ್ಮ ಇತ್ತೀಚಿನ ಹುಡುಕಾಟಗಳು ಇಲ್ಲಿ ಕಾಣಿಸಿಕೊಳ್ಳುತ್ತವೆ.</v>
      </c>
      <c r="F1059" s="7" t="str">
        <f>IFERROR(__xludf.DUMMYFUNCTION("GOOGLETRANSLATE(B1059, ""en"", ""ml"")"),"നിങ്ങളുടെ സമീപകാല തിരയലുകൾ ഇവിടെ ദൃശ്യമാകും")</f>
        <v>നിങ്ങളുടെ സമീപകാല തിരയലുകൾ ഇവിടെ ദൃശ്യമാകും</v>
      </c>
      <c r="G1059" s="7" t="str">
        <f>IFERROR(__xludf.DUMMYFUNCTION("GOOGLETRANSLATE(B1059, ""en"", ""te"")"),"మీ ఇటీవలి శోధనలు ఇక్కడ కనిపిస్తాయి")</f>
        <v>మీ ఇటీవలి శోధనలు ఇక్కడ కనిపిస్తాయి</v>
      </c>
    </row>
    <row r="1060">
      <c r="A1060" s="4" t="s">
        <v>2593</v>
      </c>
      <c r="B1060" s="5" t="s">
        <v>2594</v>
      </c>
      <c r="C1060" s="6" t="s">
        <v>2595</v>
      </c>
      <c r="D1060" s="6" t="str">
        <f>IFERROR(__xludf.DUMMYFUNCTION("GOOGLETRANSLATE(B1060, ""en"", ""hi"")"),"आपकी सवारी सफलतापूर्वक बुक हो गई है!")</f>
        <v>आपकी सवारी सफलतापूर्वक बुक हो गई है!</v>
      </c>
      <c r="E1060" s="6" t="str">
        <f>IFERROR(__xludf.DUMMYFUNCTION("GOOGLETRANSLATE(B1060, ""en"", ""kn"")"),"ನಿಮ್ಮ ಸವಾರಿಯನ್ನು ಯಶಸ್ವಿಯಾಗಿ ಬುಕ್ ಮಾಡಲಾಗಿದೆ!")</f>
        <v>ನಿಮ್ಮ ಸವಾರಿಯನ್ನು ಯಶಸ್ವಿಯಾಗಿ ಬುಕ್ ಮಾಡಲಾಗಿದೆ!</v>
      </c>
      <c r="F1060" s="7" t="str">
        <f>IFERROR(__xludf.DUMMYFUNCTION("GOOGLETRANSLATE(B1060, ""en"", ""ml"")"),"നിങ്ങളുടെ യാത്ര വിജയകരമായി ബുക്ക് ചെയ്തു!")</f>
        <v>നിങ്ങളുടെ യാത്ര വിജയകരമായി ബുക്ക് ചെയ്തു!</v>
      </c>
      <c r="G1060" s="7" t="str">
        <f>IFERROR(__xludf.DUMMYFUNCTION("GOOGLETRANSLATE(B1060, ""en"", ""te"")"),"మీ రైడ్ విజయవంతంగా బుక్ చేయబడింది!")</f>
        <v>మీ రైడ్ విజయవంతంగా బుక్ చేయబడింది!</v>
      </c>
    </row>
    <row r="1061">
      <c r="A1061" s="4" t="s">
        <v>2596</v>
      </c>
      <c r="B1061" s="5" t="s">
        <v>2597</v>
      </c>
      <c r="C1061" s="6" t="s">
        <v>2598</v>
      </c>
      <c r="D1061" s="6" t="str">
        <f>IFERROR(__xludf.DUMMYFUNCTION("GOOGLETRANSLATE(B1061, ""en"", ""hi"")"),"आपकी यात्रा बीच में ही रद्द हो गई है।")</f>
        <v>आपकी यात्रा बीच में ही रद्द हो गई है।</v>
      </c>
      <c r="E1061" s="6" t="str">
        <f>IFERROR(__xludf.DUMMYFUNCTION("GOOGLETRANSLATE(B1061, ""en"", ""kn"")"),"ನಿಮ್ಮ ಸವಾರಿಯನ್ನು ಮಧ್ಯದಲ್ಲಿ ರದ್ದುಗೊಳಿಸಲಾಗಿದೆ.")</f>
        <v>ನಿಮ್ಮ ಸವಾರಿಯನ್ನು ಮಧ್ಯದಲ್ಲಿ ರದ್ದುಗೊಳಿಸಲಾಗಿದೆ.</v>
      </c>
      <c r="F1061" s="7" t="str">
        <f>IFERROR(__xludf.DUMMYFUNCTION("GOOGLETRANSLATE(B1061, ""en"", ""ml"")"),"ഇടയിലുള്ള യാത്രയിൽ നിങ്ങളുടെ യാത്ര റദ്ദാക്കി.")</f>
        <v>ഇടയിലുള്ള യാത്രയിൽ നിങ്ങളുടെ യാത്ര റദ്ദാക്കി.</v>
      </c>
      <c r="G1061" s="7" t="str">
        <f>IFERROR(__xludf.DUMMYFUNCTION("GOOGLETRANSLATE(B1061, ""en"", ""te"")"),"మీ రైడ్ మధ్యలో రద్దు చేయబడింది.")</f>
        <v>మీ రైడ్ మధ్యలో రద్దు చేయబడింది.</v>
      </c>
    </row>
    <row r="1062">
      <c r="A1062" s="4" t="s">
        <v>2599</v>
      </c>
      <c r="B1062" s="5" t="s">
        <v>2600</v>
      </c>
      <c r="C1062" s="6" t="s">
        <v>2601</v>
      </c>
      <c r="D1062" s="6" t="str">
        <f>IFERROR(__xludf.DUMMYFUNCTION("GOOGLETRANSLATE(B1062, ""en"", ""hi"")"),"आपकी यात्रा पूरी हो गई है।")</f>
        <v>आपकी यात्रा पूरी हो गई है।</v>
      </c>
      <c r="E1062" s="6" t="str">
        <f>IFERROR(__xludf.DUMMYFUNCTION("GOOGLETRANSLATE(B1062, ""en"", ""kn"")"),"ನಿಮ್ಮ ಸವಾರಿ ಪೂರ್ಣಗೊಂಡಿದೆ.")</f>
        <v>ನಿಮ್ಮ ಸವಾರಿ ಪೂರ್ಣಗೊಂಡಿದೆ.</v>
      </c>
      <c r="F1062" s="7" t="str">
        <f>IFERROR(__xludf.DUMMYFUNCTION("GOOGLETRANSLATE(B1062, ""en"", ""ml"")"),"നിങ്ങളുടെ യാത്ര പൂർത്തിയായി.")</f>
        <v>നിങ്ങളുടെ യാത്ര പൂർത്തിയായി.</v>
      </c>
      <c r="G1062" s="7" t="str">
        <f>IFERROR(__xludf.DUMMYFUNCTION("GOOGLETRANSLATE(B1062, ""en"", ""te"")"),"మీ ప్రయాణం పూర్తయింది.")</f>
        <v>మీ ప్రయాణం పూర్తయింది.</v>
      </c>
    </row>
    <row r="1063">
      <c r="A1063" s="4" t="s">
        <v>2602</v>
      </c>
      <c r="B1063" s="5" t="s">
        <v>2603</v>
      </c>
      <c r="C1063" s="6" t="s">
        <v>2604</v>
      </c>
      <c r="D1063" s="6" t="str">
        <f>IFERROR(__xludf.DUMMYFUNCTION("GOOGLETRANSLATE(B1063, ""en"", ""hi"")"),"आपकी सवारी")</f>
        <v>आपकी सवारी</v>
      </c>
      <c r="E1063" s="6" t="str">
        <f>IFERROR(__xludf.DUMMYFUNCTION("GOOGLETRANSLATE(B1063, ""en"", ""kn"")"),"ನಿಮ್ಮ ಸವಾರಿಗಳು")</f>
        <v>ನಿಮ್ಮ ಸವಾರಿಗಳು</v>
      </c>
      <c r="F1063" s="7" t="str">
        <f>IFERROR(__xludf.DUMMYFUNCTION("GOOGLETRANSLATE(B1063, ""en"", ""ml"")"),"നിങ്ങളുടെ റൈഡുകൾ")</f>
        <v>നിങ്ങളുടെ റൈഡുകൾ</v>
      </c>
      <c r="G1063" s="7" t="str">
        <f>IFERROR(__xludf.DUMMYFUNCTION("GOOGLETRANSLATE(B1063, ""en"", ""te"")"),"మీ రైడ్‌లు")</f>
        <v>మీ రైడ్‌లు</v>
      </c>
    </row>
    <row r="1064">
      <c r="A1064" s="14" t="s">
        <v>2605</v>
      </c>
      <c r="B1064" s="12" t="s">
        <v>2606</v>
      </c>
      <c r="C1064" s="6" t="str">
        <f>IFERROR(__xludf.DUMMYFUNCTION("GOOGLETRANSLATE(B1064, ""en"", ""ta"")"),"ஓட்டுநர் விவரங்கள்")</f>
        <v>ஓட்டுநர் விவரங்கள்</v>
      </c>
      <c r="D1064" s="6" t="str">
        <f>IFERROR(__xludf.DUMMYFUNCTION("GOOGLETRANSLATE(B1064, ""en"", ""hi"")"),"चालक विवरण")</f>
        <v>चालक विवरण</v>
      </c>
      <c r="E1064" s="6" t="str">
        <f>IFERROR(__xludf.DUMMYFUNCTION("GOOGLETRANSLATE(B1064, ""en"", ""kn"")"),"ಚಾಲಕ ವಿವರಗಳು")</f>
        <v>ಚಾಲಕ ವಿವರಗಳು</v>
      </c>
      <c r="F1064" s="7" t="str">
        <f>IFERROR(__xludf.DUMMYFUNCTION("GOOGLETRANSLATE(B1064, ""en"", ""ml"")"),"ഡ്രൈവർ വിശദാംശങ്ങൾ")</f>
        <v>ഡ്രൈവർ വിശദാംശങ്ങൾ</v>
      </c>
      <c r="G1064" s="7" t="str">
        <f>IFERROR(__xludf.DUMMYFUNCTION("GOOGLETRANSLATE(B1064, ""en"", ""te"")"),"డ్రైవర్ వివరాలు")</f>
        <v>డ్రైవర్ వివరాలు</v>
      </c>
    </row>
    <row r="1065">
      <c r="A1065" s="14" t="s">
        <v>2607</v>
      </c>
      <c r="B1065" s="12" t="s">
        <v>2608</v>
      </c>
      <c r="C1065" s="6" t="str">
        <f>IFERROR(__xludf.DUMMYFUNCTION("GOOGLETRANSLATE(B1065, ""en"", ""ta"")"),"வாகன விவரங்கள்")</f>
        <v>வாகன விவரங்கள்</v>
      </c>
      <c r="D1065" s="6" t="str">
        <f>IFERROR(__xludf.DUMMYFUNCTION("GOOGLETRANSLATE(B1065, ""en"", ""hi"")"),"वाहन की सूचना")</f>
        <v>वाहन की सूचना</v>
      </c>
      <c r="E1065" s="6" t="str">
        <f>IFERROR(__xludf.DUMMYFUNCTION("GOOGLETRANSLATE(B1065, ""en"", ""kn"")"),"ವಾಹನ ವಿವರಗಳು")</f>
        <v>ವಾಹನ ವಿವರಗಳು</v>
      </c>
      <c r="F1065" s="7" t="str">
        <f>IFERROR(__xludf.DUMMYFUNCTION("GOOGLETRANSLATE(B1065, ""en"", ""ml"")"),"വാഹന വിശദാംശങ്ങൾ")</f>
        <v>വാഹന വിശദാംശങ്ങൾ</v>
      </c>
      <c r="G1065" s="7" t="str">
        <f>IFERROR(__xludf.DUMMYFUNCTION("GOOGLETRANSLATE(B1065, ""en"", ""te"")"),"వాహన వివరాలు")</f>
        <v>వాహన వివరాలు</v>
      </c>
    </row>
    <row r="1066">
      <c r="A1066" s="14" t="s">
        <v>2609</v>
      </c>
      <c r="B1066" s="12" t="s">
        <v>2610</v>
      </c>
      <c r="C1066" s="6" t="str">
        <f>IFERROR(__xludf.DUMMYFUNCTION("GOOGLETRANSLATE(B1066, ""en"", ""ta"")"),"வங்கி விவரங்கள்")</f>
        <v>வங்கி விவரங்கள்</v>
      </c>
      <c r="D1066" s="6" t="str">
        <f>IFERROR(__xludf.DUMMYFUNCTION("GOOGLETRANSLATE(B1066, ""en"", ""hi"")"),"बैंक विवरण")</f>
        <v>बैंक विवरण</v>
      </c>
      <c r="E1066" s="6" t="str">
        <f>IFERROR(__xludf.DUMMYFUNCTION("GOOGLETRANSLATE(B1066, ""en"", ""kn"")"),"ಬ್ಯಾಂಕ್ ವಿವರಗಳು")</f>
        <v>ಬ್ಯಾಂಕ್ ವಿವರಗಳು</v>
      </c>
      <c r="F1066" s="7" t="str">
        <f>IFERROR(__xludf.DUMMYFUNCTION("GOOGLETRANSLATE(B1066, ""en"", ""ml"")"),"ബാങ്ക് വിശദാംശങ്ങൾ")</f>
        <v>ബാങ്ക് വിശദാംശങ്ങൾ</v>
      </c>
      <c r="G1066" s="7" t="str">
        <f>IFERROR(__xludf.DUMMYFUNCTION("GOOGLETRANSLATE(B1066, ""en"", ""te"")"),"బ్యాంక్ వివరాలు")</f>
        <v>బ్యాంక్ వివరాలు</v>
      </c>
    </row>
    <row r="1067">
      <c r="A1067" s="14" t="s">
        <v>554</v>
      </c>
      <c r="B1067" s="12" t="s">
        <v>555</v>
      </c>
      <c r="C1067" s="6" t="str">
        <f>IFERROR(__xludf.DUMMYFUNCTION("GOOGLETRANSLATE(B1067, ""en"", ""ta"")"),"சான்று ஆவணங்கள்")</f>
        <v>சான்று ஆவணங்கள்</v>
      </c>
      <c r="D1067" s="6" t="str">
        <f>IFERROR(__xludf.DUMMYFUNCTION("GOOGLETRANSLATE(B1067, ""en"", ""hi"")"),"प्रमाण दस्तावेज़")</f>
        <v>प्रमाण दस्तावेज़</v>
      </c>
      <c r="E1067" s="6" t="str">
        <f>IFERROR(__xludf.DUMMYFUNCTION("GOOGLETRANSLATE(B1067, ""en"", ""kn"")"),"ಪುರಾವೆ ದಾಖಲೆಗಳು")</f>
        <v>ಪುರಾವೆ ದಾಖಲೆಗಳು</v>
      </c>
      <c r="F1067" s="7" t="str">
        <f>IFERROR(__xludf.DUMMYFUNCTION("GOOGLETRANSLATE(B1067, ""en"", ""ml"")"),"തെളിവ് രേഖകൾ")</f>
        <v>തെളിവ് രേഖകൾ</v>
      </c>
      <c r="G1067" s="7" t="str">
        <f>IFERROR(__xludf.DUMMYFUNCTION("GOOGLETRANSLATE(B1067, ""en"", ""te"")"),"రుజువు పత్రాలు")</f>
        <v>రుజువు పత్రాలు</v>
      </c>
    </row>
    <row r="1068">
      <c r="A1068" s="14" t="s">
        <v>2611</v>
      </c>
      <c r="B1068" s="18" t="s">
        <v>2612</v>
      </c>
      <c r="C1068" s="6" t="str">
        <f>IFERROR(__xludf.DUMMYFUNCTION("GOOGLETRANSLATE(B1068, ""en"", ""ta"")"),"ஆவண மையம்")</f>
        <v>ஆவண மையம்</v>
      </c>
      <c r="D1068" s="6" t="str">
        <f>IFERROR(__xludf.DUMMYFUNCTION("GOOGLETRANSLATE(B1068, ""en"", ""hi"")"),"दस्तावेज़ केंद्र")</f>
        <v>दस्तावेज़ केंद्र</v>
      </c>
      <c r="E1068" s="6" t="str">
        <f>IFERROR(__xludf.DUMMYFUNCTION("GOOGLETRANSLATE(B1068, ""en"", ""kn"")"),"ಡಾಕ್ಯುಮೆಂಟ್ ಸೆಂಟರ್")</f>
        <v>ಡಾಕ್ಯುಮೆಂಟ್ ಸೆಂಟರ್</v>
      </c>
      <c r="F1068" s="7" t="str">
        <f>IFERROR(__xludf.DUMMYFUNCTION("GOOGLETRANSLATE(B1068, ""en"", ""ml"")"),"ഡോക്യുമെന്റ് സെന്റർ")</f>
        <v>ഡോക്യുമെന്റ് സെന്റർ</v>
      </c>
      <c r="G1068" s="7" t="str">
        <f>IFERROR(__xludf.DUMMYFUNCTION("GOOGLETRANSLATE(B1068, ""en"", ""te"")"),"డాక్యుమెంట్ సెంటర్")</f>
        <v>డాక్యుమెంట్ సెంటర్</v>
      </c>
    </row>
    <row r="1069">
      <c r="A1069" s="11" t="s">
        <v>2613</v>
      </c>
      <c r="B1069" s="19" t="s">
        <v>2614</v>
      </c>
      <c r="C1069" s="6" t="str">
        <f>IFERROR(__xludf.DUMMYFUNCTION("GOOGLETRANSLATE(B1069, ""en"", ""ta"")"),"இந்தப் படிகளை முடிக்கவும், இதன் மூலம் நீங்கள் சவாரிகளை ஏற்றுக்கொள்ளத் தொடங்கலாம்.")</f>
        <v>இந்தப் படிகளை முடிக்கவும், இதன் மூலம் நீங்கள் சவாரிகளை ஏற்றுக்கொள்ளத் தொடங்கலாம்.</v>
      </c>
      <c r="D1069" s="6" t="str">
        <f>IFERROR(__xludf.DUMMYFUNCTION("GOOGLETRANSLATE(B1069, ""en"", ""hi"")"),"इन चरणों को पूरा करें ताकि आप सवारी स्वीकार करना शुरू कर सकें।")</f>
        <v>इन चरणों को पूरा करें ताकि आप सवारी स्वीकार करना शुरू कर सकें।</v>
      </c>
      <c r="E1069" s="6" t="str">
        <f>IFERROR(__xludf.DUMMYFUNCTION("GOOGLETRANSLATE(B1069, ""en"", ""kn"")"),"ಈ ಹಂತಗಳನ್ನು ಪೂರ್ಣಗೊಳಿಸಿ ಇದರಿಂದ ನೀವು ಸವಾರಿಗಳನ್ನು ಸ್ವೀಕರಿಸಲು ಪ್ರಾರಂಭಿಸಬಹುದು.")</f>
        <v>ಈ ಹಂತಗಳನ್ನು ಪೂರ್ಣಗೊಳಿಸಿ ಇದರಿಂದ ನೀವು ಸವಾರಿಗಳನ್ನು ಸ್ವೀಕರಿಸಲು ಪ್ರಾರಂಭಿಸಬಹುದು.</v>
      </c>
      <c r="F1069" s="7" t="str">
        <f>IFERROR(__xludf.DUMMYFUNCTION("GOOGLETRANSLATE(B1069, ""en"", ""ml"")"),"റൈഡുകൾ സ്വീകരിക്കാൻ തുടങ്ങുന്നതിന് ഈ ഘട്ടങ്ങൾ പൂർത്തിയാക്കുക.")</f>
        <v>റൈഡുകൾ സ്വീകരിക്കാൻ തുടങ്ങുന്നതിന് ഈ ഘട്ടങ്ങൾ പൂർത്തിയാക്കുക.</v>
      </c>
      <c r="G1069" s="7" t="str">
        <f>IFERROR(__xludf.DUMMYFUNCTION("GOOGLETRANSLATE(B1069, ""en"", ""te"")"),"ఈ దశలను పూర్తి చేయండి, తద్వారా మీరు రైడ్‌లను అంగీకరించడం ప్రారంభించవచ్చు.")</f>
        <v>ఈ దశలను పూర్తి చేయండి, తద్వారా మీరు రైడ్‌లను అంగీకరించడం ప్రారంభించవచ్చు.</v>
      </c>
    </row>
    <row r="1070">
      <c r="A1070" s="11" t="s">
        <v>2615</v>
      </c>
      <c r="B1070" s="19" t="s">
        <v>2616</v>
      </c>
      <c r="C1070" s="6" t="str">
        <f>IFERROR(__xludf.DUMMYFUNCTION("GOOGLETRANSLATE(B1070, ""en"", ""ta"")"),"தயவுசெய்து செல்லுபடியாகும் தொலைபேசி எண்ணை உள்ளிடவும்.")</f>
        <v>தயவுசெய்து செல்லுபடியாகும் தொலைபேசி எண்ணை உள்ளிடவும்.</v>
      </c>
      <c r="D1070" s="6" t="str">
        <f>IFERROR(__xludf.DUMMYFUNCTION("GOOGLETRANSLATE(B1070, ""en"", ""hi"")"),"कृपया मान्य फ़ोन नंबर दर्ज करें")</f>
        <v>कृपया मान्य फ़ोन नंबर दर्ज करें</v>
      </c>
      <c r="E1070" s="6" t="str">
        <f>IFERROR(__xludf.DUMMYFUNCTION("GOOGLETRANSLATE(B1070, ""en"", ""kn"")"),"ದಯವಿಟ್ಟು ಮಾನ್ಯವಾದ ಫೋನ್ ಸಂಖ್ಯೆಯನ್ನು ನಮೂದಿಸಿ.")</f>
        <v>ದಯವಿಟ್ಟು ಮಾನ್ಯವಾದ ಫೋನ್ ಸಂಖ್ಯೆಯನ್ನು ನಮೂದಿಸಿ.</v>
      </c>
      <c r="F1070" s="7" t="str">
        <f>IFERROR(__xludf.DUMMYFUNCTION("GOOGLETRANSLATE(B1070, ""en"", ""ml"")"),"ദയവായി സാധുവായ ഫോൺ നമ്പർ നൽകുക.")</f>
        <v>ദയവായി സാധുവായ ഫോൺ നമ്പർ നൽകുക.</v>
      </c>
      <c r="G1070" s="7" t="str">
        <f>IFERROR(__xludf.DUMMYFUNCTION("GOOGLETRANSLATE(B1070, ""en"", ""te"")"),"దయచేసి చెల్లుబాటు అయ్యే ఫోన్ నంబర్‌ను నమోదు చేయండి.")</f>
        <v>దయచేసి చెల్లుబాటు అయ్యే ఫోన్ నంబర్‌ను నమోదు చేయండి.</v>
      </c>
    </row>
    <row r="1071">
      <c r="A1071" s="11" t="s">
        <v>2617</v>
      </c>
      <c r="B1071" s="19" t="s">
        <v>2618</v>
      </c>
      <c r="C1071" s="6" t="str">
        <f>IFERROR(__xludf.DUMMYFUNCTION("GOOGLETRANSLATE(B1071, ""en"", ""ta"")"),"உரிம எண் கண்டறியப்பட்டு தானாகவே நிரப்பப்பட்டது.")</f>
        <v>உரிம எண் கண்டறியப்பட்டு தானாகவே நிரப்பப்பட்டது.</v>
      </c>
      <c r="D1071" s="6" t="str">
        <f>IFERROR(__xludf.DUMMYFUNCTION("GOOGLETRANSLATE(B1071, ""en"", ""hi"")"),"लाइसेंस नंबर का पता लगाकर उसे स्वचालित रूप से भर दिया गया।")</f>
        <v>लाइसेंस नंबर का पता लगाकर उसे स्वचालित रूप से भर दिया गया।</v>
      </c>
      <c r="E1071" s="6" t="str">
        <f>IFERROR(__xludf.DUMMYFUNCTION("GOOGLETRANSLATE(B1071, ""en"", ""kn"")"),"ಪರವಾನಗಿ ಸಂಖ್ಯೆಯನ್ನು ಪತ್ತೆಹಚ್ಚಲಾಗಿದೆ ಮತ್ತು ಸ್ವಯಂಚಾಲಿತವಾಗಿ ಭರ್ತಿ ಮಾಡಲಾಗಿದೆ.")</f>
        <v>ಪರವಾನಗಿ ಸಂಖ್ಯೆಯನ್ನು ಪತ್ತೆಹಚ್ಚಲಾಗಿದೆ ಮತ್ತು ಸ್ವಯಂಚಾಲಿತವಾಗಿ ಭರ್ತಿ ಮಾಡಲಾಗಿದೆ.</v>
      </c>
      <c r="F1071" s="7" t="str">
        <f>IFERROR(__xludf.DUMMYFUNCTION("GOOGLETRANSLATE(B1071, ""en"", ""ml"")"),"ലൈസൻസ് നമ്പർ കണ്ടെത്തി സ്വയമേവ പൂരിപ്പിക്കുന്നു.")</f>
        <v>ലൈസൻസ് നമ്പർ കണ്ടെത്തി സ്വയമേവ പൂരിപ്പിക്കുന്നു.</v>
      </c>
      <c r="G1071" s="7" t="str">
        <f>IFERROR(__xludf.DUMMYFUNCTION("GOOGLETRANSLATE(B1071, ""en"", ""te"")"),"లైసెన్స్ నంబర్ గుర్తించబడింది మరియు స్వయంచాలకంగా నింపబడుతుంది.")</f>
        <v>లైసెన్స్ నంబర్ గుర్తించబడింది మరియు స్వయంచాలకంగా నింపబడుతుంది.</v>
      </c>
    </row>
    <row r="1072">
      <c r="A1072" s="11" t="s">
        <v>2619</v>
      </c>
      <c r="B1072" s="19" t="s">
        <v>2620</v>
      </c>
      <c r="C1072" s="6" t="str">
        <f>IFERROR(__xludf.DUMMYFUNCTION("GOOGLETRANSLATE(B1072, ""en"", ""ta"")"),"பிறந்த தேதி கண்டறியப்பட்டு தானாகவே நிரப்பப்படும்.")</f>
        <v>பிறந்த தேதி கண்டறியப்பட்டு தானாகவே நிரப்பப்படும்.</v>
      </c>
      <c r="D1072" s="6" t="str">
        <f>IFERROR(__xludf.DUMMYFUNCTION("GOOGLETRANSLATE(B1072, ""en"", ""hi"")"),"जन्म तिथि का पता लगाकर उसे स्वचालित रूप से भर दिया जाता है।")</f>
        <v>जन्म तिथि का पता लगाकर उसे स्वचालित रूप से भर दिया जाता है।</v>
      </c>
      <c r="E1072" s="6" t="str">
        <f>IFERROR(__xludf.DUMMYFUNCTION("GOOGLETRANSLATE(B1072, ""en"", ""kn"")"),"ಜನ್ಮ ದಿನಾಂಕವನ್ನು ಪತ್ತೆಹಚ್ಚಲಾಗುತ್ತದೆ ಮತ್ತು ಸ್ವಯಂಚಾಲಿತವಾಗಿ ಭರ್ತಿ ಮಾಡಲಾಗುತ್ತದೆ.")</f>
        <v>ಜನ್ಮ ದಿನಾಂಕವನ್ನು ಪತ್ತೆಹಚ್ಚಲಾಗುತ್ತದೆ ಮತ್ತು ಸ್ವಯಂಚಾಲಿತವಾಗಿ ಭರ್ತಿ ಮಾಡಲಾಗುತ್ತದೆ.</v>
      </c>
      <c r="F1072" s="7" t="str">
        <f>IFERROR(__xludf.DUMMYFUNCTION("GOOGLETRANSLATE(B1072, ""en"", ""ml"")"),"ജനനത്തീയതി കണ്ടെത്തി സ്വയമേവ പൂരിപ്പിക്കുന്നു.")</f>
        <v>ജനനത്തീയതി കണ്ടെത്തി സ്വയമേവ പൂരിപ്പിക്കുന്നു.</v>
      </c>
      <c r="G1072" s="7" t="str">
        <f>IFERROR(__xludf.DUMMYFUNCTION("GOOGLETRANSLATE(B1072, ""en"", ""te"")"),"పుట్టిన తేదీ గుర్తించబడింది మరియు స్వయంచాలకంగా నింపబడుతుంది.")</f>
        <v>పుట్టిన తేదీ గుర్తించబడింది మరియు స్వయంచాలకంగా నింపబడుతుంది.</v>
      </c>
    </row>
    <row r="1073">
      <c r="A1073" s="11" t="s">
        <v>2621</v>
      </c>
      <c r="B1073" s="12" t="s">
        <v>2622</v>
      </c>
      <c r="C1073" s="6" t="str">
        <f>IFERROR(__xludf.DUMMYFUNCTION("GOOGLETRANSLATE(B1073, ""en"", ""ta"")"),"உரிம விவரங்களைக் கண்டறிய முடியவில்லை. புலங்களை கைமுறையாகப் புதுப்பிக்கவும்.")</f>
        <v>உரிம விவரங்களைக் கண்டறிய முடியவில்லை. புலங்களை கைமுறையாகப் புதுப்பிக்கவும்.</v>
      </c>
      <c r="D1073" s="6" t="str">
        <f>IFERROR(__xludf.DUMMYFUNCTION("GOOGLETRANSLATE(B1073, ""en"", ""hi"")"),"लाइसेंस संबंधी जानकारी नहीं मिल पाई। कृपया फ़ील्ड को मैन्युअल रूप से अपडेट करें।")</f>
        <v>लाइसेंस संबंधी जानकारी नहीं मिल पाई। कृपया फ़ील्ड को मैन्युअल रूप से अपडेट करें।</v>
      </c>
      <c r="E1073" s="6" t="str">
        <f>IFERROR(__xludf.DUMMYFUNCTION("GOOGLETRANSLATE(B1073, ""en"", ""kn"")"),"ಪರವಾನಗಿ ವಿವರಗಳನ್ನು ಪತ್ತೆಹಚ್ಚಲು ಸಾಧ್ಯವಾಗಲಿಲ್ಲ. ಕ್ಷೇತ್ರಗಳನ್ನು ಹಸ್ತಚಾಲಿತವಾಗಿ ನವೀಕರಿಸಿ.")</f>
        <v>ಪರವಾನಗಿ ವಿವರಗಳನ್ನು ಪತ್ತೆಹಚ್ಚಲು ಸಾಧ್ಯವಾಗಲಿಲ್ಲ. ಕ್ಷೇತ್ರಗಳನ್ನು ಹಸ್ತಚಾಲಿತವಾಗಿ ನವೀಕರಿಸಿ.</v>
      </c>
      <c r="F1073" s="7" t="str">
        <f>IFERROR(__xludf.DUMMYFUNCTION("GOOGLETRANSLATE(B1073, ""en"", ""ml"")"),"ലൈസൻസ് വിശദാംശങ്ങൾ കണ്ടെത്താനായില്ല. ഫീൽഡുകൾ നേരിട്ട് അപ്‌ഡേറ്റ് ചെയ്യുക.")</f>
        <v>ലൈസൻസ് വിശദാംശങ്ങൾ കണ്ടെത്താനായില്ല. ഫീൽഡുകൾ നേരിട്ട് അപ്‌ഡേറ്റ് ചെയ്യുക.</v>
      </c>
      <c r="G1073" s="7" t="str">
        <f>IFERROR(__xludf.DUMMYFUNCTION("GOOGLETRANSLATE(B1073, ""en"", ""te"")"),"లైసెన్స్ వివరాలను గుర్తించలేకపోయాము. ఫీల్డ్‌లను మాన్యువల్‌గా అప్‌డేట్ చేయండి.")</f>
        <v>లైసెన్స్ వివరాలను గుర్తించలేకపోయాము. ఫీల్డ్‌లను మాన్యువల్‌గా అప్‌డేట్ చేయండి.</v>
      </c>
    </row>
    <row r="1074">
      <c r="A1074" s="11" t="s">
        <v>2623</v>
      </c>
      <c r="B1074" s="12" t="s">
        <v>2624</v>
      </c>
      <c r="C1074" s="6" t="str">
        <f>IFERROR(__xludf.DUMMYFUNCTION("GOOGLETRANSLATE(B1074, ""en"", ""ta"")"),"பிறந்த தேதியை உள்ளிடவும்.")</f>
        <v>பிறந்த தேதியை உள்ளிடவும்.</v>
      </c>
      <c r="D1074" s="6" t="str">
        <f>IFERROR(__xludf.DUMMYFUNCTION("GOOGLETRANSLATE(B1074, ""en"", ""hi"")"),"कृपया जन्मतिथि दर्ज करें")</f>
        <v>कृपया जन्मतिथि दर्ज करें</v>
      </c>
      <c r="E1074" s="6" t="str">
        <f>IFERROR(__xludf.DUMMYFUNCTION("GOOGLETRANSLATE(B1074, ""en"", ""kn"")"),"ದಯವಿಟ್ಟು ಜನ್ಮ ದಿನಾಂಕವನ್ನು ನಮೂದಿಸಿ.")</f>
        <v>ದಯವಿಟ್ಟು ಜನ್ಮ ದಿನಾಂಕವನ್ನು ನಮೂದಿಸಿ.</v>
      </c>
      <c r="F1074" s="7" t="str">
        <f>IFERROR(__xludf.DUMMYFUNCTION("GOOGLETRANSLATE(B1074, ""en"", ""ml"")"),"ദയവായി ജനനത്തീയതി നൽകുക.")</f>
        <v>ദയവായി ജനനത്തീയതി നൽകുക.</v>
      </c>
      <c r="G1074" s="7" t="str">
        <f>IFERROR(__xludf.DUMMYFUNCTION("GOOGLETRANSLATE(B1074, ""en"", ""te"")"),"దయచేసి పుట్టిన తేదీని నమోదు చేయండి.")</f>
        <v>దయచేసి పుట్టిన తేదీని నమోదు చేయండి.</v>
      </c>
    </row>
    <row r="1075">
      <c r="A1075" s="11" t="s">
        <v>2625</v>
      </c>
      <c r="B1075" s="12" t="s">
        <v>2626</v>
      </c>
      <c r="C1075" s="6" t="str">
        <f>IFERROR(__xludf.DUMMYFUNCTION("GOOGLETRANSLATE(B1075, ""en"", ""ta"")"),"தொடர்வதற்கு முன் ஓட்டுநர் புகைப்படத்தைப் பதிவேற்றவும்.")</f>
        <v>தொடர்வதற்கு முன் ஓட்டுநர் புகைப்படத்தைப் பதிவேற்றவும்.</v>
      </c>
      <c r="D1075" s="6" t="str">
        <f>IFERROR(__xludf.DUMMYFUNCTION("GOOGLETRANSLATE(B1075, ""en"", ""hi"")"),"आगे बढ़ने से पहले ड्राइवर की फोटो अपलोड करें।")</f>
        <v>आगे बढ़ने से पहले ड्राइवर की फोटो अपलोड करें।</v>
      </c>
      <c r="E1075" s="6" t="str">
        <f>IFERROR(__xludf.DUMMYFUNCTION("GOOGLETRANSLATE(B1075, ""en"", ""kn"")"),"ಮುಂದುವರಿಯುವ ಮೊದಲು ಚಾಲಕ ಫೋಟೋವನ್ನು ಅಪ್‌ಲೋಡ್ ಮಾಡಿ.")</f>
        <v>ಮುಂದುವರಿಯುವ ಮೊದಲು ಚಾಲಕ ಫೋಟೋವನ್ನು ಅಪ್‌ಲೋಡ್ ಮಾಡಿ.</v>
      </c>
      <c r="F1075" s="7" t="str">
        <f>IFERROR(__xludf.DUMMYFUNCTION("GOOGLETRANSLATE(B1075, ""en"", ""ml"")"),"തുടരുന്നതിന് മുമ്പ് ഡ്രൈവർ ഫോട്ടോ അപ്‌ലോഡ് ചെയ്യുക.")</f>
        <v>തുടരുന്നതിന് മുമ്പ് ഡ്രൈവർ ഫോട്ടോ അപ്‌ലോഡ് ചെയ്യുക.</v>
      </c>
      <c r="G1075" s="7" t="str">
        <f>IFERROR(__xludf.DUMMYFUNCTION("GOOGLETRANSLATE(B1075, ""en"", ""te"")"),"కొనసాగే ముందు డ్రైవర్ ఫోటోను అప్‌లోడ్ చేయండి.")</f>
        <v>కొనసాగే ముందు డ్రైవర్ ఫోటోను అప్‌లోడ్ చేయండి.</v>
      </c>
    </row>
    <row r="1076">
      <c r="A1076" s="11" t="s">
        <v>2627</v>
      </c>
      <c r="B1076" s="12" t="s">
        <v>2628</v>
      </c>
      <c r="C1076" s="6" t="str">
        <f>IFERROR(__xludf.DUMMYFUNCTION("GOOGLETRANSLATE(B1076, ""en"", ""ta"")"),"தொடர்வதற்கு முன் ஓட்டுநர் உரிமத்தைப் பதிவேற்றவும்.")</f>
        <v>தொடர்வதற்கு முன் ஓட்டுநர் உரிமத்தைப் பதிவேற்றவும்.</v>
      </c>
      <c r="D1076" s="6" t="str">
        <f>IFERROR(__xludf.DUMMYFUNCTION("GOOGLETRANSLATE(B1076, ""en"", ""hi"")"),"आगे बढ़ने से पहले ड्राइविंग लाइसेंस अपलोड करें।")</f>
        <v>आगे बढ़ने से पहले ड्राइविंग लाइसेंस अपलोड करें।</v>
      </c>
      <c r="E1076" s="6" t="str">
        <f>IFERROR(__xludf.DUMMYFUNCTION("GOOGLETRANSLATE(B1076, ""en"", ""kn"")"),"ಮುಂದುವರಿಯುವ ಮೊದಲು ಚಾಲನಾ ಪರವಾನಗಿಯನ್ನು ಅಪ್‌ಲೋಡ್ ಮಾಡಿ.")</f>
        <v>ಮುಂದುವರಿಯುವ ಮೊದಲು ಚಾಲನಾ ಪರವಾನಗಿಯನ್ನು ಅಪ್‌ಲೋಡ್ ಮಾಡಿ.</v>
      </c>
      <c r="F1076" s="7" t="str">
        <f>IFERROR(__xludf.DUMMYFUNCTION("GOOGLETRANSLATE(B1076, ""en"", ""ml"")"),"തുടരുന്നതിന് മുമ്പ് ഡ്രൈവിംഗ് ലൈസൻസ് അപ്‌ലോഡ് ചെയ്യുക.")</f>
        <v>തുടരുന്നതിന് മുമ്പ് ഡ്രൈവിംഗ് ലൈസൻസ് അപ്‌ലോഡ് ചെയ്യുക.</v>
      </c>
      <c r="G1076" s="7" t="str">
        <f>IFERROR(__xludf.DUMMYFUNCTION("GOOGLETRANSLATE(B1076, ""en"", ""te"")"),"కొనసాగే ముందు డ్రైవింగ్ లైసెన్స్‌ను అప్‌లోడ్ చేయండి.")</f>
        <v>కొనసాగే ముందు డ్రైవింగ్ లైసెన్స్‌ను అప్‌లోడ్ చేయండి.</v>
      </c>
    </row>
    <row r="1077">
      <c r="A1077" s="11" t="s">
        <v>2629</v>
      </c>
      <c r="B1077" s="12" t="s">
        <v>2630</v>
      </c>
      <c r="C1077" s="6" t="str">
        <f>IFERROR(__xludf.DUMMYFUNCTION("GOOGLETRANSLATE(B1077, ""en"", ""ta"")"),"ஓட்டுநரின் தெளிவான சமீபத்திய புகைப்படத்தைப் பதிவேற்றவும் அல்லது பிடிக்கவும்.")</f>
        <v>ஓட்டுநரின் தெளிவான சமீபத்திய புகைப்படத்தைப் பதிவேற்றவும் அல்லது பிடிக்கவும்.</v>
      </c>
      <c r="D1077" s="6" t="str">
        <f>IFERROR(__xludf.DUMMYFUNCTION("GOOGLETRANSLATE(B1077, ""en"", ""hi"")"),"ड्राइवर की हाल ही की स्पष्ट तस्वीर अपलोड करें या खींचकर भेजें।")</f>
        <v>ड्राइवर की हाल ही की स्पष्ट तस्वीर अपलोड करें या खींचकर भेजें।</v>
      </c>
      <c r="E1077" s="6" t="str">
        <f>IFERROR(__xludf.DUMMYFUNCTION("GOOGLETRANSLATE(B1077, ""en"", ""kn"")"),"ಚಾಲಕನ ಇತ್ತೀಚಿನ ಸ್ಪಷ್ಟ ಫೋಟೋವನ್ನು ಅಪ್‌ಲೋಡ್ ಮಾಡಿ ಅಥವಾ ಸೆರೆಹಿಡಿಯಿರಿ.")</f>
        <v>ಚಾಲಕನ ಇತ್ತೀಚಿನ ಸ್ಪಷ್ಟ ಫೋಟೋವನ್ನು ಅಪ್‌ಲೋಡ್ ಮಾಡಿ ಅಥವಾ ಸೆರೆಹಿಡಿಯಿರಿ.</v>
      </c>
      <c r="F1077" s="7" t="str">
        <f>IFERROR(__xludf.DUMMYFUNCTION("GOOGLETRANSLATE(B1077, ""en"", ""ml"")"),"ഡ്രൈവറുടെ വ്യക്തമായ ഒരു സമീപകാല ഫോട്ടോ അപ്‌ലോഡ് ചെയ്യുക അല്ലെങ്കിൽ പകർത്തുക.")</f>
        <v>ഡ്രൈവറുടെ വ്യക്തമായ ഒരു സമീപകാല ഫോട്ടോ അപ്‌ലോഡ് ചെയ്യുക അല്ലെങ്കിൽ പകർത്തുക.</v>
      </c>
      <c r="G1077" s="7" t="str">
        <f>IFERROR(__xludf.DUMMYFUNCTION("GOOGLETRANSLATE(B1077, ""en"", ""te"")"),"డ్రైవర్ యొక్క స్పష్టమైన ఇటీవలి ఫోటోను అప్‌లోడ్ చేయండి లేదా క్యాప్చర్ చేయండి.")</f>
        <v>డ్రైవర్ యొక్క స్పష్టమైన ఇటీవలి ఫోటోను అప్‌లోడ్ చేయండి లేదా క్యాప్చర్ చేయండి.</v>
      </c>
    </row>
    <row r="1078">
      <c r="A1078" s="11" t="s">
        <v>2631</v>
      </c>
      <c r="B1078" s="12" t="s">
        <v>2632</v>
      </c>
      <c r="C1078" s="6" t="str">
        <f>IFERROR(__xludf.DUMMYFUNCTION("GOOGLETRANSLATE(B1078, ""en"", ""ta"")"),"இந்த பயன்முறையில் திருத்துதல் முடக்கப்பட்டுள்ளது.")</f>
        <v>இந்த பயன்முறையில் திருத்துதல் முடக்கப்பட்டுள்ளது.</v>
      </c>
      <c r="D1078" s="6" t="str">
        <f>IFERROR(__xludf.DUMMYFUNCTION("GOOGLETRANSLATE(B1078, ""en"", ""hi"")"),"इस मोड में संपादन की सुविधा अक्षम है।")</f>
        <v>इस मोड में संपादन की सुविधा अक्षम है।</v>
      </c>
      <c r="E1078" s="6" t="str">
        <f>IFERROR(__xludf.DUMMYFUNCTION("GOOGLETRANSLATE(B1078, ""en"", ""kn"")"),"ಈ ಕ್ರಮದಲ್ಲಿ ಸಂಪಾದನೆಯನ್ನು ನಿಷ್ಕ್ರಿಯಗೊಳಿಸಲಾಗಿದೆ.")</f>
        <v>ಈ ಕ್ರಮದಲ್ಲಿ ಸಂಪಾದನೆಯನ್ನು ನಿಷ್ಕ್ರಿಯಗೊಳಿಸಲಾಗಿದೆ.</v>
      </c>
      <c r="F1078" s="7" t="str">
        <f>IFERROR(__xludf.DUMMYFUNCTION("GOOGLETRANSLATE(B1078, ""en"", ""ml"")"),"ഈ മോഡിൽ എഡിറ്റിംഗ് അപ്രാപ്തമാക്കിയിരിക്കുന്നു.")</f>
        <v>ഈ മോഡിൽ എഡിറ്റിംഗ് അപ്രാപ്തമാക്കിയിരിക്കുന്നു.</v>
      </c>
      <c r="G1078" s="7" t="str">
        <f>IFERROR(__xludf.DUMMYFUNCTION("GOOGLETRANSLATE(B1078, ""en"", ""te"")"),"ఈ మోడ్‌లో సవరణ నిలిపివేయబడింది.")</f>
        <v>ఈ మోడ్‌లో సవరణ నిలిపివేయబడింది.</v>
      </c>
    </row>
    <row r="1079">
      <c r="A1079" s="11" t="s">
        <v>2633</v>
      </c>
      <c r="B1079" s="12" t="s">
        <v>2634</v>
      </c>
      <c r="C1079" s="6" t="str">
        <f>IFERROR(__xludf.DUMMYFUNCTION("GOOGLETRANSLATE(B1079, ""en"", ""ta"")"),"சொல்ல வேண்டாம்னு ஆசைப்படுறேன்.")</f>
        <v>சொல்ல வேண்டாம்னு ஆசைப்படுறேன்.</v>
      </c>
      <c r="D1079" s="6" t="str">
        <f>IFERROR(__xludf.DUMMYFUNCTION("GOOGLETRANSLATE(B1079, ""en"", ""hi"")"),"नहीं कहना पसंद करते हैं")</f>
        <v>नहीं कहना पसंद करते हैं</v>
      </c>
      <c r="E1079" s="6" t="str">
        <f>IFERROR(__xludf.DUMMYFUNCTION("GOOGLETRANSLATE(B1079, ""en"", ""kn"")"),"ಹೇಳಲು ಇಷ್ಟಪಡುವುದಿಲ್ಲ")</f>
        <v>ಹೇಳಲು ಇಷ್ಟಪಡುವುದಿಲ್ಲ</v>
      </c>
      <c r="F1079" s="7" t="str">
        <f>IFERROR(__xludf.DUMMYFUNCTION("GOOGLETRANSLATE(B1079, ""en"", ""ml"")"),"പറയാതിരിക്കാൻ ഇഷ്ടപ്പെടുന്നു")</f>
        <v>പറയാതിരിക്കാൻ ഇഷ്ടപ്പെടുന്നു</v>
      </c>
      <c r="G1079" s="7" t="str">
        <f>IFERROR(__xludf.DUMMYFUNCTION("GOOGLETRANSLATE(B1079, ""en"", ""te"")"),"చెప్పకూడదని కోరుకుంటున్నాను")</f>
        <v>చెప్పకూడదని కోరుకుంటున్నాను</v>
      </c>
    </row>
    <row r="1080">
      <c r="A1080" s="20" t="s">
        <v>2635</v>
      </c>
      <c r="B1080" s="21" t="s">
        <v>2636</v>
      </c>
      <c r="C1080" s="6" t="str">
        <f>IFERROR(__xludf.DUMMYFUNCTION("GOOGLETRANSLATE(B1080, ""en"", ""ta"")"),"வாகன ஆர்.சி.")</f>
        <v>வாகன ஆர்.சி.</v>
      </c>
      <c r="D1080" s="6" t="str">
        <f>IFERROR(__xludf.DUMMYFUNCTION("GOOGLETRANSLATE(B1080, ""en"", ""hi"")"),"वाहन आरसी")</f>
        <v>वाहन आरसी</v>
      </c>
      <c r="E1080" s="6" t="str">
        <f>IFERROR(__xludf.DUMMYFUNCTION("GOOGLETRANSLATE(B1080, ""en"", ""kn"")"),"ವಾಹನ ಆರ್‌ಸಿ")</f>
        <v>ವಾಹನ ಆರ್‌ಸಿ</v>
      </c>
      <c r="F1080" s="7" t="str">
        <f>IFERROR(__xludf.DUMMYFUNCTION("GOOGLETRANSLATE(B1080, ""en"", ""ml"")"),"വാഹന ആർസി")</f>
        <v>വാഹന ആർസി</v>
      </c>
      <c r="G1080" s="7" t="str">
        <f>IFERROR(__xludf.DUMMYFUNCTION("GOOGLETRANSLATE(B1080, ""en"", ""te"")"),"వాహన RC")</f>
        <v>వాహన RC</v>
      </c>
    </row>
    <row r="1081">
      <c r="A1081" s="20" t="s">
        <v>2637</v>
      </c>
      <c r="B1081" s="15" t="s">
        <v>2638</v>
      </c>
      <c r="C1081" s="6" t="str">
        <f>IFERROR(__xludf.DUMMYFUNCTION("GOOGLETRANSLATE(B1081, ""en"", ""ta"")"),"பதிவு எண்ணை தானாகவே கண்டறிய வாகன RC-ஐ பதிவேற்றவும் அல்லது பிடிக்கவும்.")</f>
        <v>பதிவு எண்ணை தானாகவே கண்டறிய வாகன RC-ஐ பதிவேற்றவும் அல்லது பிடிக்கவும்.</v>
      </c>
      <c r="D1081" s="6" t="str">
        <f>IFERROR(__xludf.DUMMYFUNCTION("GOOGLETRANSLATE(B1081, ""en"", ""hi"")"),"वाहन की आरसी अपलोड करें या कैप्चर करें ताकि पंजीकरण संख्या स्वचालित रूप से पता चल सके।")</f>
        <v>वाहन की आरसी अपलोड करें या कैप्चर करें ताकि पंजीकरण संख्या स्वचालित रूप से पता चल सके।</v>
      </c>
      <c r="E1081" s="6" t="str">
        <f>IFERROR(__xludf.DUMMYFUNCTION("GOOGLETRANSLATE(B1081, ""en"", ""kn"")"),"ನೋಂದಣಿ ಸಂಖ್ಯೆಯನ್ನು ಸ್ವಯಂಚಾಲಿತವಾಗಿ ಪತ್ತೆಹಚ್ಚಲು ವಾಹನದ ಆರ್‌ಸಿಯನ್ನು ಅಪ್‌ಲೋಡ್ ಮಾಡಿ ಅಥವಾ ಸೆರೆಹಿಡಿಯಿರಿ.")</f>
        <v>ನೋಂದಣಿ ಸಂಖ್ಯೆಯನ್ನು ಸ್ವಯಂಚಾಲಿತವಾಗಿ ಪತ್ತೆಹಚ್ಚಲು ವಾಹನದ ಆರ್‌ಸಿಯನ್ನು ಅಪ್‌ಲೋಡ್ ಮಾಡಿ ಅಥವಾ ಸೆರೆಹಿಡಿಯಿರಿ.</v>
      </c>
      <c r="F1081" s="7" t="str">
        <f>IFERROR(__xludf.DUMMYFUNCTION("GOOGLETRANSLATE(B1081, ""en"", ""ml"")"),"രജിസ്ട്രേഷൻ നമ്പർ സ്വയമേവ കണ്ടെത്തുന്നതിന് വാഹന ആർസി അപ്‌ലോഡ് ചെയ്യുക അല്ലെങ്കിൽ ക്യാപ്‌ചർ ചെയ്യുക.")</f>
        <v>രജിസ്ട്രേഷൻ നമ്പർ സ്വയമേവ കണ്ടെത്തുന്നതിന് വാഹന ആർസി അപ്‌ലോഡ് ചെയ്യുക അല്ലെങ്കിൽ ക്യാപ്‌ചർ ചെയ്യുക.</v>
      </c>
      <c r="G1081" s="7" t="str">
        <f>IFERROR(__xludf.DUMMYFUNCTION("GOOGLETRANSLATE(B1081, ""en"", ""te"")"),"రిజిస్ట్రేషన్ నంబర్‌ను స్వయంచాలకంగా గుర్తించడానికి వాహన RCని అప్‌లోడ్ చేయండి లేదా సంగ్రహించండి.")</f>
        <v>రిజిస్ట్రేషన్ నంబర్‌ను స్వయంచాలకంగా గుర్తించడానికి వాహన RCని అప్‌లోడ్ చేయండి లేదా సంగ్రహించండి.</v>
      </c>
    </row>
    <row r="1082">
      <c r="A1082" s="20" t="s">
        <v>2639</v>
      </c>
      <c r="B1082" s="15" t="s">
        <v>2640</v>
      </c>
      <c r="C1082" s="6" t="str">
        <f>IFERROR(__xludf.DUMMYFUNCTION("GOOGLETRANSLATE(B1082, ""en"", ""ta"")"),"வாகன RC-ஐ பதிவேற்றவும் அல்லது பிடிக்கவும்")</f>
        <v>வாகன RC-ஐ பதிவேற்றவும் அல்லது பிடிக்கவும்</v>
      </c>
      <c r="D1082" s="6" t="str">
        <f>IFERROR(__xludf.DUMMYFUNCTION("GOOGLETRANSLATE(B1082, ""en"", ""hi"")"),"वाहन आरसी अपलोड करें या कैप्चर करें")</f>
        <v>वाहन आरसी अपलोड करें या कैप्चर करें</v>
      </c>
      <c r="E1082" s="6" t="str">
        <f>IFERROR(__xludf.DUMMYFUNCTION("GOOGLETRANSLATE(B1082, ""en"", ""kn"")"),"ವಾಹನ ಆರ್‌ಸಿಯನ್ನು ಅಪ್‌ಲೋಡ್ ಮಾಡಿ ಅಥವಾ ಸೆರೆಹಿಡಿಯಿರಿ")</f>
        <v>ವಾಹನ ಆರ್‌ಸಿಯನ್ನು ಅಪ್‌ಲೋಡ್ ಮಾಡಿ ಅಥವಾ ಸೆರೆಹಿಡಿಯಿರಿ</v>
      </c>
      <c r="F1082" s="7" t="str">
        <f>IFERROR(__xludf.DUMMYFUNCTION("GOOGLETRANSLATE(B1082, ""en"", ""ml"")"),"വാഹന RC അപ്‌ലോഡ് ചെയ്യുക അല്ലെങ്കിൽ പിടിച്ചെടുക്കുക")</f>
        <v>വാഹന RC അപ്‌ലോഡ് ചെയ്യുക അല്ലെങ്കിൽ പിടിച്ചെടുക്കുക</v>
      </c>
      <c r="G1082" s="7" t="str">
        <f>IFERROR(__xludf.DUMMYFUNCTION("GOOGLETRANSLATE(B1082, ""en"", ""te"")"),"వాహన RCని అప్‌లోడ్ చేయండి లేదా సంగ్రహించండి")</f>
        <v>వాహన RCని అప్‌లోడ్ చేయండి లేదా సంగ్రహించండి</v>
      </c>
    </row>
    <row r="1083">
      <c r="A1083" s="20" t="s">
        <v>2641</v>
      </c>
      <c r="B1083" s="15" t="s">
        <v>2642</v>
      </c>
      <c r="C1083" s="6" t="str">
        <f>IFERROR(__xludf.DUMMYFUNCTION("GOOGLETRANSLATE(B1083, ""en"", ""ta"")"),"ஆதார் அட்டை")</f>
        <v>ஆதார் அட்டை</v>
      </c>
      <c r="D1083" s="6" t="str">
        <f>IFERROR(__xludf.DUMMYFUNCTION("GOOGLETRANSLATE(B1083, ""en"", ""hi"")"),"आधार कार्ड")</f>
        <v>आधार कार्ड</v>
      </c>
      <c r="E1083" s="6" t="str">
        <f>IFERROR(__xludf.DUMMYFUNCTION("GOOGLETRANSLATE(B1083, ""en"", ""kn"")"),"ಆಧಾರ್ ಕಾರ್ಡ್")</f>
        <v>ಆಧಾರ್ ಕಾರ್ಡ್</v>
      </c>
      <c r="F1083" s="7" t="str">
        <f>IFERROR(__xludf.DUMMYFUNCTION("GOOGLETRANSLATE(B1083, ""en"", ""ml"")"),"ആധാർ കാർഡ്")</f>
        <v>ആധാർ കാർഡ്</v>
      </c>
      <c r="G1083" s="7" t="str">
        <f>IFERROR(__xludf.DUMMYFUNCTION("GOOGLETRANSLATE(B1083, ""en"", ""te"")"),"ఆధార్ కార్డు")</f>
        <v>ఆధార్ కార్డు</v>
      </c>
    </row>
    <row r="1084">
      <c r="A1084" s="20" t="s">
        <v>2643</v>
      </c>
      <c r="B1084" s="15" t="s">
        <v>2644</v>
      </c>
      <c r="C1084" s="6" t="str">
        <f>IFERROR(__xludf.DUMMYFUNCTION("GOOGLETRANSLATE(B1084, ""en"", ""ta"")"),"விவரங்கள் தானாகவே கண்டறியப்பட்டன. சமர்ப்பிக்கும் முன் மதிப்பாய்வு செய்யவும்.")</f>
        <v>விவரங்கள் தானாகவே கண்டறியப்பட்டன. சமர்ப்பிக்கும் முன் மதிப்பாய்வு செய்யவும்.</v>
      </c>
      <c r="D1084" s="6" t="str">
        <f>IFERROR(__xludf.DUMMYFUNCTION("GOOGLETRANSLATE(B1084, ""en"", ""hi"")"),"विवरण स्वचालित रूप से पता लगा लिया गया है। सबमिट करने से पहले समीक्षा करें।")</f>
        <v>विवरण स्वचालित रूप से पता लगा लिया गया है। सबमिट करने से पहले समीक्षा करें।</v>
      </c>
      <c r="E1084" s="6" t="str">
        <f>IFERROR(__xludf.DUMMYFUNCTION("GOOGLETRANSLATE(B1084, ""en"", ""kn"")"),"ವಿವರಗಳನ್ನು ಸ್ವಯಂಚಾಲಿತವಾಗಿ ಪತ್ತೆಹಚ್ಚಲಾಗಿದೆ. ಸಲ್ಲಿಸುವ ಮೊದಲು ಪರಿಶೀಲಿಸಿ.")</f>
        <v>ವಿವರಗಳನ್ನು ಸ್ವಯಂಚಾಲಿತವಾಗಿ ಪತ್ತೆಹಚ್ಚಲಾಗಿದೆ. ಸಲ್ಲಿಸುವ ಮೊದಲು ಪರಿಶೀಲಿಸಿ.</v>
      </c>
      <c r="F1084" s="7" t="str">
        <f>IFERROR(__xludf.DUMMYFUNCTION("GOOGLETRANSLATE(B1084, ""en"", ""ml"")"),"വിശദാംശങ്ങൾ സ്വയമേവ കണ്ടെത്തി. സമർപ്പിക്കുന്നതിന് മുമ്പ് അവലോകനം ചെയ്യുക.")</f>
        <v>വിശദാംശങ്ങൾ സ്വയമേവ കണ്ടെത്തി. സമർപ്പിക്കുന്നതിന് മുമ്പ് അവലോകനം ചെയ്യുക.</v>
      </c>
      <c r="G1084" s="7" t="str">
        <f>IFERROR(__xludf.DUMMYFUNCTION("GOOGLETRANSLATE(B1084, ""en"", ""te"")"),"వివరాలు స్వయంచాలకంగా గుర్తించబడ్డాయి. సమర్పించే ముందు సమీక్షించండి.")</f>
        <v>వివరాలు స్వయంచాలకంగా గుర్తించబడ్డాయి. సమర్పించే ముందు సమీక్షించండి.</v>
      </c>
    </row>
    <row r="1085">
      <c r="A1085" s="22" t="s">
        <v>2645</v>
      </c>
      <c r="B1085" s="15" t="s">
        <v>2646</v>
      </c>
      <c r="C1085" s="6" t="str">
        <f>IFERROR(__xludf.DUMMYFUNCTION("GOOGLETRANSLATE(B1085, ""en"", ""ta"")"),"ஆதார் எண்ணைப் பிரித்தெடுக்க முடியவில்லை. புலத்தை கைமுறையாகப் புதுப்பிக்கவும்.")</f>
        <v>ஆதார் எண்ணைப் பிரித்தெடுக்க முடியவில்லை. புலத்தை கைமுறையாகப் புதுப்பிக்கவும்.</v>
      </c>
      <c r="D1085" s="6" t="str">
        <f>IFERROR(__xludf.DUMMYFUNCTION("GOOGLETRANSLATE(B1085, ""en"", ""hi"")"),"आधार नंबर नहीं निकाला जा सका। कृपया फ़ील्ड को मैन्युअल रूप से अपडेट करें।")</f>
        <v>आधार नंबर नहीं निकाला जा सका। कृपया फ़ील्ड को मैन्युअल रूप से अपडेट करें।</v>
      </c>
      <c r="E1085" s="6" t="str">
        <f>IFERROR(__xludf.DUMMYFUNCTION("GOOGLETRANSLATE(B1085, ""en"", ""kn"")"),"ಆಧಾರ್ ಸಂಖ್ಯೆಯನ್ನು ಹೊರತೆಗೆಯಲು ಸಾಧ್ಯವಾಗಲಿಲ್ಲ. ಕ್ಷೇತ್ರವನ್ನು ಹಸ್ತಚಾಲಿತವಾಗಿ ನವೀಕರಿಸಿ.")</f>
        <v>ಆಧಾರ್ ಸಂಖ್ಯೆಯನ್ನು ಹೊರತೆಗೆಯಲು ಸಾಧ್ಯವಾಗಲಿಲ್ಲ. ಕ್ಷೇತ್ರವನ್ನು ಹಸ್ತಚಾಲಿತವಾಗಿ ನವೀಕರಿಸಿ.</v>
      </c>
      <c r="F1085" s="7" t="str">
        <f>IFERROR(__xludf.DUMMYFUNCTION("GOOGLETRANSLATE(B1085, ""en"", ""ml"")"),"ആധാർ നമ്പർ വേർതിരിച്ചെടുക്കാൻ കഴിഞ്ഞില്ല. ഫീൽഡ് നേരിട്ട് അപ്ഡേറ്റ് ചെയ്യുക.")</f>
        <v>ആധാർ നമ്പർ വേർതിരിച്ചെടുക്കാൻ കഴിഞ്ഞില്ല. ഫീൽഡ് നേരിട്ട് അപ്ഡേറ്റ് ചെയ്യുക.</v>
      </c>
      <c r="G1085" s="7" t="str">
        <f>IFERROR(__xludf.DUMMYFUNCTION("GOOGLETRANSLATE(B1085, ""en"", ""te"")"),"ఆధార్ నంబర్‌ను సంగ్రహించడం సాధ్యం కాలేదు. ఫీల్డ్‌ను మాన్యువల్‌గా అప్‌డేట్ చేయండి.")</f>
        <v>ఆధార్ నంబర్‌ను సంగ్రహించడం సాధ్యం కాలేదు. ఫీల్డ్‌ను మాన్యువల్‌గా అప్‌డేట్ చేయండి.</v>
      </c>
    </row>
    <row r="1086">
      <c r="A1086" s="20" t="s">
        <v>2647</v>
      </c>
      <c r="B1086" s="15" t="s">
        <v>2648</v>
      </c>
      <c r="C1086" s="6" t="str">
        <f>IFERROR(__xludf.DUMMYFUNCTION("GOOGLETRANSLATE(B1086, ""en"", ""ta"")"),"ஆவணத்தைப் பதிவேற்றுகிறது. காத்திருக்கவும்…")</f>
        <v>ஆவணத்தைப் பதிவேற்றுகிறது. காத்திருக்கவும்…</v>
      </c>
      <c r="D1086" s="6" t="str">
        <f>IFERROR(__xludf.DUMMYFUNCTION("GOOGLETRANSLATE(B1086, ""en"", ""hi"")"),"दस्तावेज़ अपलोड हो रहा है। कृपया प्रतीक्षा करें…")</f>
        <v>दस्तावेज़ अपलोड हो रहा है। कृपया प्रतीक्षा करें…</v>
      </c>
      <c r="E1086" s="6" t="str">
        <f>IFERROR(__xludf.DUMMYFUNCTION("GOOGLETRANSLATE(B1086, ""en"", ""kn"")"),"ಡಾಕ್ಯುಮೆಂಟ್ ಅಪ್‌ಲೋಡ್ ಮಾಡಲಾಗುತ್ತಿದೆ. ದಯವಿಟ್ಟು ನಿರೀಕ್ಷಿಸಿ…")</f>
        <v>ಡಾಕ್ಯುಮೆಂಟ್ ಅಪ್‌ಲೋಡ್ ಮಾಡಲಾಗುತ್ತಿದೆ. ದಯವಿಟ್ಟು ನಿರೀಕ್ಷಿಸಿ…</v>
      </c>
      <c r="F1086" s="7" t="str">
        <f>IFERROR(__xludf.DUMMYFUNCTION("GOOGLETRANSLATE(B1086, ""en"", ""ml"")"),"ഡോക്യുമെന്റ് അപ്‌ലോഡ് ചെയ്യുന്നു. ദയവായി കാത്തിരിക്കുക…")</f>
        <v>ഡോക്യുമെന്റ് അപ്‌ലോഡ് ചെയ്യുന്നു. ദയവായി കാത്തിരിക്കുക…</v>
      </c>
      <c r="G1086" s="7" t="str">
        <f>IFERROR(__xludf.DUMMYFUNCTION("GOOGLETRANSLATE(B1086, ""en"", ""te"")"),"పత్రాన్ని అప్‌లోడ్ చేస్తోంది. దయచేసి వేచి ఉండండి…")</f>
        <v>పత్రాన్ని అప్‌లోడ్ చేస్తోంది. దయచేసి వేచి ఉండండి…</v>
      </c>
    </row>
    <row r="1087">
      <c r="A1087" s="20" t="s">
        <v>2649</v>
      </c>
      <c r="B1087" s="15" t="s">
        <v>2650</v>
      </c>
      <c r="C1087" s="6" t="str">
        <f>IFERROR(__xludf.DUMMYFUNCTION("GOOGLETRANSLATE(B1087, ""en"", ""ta"")"),"ஆவணம் தயாராக உள்ளது. அனுப்ப பதிவேற்று என்பதைத் தட்டவும்.")</f>
        <v>ஆவணம் தயாராக உள்ளது. அனுப்ப பதிவேற்று என்பதைத் தட்டவும்.</v>
      </c>
      <c r="D1087" s="6" t="str">
        <f>IFERROR(__xludf.DUMMYFUNCTION("GOOGLETRANSLATE(B1087, ""en"", ""hi"")"),"दस्तावेज़ तैयार है। भेजने के लिए अपलोड पर टैप करें।")</f>
        <v>दस्तावेज़ तैयार है। भेजने के लिए अपलोड पर टैप करें।</v>
      </c>
      <c r="E1087" s="6" t="str">
        <f>IFERROR(__xludf.DUMMYFUNCTION("GOOGLETRANSLATE(B1087, ""en"", ""kn"")"),"ಡಾಕ್ಯುಮೆಂಟ್ ಸಿದ್ಧವಾಗಿದೆ. ಕಳುಹಿಸಲು ಅಪ್‌ಲೋಡ್ ಟ್ಯಾಪ್ ಮಾಡಿ.")</f>
        <v>ಡಾಕ್ಯುಮೆಂಟ್ ಸಿದ್ಧವಾಗಿದೆ. ಕಳುಹಿಸಲು ಅಪ್‌ಲೋಡ್ ಟ್ಯಾಪ್ ಮಾಡಿ.</v>
      </c>
      <c r="F1087" s="7" t="str">
        <f>IFERROR(__xludf.DUMMYFUNCTION("GOOGLETRANSLATE(B1087, ""en"", ""ml"")"),"ഡോക്യുമെന്റ് തയ്യാറാണ്. അയയ്ക്കാൻ അപ്‌ലോഡ് ടാപ്പ് ചെയ്യുക.")</f>
        <v>ഡോക്യുമെന്റ് തയ്യാറാണ്. അയയ്ക്കാൻ അപ്‌ലോഡ് ടാപ്പ് ചെയ്യുക.</v>
      </c>
      <c r="G1087" s="7" t="str">
        <f>IFERROR(__xludf.DUMMYFUNCTION("GOOGLETRANSLATE(B1087, ""en"", ""te"")"),"పత్రం సిద్ధంగా ఉంది. పంపడానికి అప్‌లోడ్‌ను నొక్కండి.")</f>
        <v>పత్రం సిద్ధంగా ఉంది. పంపడానికి అప్‌లోడ్‌ను నొక్కండి.</v>
      </c>
    </row>
    <row r="1088">
      <c r="A1088" s="20" t="s">
        <v>2651</v>
      </c>
      <c r="B1088" s="15" t="s">
        <v>2652</v>
      </c>
      <c r="C1088" s="6" t="str">
        <f>IFERROR(__xludf.DUMMYFUNCTION("GOOGLETRANSLATE(B1088, ""en"", ""ta"")"),"ஆதார் அல்லது பான் எண்ணைப் புதுப்பிக்கவும். குறைந்தது ஒரு செல்லுபடியாகும் ஆவணத்தையாவது வழங்கவும்.")</f>
        <v>ஆதார் அல்லது பான் எண்ணைப் புதுப்பிக்கவும். குறைந்தது ஒரு செல்லுபடியாகும் ஆவணத்தையாவது வழங்கவும்.</v>
      </c>
      <c r="D1088" s="6" t="str">
        <f>IFERROR(__xludf.DUMMYFUNCTION("GOOGLETRANSLATE(B1088, ""en"", ""hi"")"),"आधार या पैन कार्ड अपडेट करें। कम से कम एक वैध दस्तावेज प्रदान करें।")</f>
        <v>आधार या पैन कार्ड अपडेट करें। कम से कम एक वैध दस्तावेज प्रदान करें।</v>
      </c>
      <c r="E1088" s="6" t="str">
        <f>IFERROR(__xludf.DUMMYFUNCTION("GOOGLETRANSLATE(B1088, ""en"", ""kn"")"),"ಆಧಾರ್ ಅಥವಾ ಪ್ಯಾನ್ ಅನ್ನು ನವೀಕರಿಸಿ. ಕನಿಷ್ಠ ಒಂದು ಮಾನ್ಯ ದಾಖಲೆಯನ್ನು ಒದಗಿಸಿ.")</f>
        <v>ಆಧಾರ್ ಅಥವಾ ಪ್ಯಾನ್ ಅನ್ನು ನವೀಕರಿಸಿ. ಕನಿಷ್ಠ ಒಂದು ಮಾನ್ಯ ದಾಖಲೆಯನ್ನು ಒದಗಿಸಿ.</v>
      </c>
      <c r="F1088" s="7" t="str">
        <f>IFERROR(__xludf.DUMMYFUNCTION("GOOGLETRANSLATE(B1088, ""en"", ""ml"")"),"ആധാർ അല്ലെങ്കിൽ പാൻ അപ്ഡേറ്റ് ചെയ്യുക. കുറഞ്ഞത് ഒരു സാധുവായ രേഖയെങ്കിലും നൽകുക.")</f>
        <v>ആധാർ അല്ലെങ്കിൽ പാൻ അപ്ഡേറ്റ് ചെയ്യുക. കുറഞ്ഞത് ഒരു സാധുവായ രേഖയെങ്കിലും നൽകുക.</v>
      </c>
      <c r="G1088" s="7" t="str">
        <f>IFERROR(__xludf.DUMMYFUNCTION("GOOGLETRANSLATE(B1088, ""en"", ""te"")"),"ఆధార్ లేదా పాన్‌ను అప్‌డేట్ చేయండి. కనీసం ఒక చెల్లుబాటు అయ్యే పత్రాన్ని అందించండి.")</f>
        <v>ఆధార్ లేదా పాన్‌ను అప్‌డేట్ చేయండి. కనీసం ఒక చెల్లుబాటు అయ్యే పత్రాన్ని అందించండి.</v>
      </c>
    </row>
    <row r="1089">
      <c r="A1089" s="20" t="s">
        <v>2653</v>
      </c>
      <c r="B1089" s="15" t="s">
        <v>2654</v>
      </c>
      <c r="C1089" s="6" t="str">
        <f>IFERROR(__xludf.DUMMYFUNCTION("GOOGLETRANSLATE(B1089, ""en"", ""ta"")"),"பாலினத்தைத் தேர்ந்தெடுக்கவும்.")</f>
        <v>பாலினத்தைத் தேர்ந்தெடுக்கவும்.</v>
      </c>
      <c r="D1089" s="6" t="str">
        <f>IFERROR(__xludf.DUMMYFUNCTION("GOOGLETRANSLATE(B1089, ""en"", ""hi"")"),"कृपया लिंग चुनें")</f>
        <v>कृपया लिंग चुनें</v>
      </c>
      <c r="E1089" s="6" t="str">
        <f>IFERROR(__xludf.DUMMYFUNCTION("GOOGLETRANSLATE(B1089, ""en"", ""kn"")"),"ದಯವಿಟ್ಟು ಲಿಂಗವನ್ನು ಆಯ್ಕೆಮಾಡಿ")</f>
        <v>ದಯವಿಟ್ಟು ಲಿಂಗವನ್ನು ಆಯ್ಕೆಮಾಡಿ</v>
      </c>
      <c r="F1089" s="7" t="str">
        <f>IFERROR(__xludf.DUMMYFUNCTION("GOOGLETRANSLATE(B1089, ""en"", ""ml"")"),"ദയവായി ലിംഗഭേദം തിരഞ്ഞെടുക്കുക.")</f>
        <v>ദയവായി ലിംഗഭേദം തിരഞ്ഞെടുക്കുക.</v>
      </c>
      <c r="G1089" s="7" t="str">
        <f>IFERROR(__xludf.DUMMYFUNCTION("GOOGLETRANSLATE(B1089, ""en"", ""te"")"),"దయచేసి లింగాన్ని ఎంచుకోండి.")</f>
        <v>దయచేసి లింగాన్ని ఎంచుకోండి.</v>
      </c>
    </row>
    <row r="1090">
      <c r="A1090" s="8"/>
      <c r="B1090" s="6"/>
      <c r="C1090" s="6"/>
      <c r="D1090" s="6"/>
      <c r="E1090" s="6"/>
    </row>
    <row r="1091">
      <c r="A1091" s="8"/>
      <c r="B1091" s="6"/>
      <c r="C1091" s="6"/>
      <c r="D1091" s="6"/>
      <c r="E1091" s="6"/>
    </row>
    <row r="1092">
      <c r="A1092" s="4"/>
      <c r="B1092" s="5"/>
      <c r="C1092" s="6"/>
      <c r="D1092" s="6"/>
      <c r="E1092" s="6"/>
    </row>
    <row r="1093">
      <c r="A1093" s="10"/>
      <c r="B1093" s="5"/>
      <c r="C1093" s="6"/>
      <c r="D1093" s="6"/>
      <c r="E1093" s="6"/>
    </row>
    <row r="1094">
      <c r="A1094" s="10"/>
      <c r="B1094" s="5"/>
      <c r="C1094" s="6"/>
      <c r="D1094" s="6"/>
      <c r="E1094" s="6"/>
    </row>
    <row r="1095">
      <c r="A1095" s="10"/>
      <c r="B1095" s="5"/>
      <c r="C1095" s="6"/>
      <c r="D1095" s="6"/>
      <c r="E1095" s="6"/>
    </row>
    <row r="1096">
      <c r="A1096" s="10"/>
      <c r="B1096" s="5"/>
      <c r="C1096" s="6"/>
      <c r="D1096" s="6"/>
      <c r="E1096" s="6"/>
    </row>
    <row r="1097">
      <c r="A1097" s="10"/>
      <c r="B1097" s="5"/>
      <c r="C1097" s="6"/>
      <c r="D1097" s="6"/>
      <c r="E1097" s="6"/>
    </row>
    <row r="1098">
      <c r="A1098" s="10"/>
      <c r="B1098" s="5"/>
      <c r="C1098" s="6"/>
      <c r="D1098" s="6"/>
      <c r="E1098" s="6"/>
    </row>
    <row r="1099">
      <c r="A1099" s="10"/>
      <c r="B1099" s="5"/>
      <c r="C1099" s="6"/>
      <c r="D1099" s="6"/>
      <c r="E1099" s="6"/>
    </row>
    <row r="1100">
      <c r="A1100" s="10"/>
      <c r="B1100" s="5"/>
      <c r="C1100" s="6"/>
      <c r="D1100" s="6"/>
      <c r="E1100" s="6"/>
    </row>
    <row r="1101">
      <c r="A1101" s="10"/>
      <c r="B1101" s="5"/>
      <c r="C1101" s="6"/>
      <c r="D1101" s="6"/>
      <c r="E1101" s="6"/>
    </row>
    <row r="1102">
      <c r="A1102" s="10"/>
      <c r="B1102" s="5"/>
      <c r="C1102" s="6"/>
      <c r="D1102" s="6"/>
      <c r="E1102" s="6"/>
    </row>
    <row r="1103">
      <c r="A1103" s="10"/>
      <c r="B1103" s="5"/>
      <c r="C1103" s="6"/>
      <c r="D1103" s="6"/>
      <c r="E1103" s="6"/>
    </row>
    <row r="1104">
      <c r="A1104" s="10"/>
      <c r="B1104" s="5"/>
      <c r="C1104" s="6"/>
      <c r="D1104" s="6"/>
      <c r="E1104" s="6"/>
    </row>
    <row r="1105">
      <c r="A1105" s="4"/>
      <c r="B1105" s="5"/>
      <c r="C1105" s="6"/>
      <c r="D1105" s="6"/>
      <c r="E1105" s="6"/>
    </row>
    <row r="1106">
      <c r="A1106" s="4"/>
      <c r="B1106" s="5"/>
      <c r="C1106" s="6"/>
      <c r="D1106" s="6"/>
      <c r="E1106" s="6"/>
    </row>
    <row r="1107">
      <c r="A1107" s="4"/>
      <c r="B1107" s="5"/>
      <c r="C1107" s="6"/>
      <c r="D1107" s="6"/>
      <c r="E1107" s="6"/>
    </row>
    <row r="1108">
      <c r="A1108" s="4"/>
      <c r="B1108" s="5"/>
      <c r="C1108" s="6"/>
      <c r="D1108" s="6"/>
      <c r="E1108" s="6"/>
    </row>
    <row r="1109">
      <c r="A1109" s="4"/>
      <c r="B1109" s="5"/>
      <c r="C1109" s="6"/>
      <c r="D1109" s="6"/>
      <c r="E1109" s="6"/>
    </row>
    <row r="1110">
      <c r="A1110" s="4"/>
      <c r="B1110" s="5"/>
      <c r="C1110" s="6"/>
      <c r="D1110" s="6"/>
      <c r="E1110" s="6"/>
    </row>
    <row r="1111">
      <c r="A1111" s="4"/>
      <c r="B1111" s="5"/>
      <c r="C1111" s="6"/>
      <c r="D1111" s="6"/>
      <c r="E1111" s="6"/>
    </row>
    <row r="1112">
      <c r="A1112" s="4"/>
      <c r="B1112" s="5"/>
      <c r="C1112" s="6"/>
      <c r="D1112" s="6"/>
      <c r="E1112" s="6"/>
    </row>
    <row r="1113">
      <c r="A1113" s="4"/>
      <c r="B1113" s="5"/>
      <c r="C1113" s="6"/>
      <c r="D1113" s="6"/>
      <c r="E1113" s="6"/>
    </row>
    <row r="1114">
      <c r="A1114" s="4"/>
      <c r="B1114" s="5"/>
      <c r="C1114" s="6"/>
      <c r="D1114" s="6"/>
      <c r="E1114" s="6"/>
    </row>
    <row r="1115">
      <c r="A1115" s="4"/>
      <c r="B1115" s="5"/>
      <c r="C1115" s="6"/>
      <c r="D1115" s="6"/>
      <c r="E1115" s="6"/>
    </row>
    <row r="1116">
      <c r="A1116" s="4"/>
      <c r="B1116" s="5"/>
      <c r="C1116" s="6"/>
      <c r="D1116" s="6"/>
      <c r="E1116" s="6"/>
    </row>
    <row r="1117">
      <c r="A1117" s="4"/>
      <c r="B1117" s="5"/>
      <c r="C1117" s="6"/>
      <c r="D1117" s="6"/>
      <c r="E1117" s="6"/>
    </row>
    <row r="1118">
      <c r="A1118" s="4"/>
      <c r="B1118" s="5"/>
      <c r="C1118" s="6"/>
      <c r="D1118" s="6"/>
      <c r="E1118" s="6"/>
    </row>
    <row r="1119">
      <c r="A1119" s="4"/>
      <c r="B1119" s="5"/>
      <c r="C1119" s="6"/>
      <c r="D1119" s="6"/>
      <c r="E1119" s="6"/>
    </row>
    <row r="1120">
      <c r="A1120" s="4"/>
      <c r="B1120" s="5"/>
      <c r="C1120" s="6"/>
      <c r="D1120" s="6"/>
      <c r="E1120" s="6"/>
    </row>
    <row r="1121">
      <c r="A1121" s="4"/>
      <c r="B1121" s="5"/>
      <c r="C1121" s="6"/>
      <c r="D1121" s="6"/>
      <c r="E1121" s="6"/>
    </row>
    <row r="1122">
      <c r="A1122" s="4"/>
      <c r="B1122" s="5"/>
      <c r="C1122" s="6"/>
      <c r="D1122" s="6"/>
      <c r="E1122" s="6"/>
    </row>
    <row r="1123">
      <c r="A1123" s="4"/>
      <c r="B1123" s="5"/>
      <c r="C1123" s="6"/>
      <c r="D1123" s="6"/>
      <c r="E1123" s="6"/>
    </row>
    <row r="1124">
      <c r="A1124" s="4"/>
      <c r="B1124" s="5"/>
      <c r="C1124" s="6"/>
      <c r="D1124" s="6"/>
      <c r="E1124" s="6"/>
    </row>
    <row r="1125">
      <c r="A1125" s="4"/>
      <c r="B1125" s="5"/>
      <c r="C1125" s="6"/>
      <c r="D1125" s="6"/>
      <c r="E1125" s="6"/>
    </row>
    <row r="1126">
      <c r="A1126" s="4"/>
      <c r="B1126" s="5"/>
      <c r="C1126" s="6"/>
      <c r="D1126" s="6"/>
      <c r="E1126" s="6"/>
    </row>
    <row r="1127">
      <c r="A1127" s="4"/>
      <c r="B1127" s="5"/>
      <c r="C1127" s="6"/>
      <c r="D1127" s="6"/>
      <c r="E1127" s="6"/>
    </row>
    <row r="1128">
      <c r="A1128" s="4"/>
      <c r="B1128" s="5"/>
      <c r="C1128" s="6"/>
      <c r="D1128" s="6"/>
      <c r="E1128" s="6"/>
    </row>
    <row r="1129">
      <c r="A1129" s="4"/>
      <c r="B1129" s="5"/>
      <c r="C1129" s="6"/>
      <c r="D1129" s="6"/>
      <c r="E1129" s="6"/>
    </row>
    <row r="1130">
      <c r="A1130" s="4"/>
      <c r="B1130" s="5"/>
      <c r="C1130" s="6"/>
      <c r="D1130" s="6"/>
      <c r="E1130" s="6"/>
    </row>
    <row r="1131">
      <c r="A1131" s="4"/>
      <c r="B1131" s="5"/>
      <c r="C1131" s="6"/>
      <c r="D1131" s="6"/>
      <c r="E1131" s="6"/>
    </row>
    <row r="1132">
      <c r="A1132" s="4"/>
      <c r="B1132" s="5"/>
      <c r="C1132" s="6"/>
      <c r="D1132" s="6"/>
      <c r="E1132" s="6"/>
    </row>
    <row r="1133">
      <c r="A1133" s="4"/>
      <c r="B1133" s="5"/>
      <c r="C1133" s="6"/>
      <c r="D1133" s="6"/>
      <c r="E1133" s="6"/>
    </row>
    <row r="1134">
      <c r="A1134" s="4"/>
      <c r="B1134" s="5"/>
      <c r="C1134" s="6"/>
      <c r="D1134" s="6"/>
      <c r="E1134" s="6"/>
    </row>
    <row r="1135">
      <c r="A1135" s="4"/>
      <c r="B1135" s="5"/>
      <c r="C1135" s="6"/>
      <c r="D1135" s="6"/>
      <c r="E1135" s="6"/>
    </row>
    <row r="1136">
      <c r="A1136" s="4"/>
      <c r="B1136" s="5"/>
      <c r="C1136" s="6"/>
      <c r="D1136" s="6"/>
      <c r="E1136" s="6"/>
    </row>
    <row r="1137">
      <c r="A1137" s="4"/>
      <c r="B1137" s="5"/>
      <c r="C1137" s="6"/>
      <c r="D1137" s="6"/>
      <c r="E1137" s="6"/>
    </row>
    <row r="1138">
      <c r="A1138" s="4"/>
      <c r="B1138" s="5"/>
      <c r="C1138" s="6"/>
      <c r="D1138" s="6"/>
      <c r="E1138" s="6"/>
    </row>
    <row r="1139">
      <c r="A1139" s="4"/>
      <c r="B1139" s="5"/>
      <c r="C1139" s="6"/>
      <c r="D1139" s="6"/>
      <c r="E1139" s="6"/>
    </row>
    <row r="1140">
      <c r="A1140" s="4"/>
      <c r="B1140" s="5"/>
      <c r="C1140" s="6"/>
      <c r="D1140" s="6"/>
      <c r="E1140" s="6"/>
    </row>
    <row r="1141">
      <c r="A1141" s="4"/>
      <c r="B1141" s="5"/>
      <c r="C1141" s="6"/>
      <c r="D1141" s="6"/>
      <c r="E1141" s="6"/>
    </row>
    <row r="1142">
      <c r="A1142" s="4"/>
      <c r="B1142" s="5"/>
      <c r="C1142" s="6"/>
      <c r="D1142" s="6"/>
      <c r="E1142" s="6"/>
    </row>
    <row r="1143">
      <c r="A1143" s="4"/>
      <c r="B1143" s="5"/>
      <c r="C1143" s="6"/>
      <c r="D1143" s="6"/>
      <c r="E1143" s="6"/>
    </row>
    <row r="1144">
      <c r="A1144" s="4"/>
      <c r="B1144" s="5"/>
      <c r="C1144" s="6"/>
      <c r="D1144" s="6"/>
      <c r="E1144" s="6"/>
    </row>
    <row r="1145">
      <c r="A1145" s="4"/>
      <c r="B1145" s="5"/>
      <c r="C1145" s="6"/>
      <c r="D1145" s="6"/>
      <c r="E1145" s="6"/>
    </row>
    <row r="1146">
      <c r="A1146" s="4"/>
      <c r="B1146" s="5"/>
      <c r="C1146" s="6"/>
      <c r="D1146" s="6"/>
      <c r="E1146" s="6"/>
    </row>
    <row r="1147">
      <c r="A1147" s="4"/>
      <c r="B1147" s="5"/>
      <c r="C1147" s="6"/>
      <c r="D1147" s="6"/>
      <c r="E1147" s="6"/>
    </row>
    <row r="1148">
      <c r="A1148" s="4"/>
      <c r="B1148" s="5"/>
      <c r="C1148" s="6"/>
      <c r="D1148" s="6"/>
      <c r="E1148" s="6"/>
    </row>
    <row r="1149">
      <c r="A1149" s="4"/>
      <c r="B1149" s="5"/>
      <c r="C1149" s="6"/>
      <c r="D1149" s="6"/>
      <c r="E1149" s="6"/>
    </row>
    <row r="1150">
      <c r="A1150" s="4"/>
      <c r="B1150" s="5"/>
      <c r="C1150" s="6"/>
      <c r="D1150" s="6"/>
      <c r="E1150" s="6"/>
    </row>
    <row r="1151">
      <c r="A1151" s="4"/>
      <c r="B1151" s="5"/>
      <c r="C1151" s="6"/>
      <c r="D1151" s="6"/>
      <c r="E1151" s="6"/>
    </row>
    <row r="1152">
      <c r="A1152" s="4"/>
      <c r="B1152" s="5"/>
      <c r="C1152" s="6"/>
      <c r="D1152" s="6"/>
      <c r="E1152" s="6"/>
    </row>
    <row r="1153">
      <c r="A1153" s="4"/>
      <c r="B1153" s="5"/>
      <c r="C1153" s="6"/>
      <c r="D1153" s="6"/>
      <c r="E1153" s="6"/>
    </row>
    <row r="1154">
      <c r="A1154" s="4"/>
      <c r="B1154" s="5"/>
      <c r="C1154" s="6"/>
      <c r="D1154" s="6"/>
      <c r="E1154" s="6"/>
    </row>
    <row r="1155">
      <c r="A1155" s="4"/>
      <c r="B1155" s="5"/>
      <c r="C1155" s="6"/>
      <c r="D1155" s="6"/>
      <c r="E1155" s="6"/>
    </row>
    <row r="1156">
      <c r="A1156" s="4"/>
      <c r="B1156" s="5"/>
      <c r="C1156" s="6"/>
      <c r="D1156" s="6"/>
      <c r="E1156" s="6"/>
    </row>
    <row r="1157">
      <c r="A1157" s="4"/>
      <c r="B1157" s="5"/>
      <c r="C1157" s="6"/>
      <c r="D1157" s="6"/>
      <c r="E1157" s="6"/>
    </row>
    <row r="1158">
      <c r="A1158" s="4"/>
      <c r="B1158" s="5"/>
      <c r="C1158" s="6"/>
      <c r="D1158" s="6"/>
      <c r="E1158" s="6"/>
    </row>
    <row r="1159">
      <c r="A1159" s="4"/>
      <c r="B1159" s="5"/>
      <c r="C1159" s="6"/>
      <c r="D1159" s="6"/>
      <c r="E1159" s="6"/>
    </row>
    <row r="1160">
      <c r="A1160" s="4"/>
      <c r="B1160" s="5"/>
      <c r="C1160" s="6"/>
      <c r="D1160" s="6"/>
      <c r="E1160" s="6"/>
    </row>
    <row r="1161">
      <c r="A1161" s="4"/>
      <c r="B1161" s="5"/>
      <c r="C1161" s="6"/>
      <c r="D1161" s="6"/>
      <c r="E1161" s="6"/>
    </row>
    <row r="1162">
      <c r="A1162" s="4"/>
      <c r="B1162" s="5"/>
      <c r="C1162" s="6"/>
      <c r="D1162" s="6"/>
      <c r="E1162" s="6"/>
    </row>
    <row r="1163">
      <c r="A1163" s="4"/>
      <c r="B1163" s="5"/>
      <c r="C1163" s="6"/>
      <c r="D1163" s="6"/>
      <c r="E1163" s="6"/>
    </row>
    <row r="1164">
      <c r="A1164" s="4"/>
      <c r="B1164" s="5"/>
      <c r="C1164" s="6"/>
      <c r="D1164" s="6"/>
      <c r="E1164" s="6"/>
    </row>
    <row r="1165">
      <c r="A1165" s="4"/>
      <c r="B1165" s="5"/>
      <c r="C1165" s="6"/>
      <c r="D1165" s="6"/>
      <c r="E1165" s="6"/>
    </row>
    <row r="1166">
      <c r="A1166" s="4"/>
      <c r="B1166" s="5"/>
      <c r="C1166" s="6"/>
      <c r="D1166" s="6"/>
      <c r="E1166" s="6"/>
    </row>
    <row r="1167">
      <c r="A1167" s="4"/>
      <c r="B1167" s="5"/>
      <c r="C1167" s="6"/>
      <c r="D1167" s="6"/>
      <c r="E1167" s="6"/>
    </row>
    <row r="1168">
      <c r="A1168" s="4"/>
      <c r="B1168" s="5"/>
      <c r="C1168" s="6"/>
      <c r="D1168" s="6"/>
      <c r="E1168" s="6"/>
    </row>
    <row r="1169">
      <c r="A1169" s="4"/>
      <c r="B1169" s="5"/>
      <c r="C1169" s="6"/>
      <c r="D1169" s="6"/>
      <c r="E1169" s="6"/>
    </row>
    <row r="1170">
      <c r="A1170" s="4"/>
      <c r="B1170" s="5"/>
      <c r="C1170" s="6"/>
      <c r="D1170" s="6"/>
      <c r="E1170" s="6"/>
    </row>
    <row r="1171">
      <c r="A1171" s="4"/>
      <c r="B1171" s="5"/>
      <c r="C1171" s="6"/>
      <c r="D1171" s="6"/>
      <c r="E1171" s="6"/>
    </row>
    <row r="1172">
      <c r="A1172" s="4"/>
      <c r="B1172" s="5"/>
      <c r="C1172" s="6"/>
      <c r="D1172" s="6"/>
      <c r="E1172" s="6"/>
    </row>
    <row r="1173">
      <c r="A1173" s="4"/>
      <c r="B1173" s="5"/>
      <c r="C1173" s="6"/>
      <c r="D1173" s="6"/>
      <c r="E1173" s="6"/>
    </row>
    <row r="1174">
      <c r="A1174" s="4"/>
      <c r="B1174" s="5"/>
      <c r="C1174" s="6"/>
      <c r="D1174" s="6"/>
      <c r="E1174" s="6"/>
    </row>
    <row r="1175">
      <c r="A1175" s="4"/>
      <c r="B1175" s="5"/>
      <c r="C1175" s="6"/>
      <c r="D1175" s="6"/>
      <c r="E1175" s="6"/>
    </row>
    <row r="1176">
      <c r="A1176" s="4"/>
      <c r="B1176" s="5"/>
      <c r="C1176" s="6"/>
      <c r="D1176" s="6"/>
      <c r="E1176" s="6"/>
    </row>
    <row r="1177">
      <c r="A1177" s="4"/>
      <c r="B1177" s="5"/>
      <c r="C1177" s="6"/>
      <c r="D1177" s="6"/>
      <c r="E1177" s="6"/>
    </row>
    <row r="1178">
      <c r="A1178" s="4"/>
      <c r="B1178" s="5"/>
      <c r="C1178" s="6"/>
      <c r="D1178" s="6"/>
      <c r="E1178" s="6"/>
    </row>
    <row r="1179">
      <c r="A1179" s="4"/>
      <c r="B1179" s="5"/>
      <c r="C1179" s="6"/>
      <c r="D1179" s="6"/>
      <c r="E1179" s="6"/>
    </row>
    <row r="1180">
      <c r="A1180" s="4"/>
      <c r="B1180" s="5"/>
      <c r="C1180" s="6"/>
      <c r="D1180" s="6"/>
      <c r="E1180" s="6"/>
    </row>
    <row r="1181">
      <c r="A1181" s="4"/>
      <c r="B1181" s="5"/>
      <c r="C1181" s="6"/>
      <c r="D1181" s="6"/>
      <c r="E1181" s="6"/>
    </row>
    <row r="1182">
      <c r="A1182" s="4"/>
      <c r="B1182" s="5"/>
      <c r="C1182" s="6"/>
      <c r="D1182" s="6"/>
      <c r="E1182" s="6"/>
    </row>
    <row r="1183">
      <c r="A1183" s="4"/>
      <c r="B1183" s="5"/>
      <c r="C1183" s="6"/>
      <c r="D1183" s="6"/>
      <c r="E1183" s="6"/>
    </row>
    <row r="1184">
      <c r="A1184" s="4"/>
      <c r="B1184" s="5"/>
      <c r="C1184" s="6"/>
      <c r="D1184" s="6"/>
      <c r="E1184" s="6"/>
    </row>
    <row r="1185">
      <c r="A1185" s="4"/>
      <c r="B1185" s="5"/>
      <c r="C1185" s="6"/>
      <c r="D1185" s="6"/>
      <c r="E1185" s="6"/>
    </row>
    <row r="1186">
      <c r="A1186" s="4"/>
      <c r="B1186" s="5"/>
      <c r="C1186" s="6"/>
      <c r="D1186" s="6"/>
      <c r="E1186" s="6"/>
    </row>
    <row r="1187">
      <c r="A1187" s="4"/>
      <c r="B1187" s="5"/>
      <c r="C1187" s="6"/>
      <c r="D1187" s="6"/>
      <c r="E1187" s="6"/>
    </row>
    <row r="1188">
      <c r="A1188" s="4"/>
      <c r="B1188" s="5"/>
      <c r="C1188" s="6"/>
      <c r="D1188" s="6"/>
      <c r="E1188" s="6"/>
    </row>
    <row r="1189">
      <c r="A1189" s="4"/>
      <c r="B1189" s="5"/>
      <c r="C1189" s="6"/>
      <c r="D1189" s="6"/>
      <c r="E1189" s="6"/>
    </row>
    <row r="1190">
      <c r="A1190" s="4"/>
      <c r="B1190" s="5"/>
      <c r="C1190" s="6"/>
      <c r="D1190" s="6"/>
      <c r="E1190" s="6"/>
    </row>
    <row r="1191">
      <c r="A1191" s="4"/>
      <c r="B1191" s="5"/>
      <c r="C1191" s="6"/>
      <c r="D1191" s="6"/>
      <c r="E1191" s="6"/>
    </row>
    <row r="1192">
      <c r="A1192" s="4"/>
      <c r="B1192" s="5"/>
      <c r="C1192" s="6"/>
      <c r="D1192" s="6"/>
      <c r="E1192" s="6"/>
    </row>
    <row r="1193">
      <c r="A1193" s="4"/>
      <c r="B1193" s="5"/>
      <c r="C1193" s="6"/>
      <c r="D1193" s="6"/>
      <c r="E1193" s="6"/>
    </row>
    <row r="1194">
      <c r="A1194" s="4"/>
      <c r="B1194" s="5"/>
      <c r="C1194" s="6"/>
      <c r="D1194" s="6"/>
      <c r="E1194" s="6"/>
    </row>
    <row r="1195">
      <c r="A1195" s="4"/>
      <c r="B1195" s="5"/>
      <c r="C1195" s="6"/>
      <c r="D1195" s="6"/>
      <c r="E1195" s="6"/>
    </row>
    <row r="1196">
      <c r="A1196" s="4"/>
      <c r="B1196" s="5"/>
      <c r="C1196" s="6"/>
      <c r="D1196" s="6"/>
      <c r="E1196" s="6"/>
    </row>
    <row r="1197">
      <c r="A1197" s="4"/>
      <c r="B1197" s="5"/>
      <c r="C1197" s="6"/>
      <c r="D1197" s="6"/>
      <c r="E1197" s="6"/>
    </row>
    <row r="1198">
      <c r="A1198" s="4"/>
      <c r="B1198" s="5"/>
      <c r="C1198" s="6"/>
      <c r="D1198" s="6"/>
      <c r="E1198" s="6"/>
    </row>
    <row r="1199">
      <c r="A1199" s="4"/>
      <c r="B1199" s="5"/>
      <c r="C1199" s="6"/>
      <c r="D1199" s="6"/>
      <c r="E1199" s="6"/>
    </row>
    <row r="1200">
      <c r="A1200" s="4"/>
      <c r="B1200" s="5"/>
      <c r="C1200" s="6"/>
      <c r="D1200" s="6"/>
      <c r="E1200" s="6"/>
    </row>
    <row r="1201">
      <c r="A1201" s="4"/>
      <c r="B1201" s="5"/>
      <c r="C1201" s="6"/>
      <c r="D1201" s="6"/>
      <c r="E1201" s="6"/>
    </row>
    <row r="1202">
      <c r="A1202" s="4"/>
      <c r="B1202" s="5"/>
      <c r="C1202" s="6"/>
      <c r="D1202" s="6"/>
      <c r="E1202" s="6"/>
    </row>
    <row r="1203">
      <c r="A1203" s="4"/>
      <c r="B1203" s="5"/>
      <c r="C1203" s="6"/>
      <c r="D1203" s="6"/>
      <c r="E1203" s="6"/>
    </row>
    <row r="1204">
      <c r="A1204" s="4"/>
      <c r="B1204" s="5"/>
      <c r="C1204" s="6"/>
      <c r="D1204" s="6"/>
      <c r="E1204" s="6"/>
    </row>
    <row r="1205">
      <c r="A1205" s="4"/>
      <c r="B1205" s="5"/>
      <c r="C1205" s="6"/>
      <c r="D1205" s="6"/>
      <c r="E1205" s="6"/>
    </row>
    <row r="1206">
      <c r="A1206" s="4"/>
      <c r="B1206" s="5"/>
      <c r="C1206" s="6"/>
      <c r="D1206" s="6"/>
      <c r="E1206" s="6"/>
    </row>
    <row r="1207">
      <c r="A1207" s="4"/>
      <c r="B1207" s="5"/>
      <c r="C1207" s="6"/>
      <c r="D1207" s="6"/>
      <c r="E1207" s="6"/>
    </row>
    <row r="1208">
      <c r="A1208" s="4"/>
      <c r="B1208" s="5"/>
      <c r="C1208" s="6"/>
      <c r="D1208" s="6"/>
      <c r="E1208" s="6"/>
    </row>
    <row r="1209">
      <c r="A1209" s="4"/>
      <c r="B1209" s="5"/>
      <c r="C1209" s="6"/>
      <c r="D1209" s="6"/>
      <c r="E1209" s="6"/>
    </row>
    <row r="1210">
      <c r="A1210" s="4"/>
      <c r="B1210" s="5"/>
      <c r="C1210" s="6"/>
      <c r="D1210" s="6"/>
      <c r="E1210" s="6"/>
    </row>
    <row r="1211">
      <c r="A1211" s="4"/>
      <c r="B1211" s="5"/>
      <c r="C1211" s="6"/>
      <c r="D1211" s="6"/>
      <c r="E1211" s="6"/>
    </row>
    <row r="1212">
      <c r="A1212" s="4"/>
      <c r="B1212" s="5"/>
      <c r="C1212" s="6"/>
      <c r="D1212" s="6"/>
      <c r="E1212" s="6"/>
    </row>
    <row r="1213">
      <c r="A1213" s="4"/>
      <c r="B1213" s="5"/>
      <c r="C1213" s="6"/>
      <c r="D1213" s="6"/>
      <c r="E1213" s="6"/>
    </row>
    <row r="1214">
      <c r="A1214" s="4"/>
      <c r="B1214" s="5"/>
      <c r="C1214" s="6"/>
      <c r="D1214" s="6"/>
      <c r="E1214" s="6"/>
    </row>
    <row r="1215">
      <c r="A1215" s="4"/>
      <c r="B1215" s="5"/>
      <c r="C1215" s="6"/>
      <c r="D1215" s="6"/>
      <c r="E1215" s="6"/>
    </row>
    <row r="1216">
      <c r="A1216" s="4"/>
      <c r="B1216" s="5"/>
      <c r="C1216" s="6"/>
      <c r="D1216" s="6"/>
      <c r="E1216" s="6"/>
    </row>
    <row r="1217">
      <c r="A1217" s="4"/>
      <c r="B1217" s="5"/>
      <c r="C1217" s="6"/>
      <c r="D1217" s="6"/>
      <c r="E1217" s="6"/>
    </row>
    <row r="1218">
      <c r="A1218" s="4"/>
      <c r="B1218" s="5"/>
      <c r="C1218" s="6"/>
      <c r="D1218" s="6"/>
      <c r="E1218" s="6"/>
    </row>
    <row r="1219">
      <c r="A1219" s="4"/>
      <c r="B1219" s="5"/>
      <c r="C1219" s="6"/>
      <c r="D1219" s="6"/>
      <c r="E1219" s="6"/>
    </row>
    <row r="1220">
      <c r="A1220" s="4"/>
      <c r="B1220" s="5"/>
      <c r="C1220" s="6"/>
      <c r="D1220" s="6"/>
      <c r="E1220" s="6"/>
    </row>
    <row r="1221">
      <c r="A1221" s="4"/>
      <c r="B1221" s="5"/>
      <c r="C1221" s="6"/>
      <c r="D1221" s="6"/>
      <c r="E1221" s="6"/>
    </row>
    <row r="1222">
      <c r="A1222" s="4"/>
      <c r="B1222" s="5"/>
      <c r="C1222" s="6"/>
      <c r="D1222" s="6"/>
      <c r="E1222" s="6"/>
    </row>
    <row r="1223">
      <c r="A1223" s="4"/>
      <c r="B1223" s="5"/>
      <c r="C1223" s="6"/>
      <c r="D1223" s="6"/>
      <c r="E1223" s="6"/>
    </row>
    <row r="1224">
      <c r="A1224" s="4"/>
      <c r="B1224" s="5"/>
      <c r="C1224" s="6"/>
      <c r="D1224" s="6"/>
      <c r="E1224" s="6"/>
    </row>
    <row r="1225">
      <c r="A1225" s="4"/>
      <c r="B1225" s="5"/>
      <c r="C1225" s="6"/>
      <c r="D1225" s="6"/>
      <c r="E1225" s="6"/>
    </row>
    <row r="1226">
      <c r="A1226" s="4"/>
      <c r="B1226" s="5"/>
      <c r="C1226" s="6"/>
      <c r="D1226" s="6"/>
      <c r="E1226" s="6"/>
    </row>
    <row r="1227">
      <c r="A1227" s="4"/>
      <c r="B1227" s="5"/>
      <c r="C1227" s="6"/>
      <c r="D1227" s="6"/>
      <c r="E1227" s="6"/>
    </row>
    <row r="1228">
      <c r="A1228" s="4"/>
      <c r="B1228" s="5"/>
      <c r="C1228" s="6"/>
      <c r="D1228" s="6"/>
      <c r="E1228" s="6"/>
    </row>
    <row r="1229">
      <c r="A1229" s="4"/>
      <c r="B1229" s="5"/>
      <c r="C1229" s="6"/>
      <c r="D1229" s="6"/>
      <c r="E1229" s="6"/>
    </row>
    <row r="1230">
      <c r="A1230" s="4"/>
      <c r="B1230" s="5"/>
      <c r="C1230" s="6"/>
      <c r="D1230" s="6"/>
      <c r="E1230" s="6"/>
    </row>
    <row r="1231">
      <c r="A1231" s="4"/>
      <c r="B1231" s="5"/>
      <c r="C1231" s="6"/>
      <c r="D1231" s="6"/>
      <c r="E1231" s="6"/>
    </row>
    <row r="1232">
      <c r="A1232" s="4"/>
      <c r="B1232" s="5"/>
      <c r="C1232" s="6"/>
      <c r="D1232" s="6"/>
      <c r="E1232" s="6"/>
    </row>
    <row r="1233">
      <c r="A1233" s="4"/>
      <c r="B1233" s="5"/>
      <c r="C1233" s="6"/>
      <c r="D1233" s="6"/>
      <c r="E1233" s="6"/>
    </row>
    <row r="1234">
      <c r="A1234" s="4"/>
      <c r="B1234" s="5"/>
      <c r="C1234" s="6"/>
      <c r="D1234" s="6"/>
      <c r="E1234" s="6"/>
    </row>
    <row r="1235">
      <c r="A1235" s="4"/>
      <c r="B1235" s="5"/>
      <c r="C1235" s="6"/>
      <c r="D1235" s="6"/>
      <c r="E1235" s="6"/>
    </row>
    <row r="1236">
      <c r="A1236" s="4"/>
      <c r="B1236" s="5"/>
      <c r="C1236" s="6"/>
      <c r="D1236" s="6"/>
      <c r="E1236" s="6"/>
    </row>
    <row r="1237">
      <c r="A1237" s="4"/>
      <c r="B1237" s="5"/>
      <c r="C1237" s="6"/>
      <c r="D1237" s="6"/>
      <c r="E1237" s="6"/>
    </row>
    <row r="1238">
      <c r="A1238" s="4"/>
      <c r="B1238" s="5"/>
      <c r="C1238" s="6"/>
      <c r="D1238" s="6"/>
      <c r="E1238" s="6"/>
    </row>
    <row r="1239">
      <c r="A1239" s="4"/>
      <c r="B1239" s="5"/>
      <c r="C1239" s="6"/>
      <c r="D1239" s="6"/>
      <c r="E1239" s="6"/>
    </row>
    <row r="1240">
      <c r="A1240" s="4"/>
      <c r="B1240" s="5"/>
      <c r="C1240" s="6"/>
      <c r="D1240" s="6"/>
      <c r="E1240" s="6"/>
    </row>
    <row r="1241">
      <c r="A1241" s="4"/>
      <c r="B1241" s="5"/>
      <c r="C1241" s="6"/>
      <c r="D1241" s="6"/>
      <c r="E1241" s="6"/>
    </row>
    <row r="1242">
      <c r="A1242" s="4"/>
      <c r="B1242" s="5"/>
      <c r="C1242" s="6"/>
      <c r="D1242" s="6"/>
      <c r="E1242" s="6"/>
    </row>
    <row r="1243">
      <c r="A1243" s="4"/>
      <c r="B1243" s="5"/>
      <c r="C1243" s="6"/>
      <c r="D1243" s="6"/>
      <c r="E1243" s="6"/>
    </row>
    <row r="1244">
      <c r="A1244" s="4"/>
      <c r="B1244" s="5"/>
      <c r="C1244" s="6"/>
      <c r="D1244" s="6"/>
      <c r="E1244" s="6"/>
    </row>
    <row r="1245">
      <c r="A1245" s="4"/>
      <c r="B1245" s="5"/>
      <c r="C1245" s="6"/>
      <c r="D1245" s="6"/>
      <c r="E1245" s="6"/>
    </row>
    <row r="1246">
      <c r="A1246" s="4"/>
      <c r="B1246" s="5"/>
      <c r="C1246" s="6"/>
      <c r="D1246" s="6"/>
      <c r="E1246" s="6"/>
    </row>
    <row r="1247">
      <c r="A1247" s="4"/>
      <c r="B1247" s="5"/>
      <c r="C1247" s="6"/>
      <c r="D1247" s="6"/>
      <c r="E1247" s="6"/>
    </row>
    <row r="1248">
      <c r="A1248" s="4"/>
      <c r="B1248" s="5"/>
      <c r="C1248" s="6"/>
      <c r="D1248" s="6"/>
      <c r="E1248" s="6"/>
    </row>
    <row r="1249">
      <c r="A1249" s="4"/>
      <c r="B1249" s="5"/>
      <c r="C1249" s="6"/>
      <c r="D1249" s="6"/>
      <c r="E1249" s="6"/>
    </row>
    <row r="1250">
      <c r="A1250" s="4"/>
      <c r="B1250" s="5"/>
      <c r="C1250" s="6"/>
      <c r="D1250" s="6"/>
      <c r="E1250" s="6"/>
    </row>
    <row r="1251">
      <c r="A1251" s="4"/>
      <c r="B1251" s="5"/>
      <c r="C1251" s="6"/>
      <c r="D1251" s="6"/>
      <c r="E1251" s="6"/>
    </row>
    <row r="1252">
      <c r="A1252" s="4"/>
      <c r="B1252" s="5"/>
      <c r="C1252" s="6"/>
      <c r="D1252" s="6"/>
      <c r="E1252" s="6"/>
    </row>
    <row r="1253">
      <c r="A1253" s="4"/>
      <c r="B1253" s="5"/>
      <c r="C1253" s="6"/>
      <c r="D1253" s="6"/>
      <c r="E1253" s="6"/>
    </row>
    <row r="1254">
      <c r="A1254" s="4"/>
      <c r="B1254" s="5"/>
      <c r="C1254" s="6"/>
      <c r="D1254" s="6"/>
      <c r="E1254" s="6"/>
    </row>
    <row r="1255">
      <c r="A1255" s="4"/>
      <c r="B1255" s="5"/>
      <c r="C1255" s="6"/>
      <c r="D1255" s="6"/>
      <c r="E1255" s="6"/>
    </row>
    <row r="1256">
      <c r="A1256" s="4"/>
      <c r="B1256" s="5"/>
      <c r="C1256" s="6"/>
      <c r="D1256" s="6"/>
      <c r="E1256" s="6"/>
    </row>
    <row r="1257">
      <c r="A1257" s="4"/>
      <c r="B1257" s="5"/>
      <c r="C1257" s="6"/>
      <c r="D1257" s="6"/>
      <c r="E1257" s="6"/>
    </row>
    <row r="1258">
      <c r="A1258" s="4"/>
      <c r="B1258" s="5"/>
      <c r="C1258" s="6"/>
      <c r="D1258" s="6"/>
      <c r="E1258" s="6"/>
    </row>
    <row r="1259">
      <c r="A1259" s="4"/>
      <c r="B1259" s="5"/>
      <c r="C1259" s="6"/>
      <c r="D1259" s="6"/>
      <c r="E1259" s="6"/>
    </row>
    <row r="1260">
      <c r="A1260" s="4"/>
      <c r="B1260" s="5"/>
      <c r="C1260" s="6"/>
      <c r="D1260" s="6"/>
      <c r="E1260" s="6"/>
    </row>
    <row r="1261">
      <c r="A1261" s="4"/>
      <c r="B1261" s="5"/>
      <c r="C1261" s="6"/>
      <c r="D1261" s="6"/>
      <c r="E1261" s="6"/>
    </row>
    <row r="1262">
      <c r="A1262" s="4"/>
      <c r="B1262" s="5"/>
      <c r="C1262" s="6"/>
      <c r="D1262" s="6"/>
      <c r="E1262" s="6"/>
    </row>
    <row r="1263">
      <c r="A1263" s="4"/>
      <c r="B1263" s="5"/>
      <c r="C1263" s="6"/>
      <c r="D1263" s="6"/>
      <c r="E1263" s="6"/>
    </row>
    <row r="1264">
      <c r="A1264" s="4"/>
      <c r="B1264" s="5"/>
      <c r="C1264" s="6"/>
      <c r="D1264" s="6"/>
      <c r="E1264" s="6"/>
    </row>
    <row r="1265">
      <c r="A1265" s="4"/>
      <c r="B1265" s="5"/>
      <c r="C1265" s="6"/>
      <c r="D1265" s="6"/>
      <c r="E1265" s="6"/>
    </row>
    <row r="1266">
      <c r="A1266" s="4"/>
      <c r="B1266" s="5"/>
      <c r="C1266" s="6"/>
      <c r="D1266" s="6"/>
      <c r="E1266" s="6"/>
    </row>
    <row r="1267">
      <c r="A1267" s="4"/>
      <c r="B1267" s="5"/>
      <c r="C1267" s="6"/>
      <c r="D1267" s="6"/>
      <c r="E1267" s="6"/>
    </row>
    <row r="1268">
      <c r="A1268" s="4"/>
      <c r="B1268" s="5"/>
      <c r="C1268" s="6"/>
      <c r="D1268" s="6"/>
      <c r="E1268" s="6"/>
    </row>
    <row r="1269">
      <c r="A1269" s="4"/>
      <c r="B1269" s="5"/>
      <c r="C1269" s="6"/>
      <c r="D1269" s="6"/>
      <c r="E1269" s="6"/>
    </row>
    <row r="1270">
      <c r="A1270" s="4"/>
      <c r="B1270" s="5"/>
      <c r="C1270" s="6"/>
      <c r="D1270" s="6"/>
      <c r="E1270" s="6"/>
    </row>
    <row r="1271">
      <c r="A1271" s="4"/>
      <c r="B1271" s="5"/>
      <c r="C1271" s="6"/>
      <c r="D1271" s="6"/>
      <c r="E1271" s="6"/>
    </row>
    <row r="1272">
      <c r="A1272" s="4"/>
      <c r="B1272" s="5"/>
      <c r="C1272" s="6"/>
      <c r="D1272" s="6"/>
      <c r="E1272" s="6"/>
    </row>
    <row r="1273">
      <c r="A1273" s="4"/>
      <c r="B1273" s="5"/>
      <c r="C1273" s="6"/>
      <c r="D1273" s="6"/>
      <c r="E1273" s="6"/>
    </row>
    <row r="1274">
      <c r="A1274" s="4"/>
      <c r="B1274" s="5"/>
      <c r="C1274" s="6"/>
      <c r="D1274" s="6"/>
      <c r="E1274" s="6"/>
    </row>
    <row r="1275">
      <c r="A1275" s="4"/>
      <c r="B1275" s="5"/>
      <c r="C1275" s="6"/>
      <c r="D1275" s="6"/>
      <c r="E1275" s="6"/>
    </row>
    <row r="1276">
      <c r="A1276" s="4"/>
      <c r="B1276" s="5"/>
      <c r="C1276" s="6"/>
      <c r="D1276" s="6"/>
      <c r="E1276" s="6"/>
    </row>
    <row r="1277">
      <c r="A1277" s="4"/>
      <c r="B1277" s="5"/>
      <c r="C1277" s="6"/>
      <c r="D1277" s="6"/>
      <c r="E1277" s="6"/>
    </row>
    <row r="1278">
      <c r="A1278" s="4"/>
      <c r="B1278" s="5"/>
      <c r="C1278" s="6"/>
      <c r="D1278" s="6"/>
      <c r="E1278" s="6"/>
    </row>
    <row r="1279">
      <c r="A1279" s="4"/>
      <c r="B1279" s="5"/>
      <c r="C1279" s="6"/>
      <c r="D1279" s="6"/>
      <c r="E1279" s="6"/>
    </row>
    <row r="1280">
      <c r="A1280" s="4"/>
      <c r="B1280" s="5"/>
      <c r="C1280" s="6"/>
      <c r="D1280" s="6"/>
      <c r="E1280" s="6"/>
    </row>
    <row r="1281">
      <c r="A1281" s="10"/>
      <c r="B1281" s="9"/>
      <c r="C1281" s="6"/>
      <c r="D1281" s="6"/>
      <c r="E1281" s="6"/>
    </row>
    <row r="1282">
      <c r="A1282" s="10"/>
      <c r="B1282" s="9"/>
      <c r="C1282" s="6"/>
      <c r="D1282" s="6"/>
      <c r="E1282" s="6"/>
    </row>
    <row r="1283">
      <c r="A1283" s="10"/>
      <c r="B1283" s="9"/>
      <c r="C1283" s="6"/>
      <c r="D1283" s="6"/>
      <c r="E1283" s="6"/>
    </row>
    <row r="1284">
      <c r="A1284" s="10"/>
      <c r="B1284" s="9"/>
      <c r="C1284" s="6"/>
      <c r="D1284" s="6"/>
      <c r="E1284" s="6"/>
    </row>
    <row r="1285">
      <c r="A1285" s="10"/>
      <c r="B1285" s="9"/>
      <c r="C1285" s="6"/>
      <c r="D1285" s="6"/>
      <c r="E1285" s="6"/>
    </row>
    <row r="1286">
      <c r="A1286" s="10"/>
      <c r="B1286" s="9"/>
      <c r="C1286" s="6"/>
      <c r="D1286" s="6"/>
      <c r="E1286" s="6"/>
    </row>
    <row r="1287">
      <c r="A1287" s="10"/>
      <c r="B1287" s="9"/>
      <c r="C1287" s="6"/>
      <c r="D1287" s="6"/>
      <c r="E1287" s="6"/>
    </row>
    <row r="1288">
      <c r="A1288" s="10"/>
      <c r="B1288" s="9"/>
      <c r="C1288" s="6"/>
      <c r="D1288" s="6"/>
      <c r="E1288" s="6"/>
    </row>
    <row r="1289">
      <c r="A1289" s="4"/>
      <c r="B1289" s="5"/>
      <c r="C1289" s="6"/>
      <c r="D1289" s="6"/>
      <c r="E1289" s="6"/>
    </row>
    <row r="1290">
      <c r="A1290" s="4"/>
      <c r="B1290" s="5"/>
      <c r="C1290" s="6"/>
      <c r="D1290" s="6"/>
      <c r="E1290" s="6"/>
    </row>
    <row r="1291">
      <c r="A1291" s="4"/>
      <c r="B1291" s="5"/>
      <c r="C1291" s="6"/>
      <c r="D1291" s="6"/>
      <c r="E1291" s="6"/>
    </row>
    <row r="1292">
      <c r="A1292" s="4"/>
      <c r="B1292" s="5"/>
      <c r="C1292" s="6"/>
      <c r="D1292" s="6"/>
      <c r="E1292" s="6"/>
    </row>
    <row r="1293">
      <c r="A1293" s="4"/>
      <c r="B1293" s="5"/>
      <c r="C1293" s="6"/>
      <c r="D1293" s="6"/>
      <c r="E1293" s="6"/>
    </row>
    <row r="1294">
      <c r="A1294" s="4"/>
      <c r="B1294" s="5"/>
      <c r="C1294" s="6"/>
      <c r="D1294" s="6"/>
      <c r="E1294" s="6"/>
    </row>
    <row r="1295">
      <c r="A1295" s="4"/>
      <c r="B1295" s="5"/>
      <c r="C1295" s="6"/>
      <c r="D1295" s="6"/>
      <c r="E1295" s="6"/>
    </row>
    <row r="1296">
      <c r="A1296" s="4"/>
      <c r="B1296" s="5"/>
      <c r="C1296" s="6"/>
      <c r="D1296" s="6"/>
      <c r="E1296" s="6"/>
    </row>
    <row r="1297">
      <c r="A1297" s="4"/>
      <c r="B1297" s="5"/>
      <c r="C1297" s="6"/>
      <c r="D1297" s="6"/>
      <c r="E1297" s="6"/>
    </row>
    <row r="1298">
      <c r="A1298" s="4"/>
      <c r="B1298" s="5"/>
      <c r="C1298" s="6"/>
      <c r="D1298" s="6"/>
      <c r="E1298" s="6"/>
    </row>
    <row r="1299">
      <c r="A1299" s="4"/>
      <c r="B1299" s="5"/>
      <c r="C1299" s="6"/>
      <c r="D1299" s="6"/>
      <c r="E1299" s="6"/>
    </row>
    <row r="1300">
      <c r="A1300" s="4"/>
      <c r="B1300" s="5"/>
      <c r="C1300" s="6"/>
      <c r="D1300" s="6"/>
      <c r="E1300" s="6"/>
    </row>
    <row r="1301">
      <c r="A1301" s="4"/>
      <c r="B1301" s="5"/>
      <c r="C1301" s="6"/>
      <c r="D1301" s="6"/>
      <c r="E1301" s="6"/>
    </row>
    <row r="1302">
      <c r="A1302" s="4"/>
      <c r="B1302" s="5"/>
      <c r="C1302" s="6"/>
      <c r="D1302" s="6"/>
      <c r="E1302" s="6"/>
    </row>
    <row r="1303">
      <c r="A1303" s="4"/>
      <c r="B1303" s="5"/>
      <c r="C1303" s="6"/>
      <c r="D1303" s="6"/>
      <c r="E1303" s="6"/>
    </row>
    <row r="1304">
      <c r="A1304" s="4"/>
      <c r="B1304" s="5"/>
      <c r="C1304" s="6"/>
      <c r="D1304" s="6"/>
      <c r="E1304" s="6"/>
    </row>
    <row r="1305">
      <c r="A1305" s="4"/>
      <c r="B1305" s="5"/>
      <c r="C1305" s="6"/>
      <c r="D1305" s="6"/>
      <c r="E1305" s="6"/>
    </row>
    <row r="1306">
      <c r="A1306" s="4"/>
      <c r="B1306" s="5"/>
      <c r="C1306" s="6"/>
      <c r="D1306" s="6"/>
      <c r="E1306" s="6"/>
    </row>
    <row r="1307">
      <c r="A1307" s="4"/>
      <c r="B1307" s="5"/>
      <c r="C1307" s="6"/>
      <c r="D1307" s="6"/>
      <c r="E1307" s="6"/>
    </row>
    <row r="1308">
      <c r="A1308" s="4"/>
      <c r="B1308" s="5"/>
      <c r="C1308" s="6"/>
      <c r="D1308" s="6"/>
      <c r="E1308" s="6"/>
    </row>
    <row r="1309">
      <c r="A1309" s="4"/>
      <c r="B1309" s="5"/>
      <c r="C1309" s="6"/>
      <c r="D1309" s="6"/>
      <c r="E1309" s="6"/>
    </row>
    <row r="1310">
      <c r="A1310" s="4"/>
      <c r="B1310" s="5"/>
      <c r="C1310" s="6"/>
      <c r="D1310" s="6"/>
      <c r="E1310" s="6"/>
    </row>
    <row r="1311">
      <c r="A1311" s="4"/>
      <c r="B1311" s="5"/>
      <c r="C1311" s="6"/>
      <c r="D1311" s="6"/>
      <c r="E1311" s="6"/>
    </row>
    <row r="1312">
      <c r="A1312" s="4"/>
      <c r="B1312" s="5"/>
      <c r="C1312" s="6"/>
      <c r="D1312" s="6"/>
      <c r="E1312" s="6"/>
    </row>
    <row r="1313">
      <c r="A1313" s="4"/>
      <c r="B1313" s="5"/>
      <c r="C1313" s="6"/>
      <c r="D1313" s="6"/>
      <c r="E1313" s="6"/>
    </row>
    <row r="1314">
      <c r="A1314" s="4"/>
      <c r="B1314" s="5"/>
      <c r="C1314" s="6"/>
      <c r="D1314" s="6"/>
      <c r="E1314" s="6"/>
    </row>
    <row r="1315">
      <c r="A1315" s="4"/>
      <c r="B1315" s="5"/>
      <c r="C1315" s="6"/>
      <c r="D1315" s="6"/>
      <c r="E1315" s="6"/>
    </row>
    <row r="1316">
      <c r="A1316" s="4"/>
      <c r="B1316" s="5"/>
      <c r="C1316" s="6"/>
      <c r="D1316" s="6"/>
      <c r="E1316" s="6"/>
    </row>
    <row r="1317">
      <c r="A1317" s="4"/>
      <c r="B1317" s="5"/>
      <c r="C1317" s="6"/>
      <c r="D1317" s="6"/>
      <c r="E1317" s="6"/>
    </row>
    <row r="1318">
      <c r="A1318" s="4"/>
      <c r="B1318" s="5"/>
      <c r="C1318" s="6"/>
      <c r="D1318" s="6"/>
      <c r="E1318" s="6"/>
    </row>
    <row r="1319">
      <c r="A1319" s="4"/>
      <c r="B1319" s="5"/>
      <c r="C1319" s="6"/>
      <c r="D1319" s="6"/>
      <c r="E1319" s="6"/>
    </row>
    <row r="1320">
      <c r="A1320" s="4"/>
      <c r="B1320" s="5"/>
      <c r="C1320" s="6"/>
      <c r="D1320" s="6"/>
      <c r="E1320" s="6"/>
    </row>
    <row r="1321">
      <c r="A1321" s="4"/>
      <c r="B1321" s="5"/>
      <c r="C1321" s="6"/>
      <c r="D1321" s="6"/>
      <c r="E1321" s="6"/>
    </row>
    <row r="1322">
      <c r="A1322" s="4"/>
      <c r="B1322" s="5"/>
      <c r="C1322" s="6"/>
      <c r="D1322" s="6"/>
      <c r="E1322" s="6"/>
    </row>
    <row r="1323">
      <c r="A1323" s="4"/>
      <c r="B1323" s="5"/>
      <c r="C1323" s="6"/>
      <c r="D1323" s="6"/>
      <c r="E1323" s="6"/>
    </row>
    <row r="1324">
      <c r="A1324" s="4"/>
      <c r="B1324" s="5"/>
      <c r="C1324" s="6"/>
      <c r="D1324" s="6"/>
      <c r="E1324" s="6"/>
    </row>
    <row r="1325">
      <c r="A1325" s="4"/>
      <c r="B1325" s="5"/>
      <c r="C1325" s="6"/>
      <c r="D1325" s="6"/>
      <c r="E1325" s="6"/>
    </row>
    <row r="1326">
      <c r="A1326" s="4"/>
      <c r="B1326" s="5"/>
      <c r="C1326" s="6"/>
      <c r="D1326" s="6"/>
      <c r="E1326" s="6"/>
    </row>
    <row r="1327">
      <c r="A1327" s="4"/>
      <c r="B1327" s="5"/>
      <c r="C1327" s="6"/>
      <c r="D1327" s="6"/>
      <c r="E1327" s="6"/>
    </row>
    <row r="1328">
      <c r="A1328" s="4"/>
      <c r="B1328" s="5"/>
      <c r="C1328" s="6"/>
      <c r="D1328" s="6"/>
      <c r="E1328" s="6"/>
    </row>
    <row r="1329">
      <c r="A1329" s="4"/>
      <c r="B1329" s="5"/>
      <c r="C1329" s="6"/>
      <c r="D1329" s="6"/>
      <c r="E1329" s="6"/>
    </row>
    <row r="1330">
      <c r="A1330" s="4"/>
      <c r="B1330" s="5"/>
      <c r="C1330" s="6"/>
      <c r="D1330" s="6"/>
      <c r="E1330" s="6"/>
    </row>
    <row r="1331">
      <c r="A1331" s="4"/>
      <c r="B1331" s="5"/>
      <c r="C1331" s="6"/>
      <c r="D1331" s="6"/>
      <c r="E1331" s="6"/>
    </row>
    <row r="1332">
      <c r="A1332" s="4"/>
      <c r="B1332" s="5"/>
      <c r="C1332" s="6"/>
      <c r="D1332" s="6"/>
      <c r="E1332" s="6"/>
    </row>
    <row r="1333">
      <c r="A1333" s="4"/>
      <c r="B1333" s="5"/>
      <c r="C1333" s="6"/>
      <c r="D1333" s="6"/>
      <c r="E1333" s="6"/>
    </row>
    <row r="1334">
      <c r="A1334" s="4"/>
      <c r="B1334" s="5"/>
      <c r="C1334" s="6"/>
      <c r="D1334" s="6"/>
      <c r="E1334" s="6"/>
    </row>
    <row r="1335">
      <c r="A1335" s="4"/>
      <c r="B1335" s="5"/>
      <c r="C1335" s="6"/>
      <c r="D1335" s="6"/>
      <c r="E1335" s="6"/>
    </row>
    <row r="1336">
      <c r="A1336" s="4"/>
      <c r="B1336" s="5"/>
      <c r="C1336" s="6"/>
      <c r="D1336" s="6"/>
      <c r="E1336" s="6"/>
    </row>
    <row r="1337">
      <c r="A1337" s="4"/>
      <c r="B1337" s="5"/>
      <c r="C1337" s="6"/>
      <c r="D1337" s="6"/>
      <c r="E1337" s="6"/>
    </row>
    <row r="1338">
      <c r="A1338" s="4"/>
      <c r="B1338" s="5"/>
      <c r="C1338" s="6"/>
      <c r="D1338" s="6"/>
      <c r="E1338" s="6"/>
    </row>
    <row r="1339">
      <c r="A1339" s="4"/>
      <c r="B1339" s="5"/>
      <c r="C1339" s="6"/>
      <c r="D1339" s="6"/>
      <c r="E1339" s="6"/>
    </row>
    <row r="1340">
      <c r="A1340" s="4"/>
      <c r="B1340" s="5"/>
      <c r="C1340" s="6"/>
      <c r="D1340" s="6"/>
      <c r="E1340" s="6"/>
    </row>
    <row r="1341">
      <c r="A1341" s="4"/>
      <c r="B1341" s="5"/>
      <c r="C1341" s="6"/>
      <c r="D1341" s="6"/>
      <c r="E1341" s="6"/>
    </row>
    <row r="1342">
      <c r="A1342" s="4"/>
      <c r="B1342" s="5"/>
      <c r="C1342" s="6"/>
      <c r="D1342" s="6"/>
      <c r="E1342" s="6"/>
    </row>
    <row r="1343">
      <c r="A1343" s="4"/>
      <c r="B1343" s="5"/>
      <c r="C1343" s="6"/>
      <c r="D1343" s="6"/>
      <c r="E1343" s="6"/>
    </row>
    <row r="1344">
      <c r="A1344" s="4"/>
      <c r="B1344" s="5"/>
      <c r="C1344" s="6"/>
      <c r="D1344" s="6"/>
      <c r="E1344" s="6"/>
    </row>
    <row r="1345">
      <c r="A1345" s="4"/>
      <c r="B1345" s="5"/>
      <c r="C1345" s="6"/>
      <c r="D1345" s="6"/>
      <c r="E1345" s="6"/>
    </row>
    <row r="1346">
      <c r="A1346" s="4"/>
      <c r="B1346" s="5"/>
      <c r="C1346" s="6"/>
      <c r="D1346" s="6"/>
      <c r="E1346" s="6"/>
    </row>
    <row r="1347">
      <c r="A1347" s="4"/>
      <c r="B1347" s="5"/>
      <c r="C1347" s="6"/>
      <c r="D1347" s="6"/>
      <c r="E1347" s="6"/>
    </row>
    <row r="1348">
      <c r="A1348" s="4"/>
      <c r="B1348" s="5"/>
      <c r="C1348" s="6"/>
      <c r="D1348" s="6"/>
      <c r="E1348" s="6"/>
    </row>
    <row r="1349">
      <c r="A1349" s="4"/>
      <c r="B1349" s="5"/>
      <c r="C1349" s="6"/>
      <c r="D1349" s="6"/>
      <c r="E1349" s="6"/>
    </row>
    <row r="1350">
      <c r="A1350" s="4"/>
      <c r="B1350" s="5"/>
      <c r="C1350" s="6"/>
      <c r="D1350" s="6"/>
      <c r="E1350" s="6"/>
    </row>
    <row r="1351">
      <c r="A1351" s="4"/>
      <c r="B1351" s="5"/>
      <c r="C1351" s="6"/>
      <c r="D1351" s="6"/>
      <c r="E1351" s="6"/>
    </row>
    <row r="1352">
      <c r="A1352" s="4"/>
      <c r="B1352" s="5"/>
      <c r="C1352" s="6"/>
      <c r="D1352" s="6"/>
      <c r="E1352" s="6"/>
    </row>
    <row r="1353">
      <c r="A1353" s="4"/>
      <c r="B1353" s="5"/>
      <c r="C1353" s="6"/>
      <c r="D1353" s="6"/>
      <c r="E1353" s="6"/>
    </row>
    <row r="1354">
      <c r="A1354" s="4"/>
      <c r="B1354" s="5"/>
      <c r="C1354" s="6"/>
      <c r="D1354" s="6"/>
      <c r="E1354" s="6"/>
    </row>
    <row r="1355">
      <c r="A1355" s="4"/>
      <c r="B1355" s="5"/>
      <c r="C1355" s="6"/>
      <c r="D1355" s="6"/>
      <c r="E1355" s="6"/>
    </row>
    <row r="1356">
      <c r="A1356" s="4"/>
      <c r="B1356" s="5"/>
      <c r="C1356" s="6"/>
      <c r="D1356" s="6"/>
      <c r="E1356" s="6"/>
    </row>
    <row r="1357">
      <c r="A1357" s="4"/>
      <c r="B1357" s="5"/>
      <c r="C1357" s="6"/>
      <c r="D1357" s="6"/>
      <c r="E1357" s="6"/>
    </row>
    <row r="1358">
      <c r="A1358" s="4"/>
      <c r="B1358" s="5"/>
      <c r="C1358" s="6"/>
      <c r="D1358" s="6"/>
      <c r="E1358" s="6"/>
    </row>
    <row r="1359">
      <c r="A1359" s="4"/>
      <c r="B1359" s="5"/>
      <c r="C1359" s="6"/>
      <c r="D1359" s="6"/>
      <c r="E1359" s="6"/>
    </row>
    <row r="1360">
      <c r="A1360" s="4"/>
      <c r="B1360" s="5"/>
      <c r="C1360" s="6"/>
      <c r="D1360" s="6"/>
      <c r="E1360" s="6"/>
    </row>
    <row r="1361">
      <c r="A1361" s="4"/>
      <c r="B1361" s="5"/>
      <c r="C1361" s="6"/>
      <c r="D1361" s="6"/>
      <c r="E1361" s="6"/>
    </row>
    <row r="1362">
      <c r="A1362" s="4"/>
      <c r="B1362" s="5"/>
      <c r="C1362" s="6"/>
      <c r="D1362" s="6"/>
      <c r="E1362" s="6"/>
    </row>
    <row r="1363">
      <c r="A1363" s="4"/>
      <c r="B1363" s="5"/>
      <c r="C1363" s="6"/>
      <c r="D1363" s="6"/>
      <c r="E1363" s="6"/>
    </row>
    <row r="1364">
      <c r="A1364" s="10"/>
      <c r="B1364" s="17"/>
      <c r="C1364" s="10"/>
      <c r="D1364" s="10"/>
      <c r="E1364" s="10"/>
    </row>
    <row r="1365">
      <c r="A1365" s="10"/>
      <c r="B1365" s="17"/>
      <c r="C1365" s="10"/>
      <c r="D1365" s="10"/>
      <c r="E1365" s="10"/>
    </row>
    <row r="1366">
      <c r="A1366" s="10"/>
      <c r="B1366" s="17"/>
      <c r="C1366" s="10"/>
      <c r="D1366" s="10"/>
      <c r="E1366" s="10"/>
    </row>
    <row r="1367">
      <c r="A1367" s="10"/>
      <c r="B1367" s="17"/>
      <c r="C1367" s="10"/>
      <c r="D1367" s="10"/>
      <c r="E1367" s="10"/>
    </row>
    <row r="1368">
      <c r="A1368" s="10"/>
      <c r="B1368" s="17"/>
      <c r="C1368" s="10"/>
      <c r="D1368" s="10"/>
      <c r="E1368" s="10"/>
    </row>
    <row r="1369">
      <c r="A1369" s="10"/>
      <c r="B1369" s="17"/>
      <c r="C1369" s="10"/>
      <c r="D1369" s="10"/>
      <c r="E1369" s="10"/>
    </row>
    <row r="1370">
      <c r="A1370" s="10"/>
      <c r="B1370" s="17"/>
      <c r="C1370" s="10"/>
      <c r="D1370" s="10"/>
      <c r="E1370" s="10"/>
    </row>
    <row r="1371">
      <c r="A1371" s="10"/>
      <c r="B1371" s="17"/>
      <c r="C1371" s="10"/>
      <c r="D1371" s="10"/>
      <c r="E1371" s="10"/>
    </row>
    <row r="1372">
      <c r="A1372" s="10"/>
      <c r="B1372" s="17"/>
      <c r="C1372" s="10"/>
      <c r="D1372" s="10"/>
      <c r="E1372" s="10"/>
    </row>
    <row r="1373">
      <c r="A1373" s="10"/>
      <c r="B1373" s="17"/>
      <c r="C1373" s="10"/>
      <c r="D1373" s="10"/>
      <c r="E1373" s="10"/>
    </row>
    <row r="1374">
      <c r="A1374" s="10"/>
      <c r="B1374" s="17"/>
      <c r="C1374" s="10"/>
      <c r="D1374" s="10"/>
      <c r="E1374" s="10"/>
    </row>
    <row r="1375">
      <c r="A1375" s="10"/>
      <c r="B1375" s="17"/>
      <c r="C1375" s="10"/>
      <c r="D1375" s="10"/>
      <c r="E1375" s="10"/>
    </row>
    <row r="1376">
      <c r="A1376" s="10"/>
      <c r="B1376" s="17"/>
      <c r="C1376" s="10"/>
      <c r="D1376" s="10"/>
      <c r="E1376" s="10"/>
    </row>
    <row r="1377">
      <c r="A1377" s="10"/>
      <c r="B1377" s="17"/>
      <c r="C1377" s="10"/>
      <c r="D1377" s="10"/>
      <c r="E1377" s="10"/>
    </row>
    <row r="1378">
      <c r="A1378" s="10"/>
      <c r="B1378" s="17"/>
      <c r="C1378" s="10"/>
      <c r="D1378" s="10"/>
      <c r="E1378" s="10"/>
    </row>
    <row r="1379">
      <c r="A1379" s="10"/>
      <c r="B1379" s="17"/>
      <c r="C1379" s="10"/>
      <c r="D1379" s="10"/>
      <c r="E1379" s="10"/>
    </row>
    <row r="1380">
      <c r="A1380" s="10"/>
      <c r="B1380" s="17"/>
      <c r="C1380" s="10"/>
      <c r="D1380" s="10"/>
      <c r="E1380" s="10"/>
    </row>
    <row r="1381">
      <c r="A1381" s="10"/>
      <c r="B1381" s="17"/>
      <c r="C1381" s="10"/>
      <c r="D1381" s="10"/>
      <c r="E1381" s="10"/>
    </row>
    <row r="1382">
      <c r="A1382" s="10"/>
      <c r="B1382" s="17"/>
      <c r="C1382" s="10"/>
      <c r="D1382" s="10"/>
      <c r="E1382" s="10"/>
    </row>
    <row r="1383">
      <c r="A1383" s="10"/>
      <c r="B1383" s="17"/>
      <c r="C1383" s="10"/>
      <c r="D1383" s="10"/>
      <c r="E1383" s="10"/>
    </row>
    <row r="1384">
      <c r="A1384" s="10"/>
      <c r="B1384" s="17"/>
      <c r="C1384" s="10"/>
      <c r="D1384" s="10"/>
      <c r="E1384" s="10"/>
    </row>
    <row r="1385">
      <c r="A1385" s="10"/>
      <c r="B1385" s="17"/>
      <c r="C1385" s="10"/>
      <c r="D1385" s="10"/>
      <c r="E1385" s="10"/>
    </row>
    <row r="1386">
      <c r="A1386" s="10"/>
      <c r="B1386" s="17"/>
      <c r="C1386" s="10"/>
      <c r="D1386" s="10"/>
      <c r="E1386" s="10"/>
    </row>
    <row r="1387">
      <c r="A1387" s="10"/>
      <c r="B1387" s="17"/>
      <c r="C1387" s="10"/>
      <c r="D1387" s="10"/>
      <c r="E1387" s="10"/>
    </row>
    <row r="1388">
      <c r="A1388" s="10"/>
      <c r="B1388" s="17"/>
      <c r="C1388" s="10"/>
      <c r="D1388" s="10"/>
      <c r="E1388" s="10"/>
    </row>
    <row r="1389">
      <c r="A1389" s="10"/>
      <c r="B1389" s="17"/>
      <c r="C1389" s="10"/>
      <c r="D1389" s="10"/>
      <c r="E1389" s="10"/>
    </row>
    <row r="1390">
      <c r="A1390" s="10"/>
      <c r="B1390" s="17"/>
      <c r="C1390" s="10"/>
      <c r="D1390" s="10"/>
      <c r="E1390" s="10"/>
    </row>
    <row r="1391">
      <c r="A1391" s="10"/>
      <c r="B1391" s="17"/>
      <c r="C1391" s="10"/>
      <c r="D1391" s="10"/>
      <c r="E1391" s="10"/>
    </row>
    <row r="1392">
      <c r="A1392" s="10"/>
      <c r="B1392" s="17"/>
      <c r="C1392" s="10"/>
      <c r="D1392" s="10"/>
      <c r="E1392" s="10"/>
    </row>
    <row r="1393">
      <c r="A1393" s="10"/>
      <c r="B1393" s="17"/>
      <c r="C1393" s="10"/>
      <c r="D1393" s="10"/>
      <c r="E1393" s="10"/>
    </row>
    <row r="1394">
      <c r="A1394" s="10"/>
      <c r="B1394" s="17"/>
      <c r="C1394" s="10"/>
      <c r="D1394" s="10"/>
      <c r="E1394" s="10"/>
    </row>
    <row r="1395">
      <c r="A1395" s="10"/>
      <c r="B1395" s="17"/>
      <c r="C1395" s="10"/>
      <c r="D1395" s="10"/>
      <c r="E1395" s="10"/>
    </row>
    <row r="1396">
      <c r="A1396" s="10"/>
      <c r="B1396" s="17"/>
      <c r="C1396" s="10"/>
      <c r="D1396" s="10"/>
      <c r="E1396" s="10"/>
    </row>
    <row r="1397">
      <c r="A1397" s="10"/>
      <c r="B1397" s="17"/>
      <c r="C1397" s="10"/>
      <c r="D1397" s="10"/>
      <c r="E1397" s="10"/>
    </row>
    <row r="1398">
      <c r="A1398" s="10"/>
      <c r="B1398" s="17"/>
      <c r="C1398" s="10"/>
      <c r="D1398" s="10"/>
      <c r="E1398" s="10"/>
    </row>
    <row r="1399">
      <c r="A1399" s="10"/>
      <c r="B1399" s="17"/>
      <c r="C1399" s="10"/>
      <c r="D1399" s="10"/>
      <c r="E1399" s="10"/>
    </row>
    <row r="1400">
      <c r="A1400" s="10"/>
      <c r="B1400" s="17"/>
      <c r="C1400" s="10"/>
      <c r="D1400" s="10"/>
      <c r="E1400" s="10"/>
    </row>
    <row r="1401">
      <c r="A1401" s="10"/>
      <c r="B1401" s="17"/>
      <c r="C1401" s="10"/>
      <c r="D1401" s="10"/>
      <c r="E1401" s="10"/>
    </row>
    <row r="1402">
      <c r="A1402" s="10"/>
      <c r="B1402" s="17"/>
      <c r="C1402" s="10"/>
      <c r="D1402" s="10"/>
      <c r="E1402" s="10"/>
    </row>
    <row r="1403">
      <c r="A1403" s="10"/>
      <c r="B1403" s="17"/>
      <c r="C1403" s="10"/>
      <c r="D1403" s="10"/>
      <c r="E1403" s="10"/>
    </row>
    <row r="1404">
      <c r="A1404" s="10"/>
      <c r="B1404" s="17"/>
      <c r="C1404" s="10"/>
      <c r="D1404" s="10"/>
      <c r="E1404" s="10"/>
    </row>
    <row r="1405">
      <c r="A1405" s="10"/>
      <c r="B1405" s="17"/>
      <c r="C1405" s="10"/>
      <c r="D1405" s="10"/>
      <c r="E1405" s="10"/>
    </row>
    <row r="1406">
      <c r="A1406" s="10"/>
      <c r="B1406" s="17"/>
      <c r="C1406" s="10"/>
      <c r="D1406" s="10"/>
      <c r="E1406" s="10"/>
    </row>
    <row r="1407">
      <c r="A1407" s="10"/>
      <c r="B1407" s="17"/>
      <c r="C1407" s="10"/>
      <c r="D1407" s="10"/>
      <c r="E1407" s="10"/>
    </row>
    <row r="1408">
      <c r="A1408" s="10"/>
      <c r="B1408" s="17"/>
      <c r="C1408" s="10"/>
      <c r="D1408" s="10"/>
      <c r="E1408" s="10"/>
    </row>
    <row r="1409">
      <c r="A1409" s="10"/>
      <c r="B1409" s="17"/>
      <c r="C1409" s="10"/>
      <c r="D1409" s="10"/>
      <c r="E1409" s="10"/>
    </row>
    <row r="1410">
      <c r="A1410" s="10"/>
      <c r="B1410" s="17"/>
      <c r="C1410" s="10"/>
      <c r="D1410" s="10"/>
      <c r="E1410" s="10"/>
    </row>
    <row r="1411">
      <c r="A1411" s="10"/>
      <c r="B1411" s="17"/>
      <c r="C1411" s="10"/>
      <c r="D1411" s="10"/>
      <c r="E1411" s="10"/>
    </row>
    <row r="1412">
      <c r="A1412" s="10"/>
      <c r="B1412" s="17"/>
      <c r="C1412" s="10"/>
      <c r="D1412" s="10"/>
      <c r="E1412" s="10"/>
    </row>
    <row r="1413">
      <c r="A1413" s="10"/>
      <c r="B1413" s="17"/>
      <c r="C1413" s="10"/>
      <c r="D1413" s="10"/>
      <c r="E1413" s="10"/>
    </row>
    <row r="1414">
      <c r="A1414" s="10"/>
      <c r="B1414" s="17"/>
      <c r="C1414" s="10"/>
      <c r="D1414" s="10"/>
      <c r="E1414" s="10"/>
    </row>
    <row r="1415">
      <c r="A1415" s="10"/>
      <c r="B1415" s="17"/>
      <c r="C1415" s="10"/>
      <c r="D1415" s="10"/>
      <c r="E1415" s="10"/>
    </row>
    <row r="1416">
      <c r="A1416" s="10"/>
      <c r="B1416" s="17"/>
      <c r="C1416" s="10"/>
      <c r="D1416" s="10"/>
      <c r="E1416" s="10"/>
    </row>
    <row r="1417">
      <c r="A1417" s="10"/>
      <c r="B1417" s="17"/>
      <c r="C1417" s="10"/>
      <c r="D1417" s="10"/>
      <c r="E1417" s="10"/>
    </row>
    <row r="1418">
      <c r="A1418" s="10"/>
      <c r="B1418" s="17"/>
      <c r="C1418" s="10"/>
      <c r="D1418" s="10"/>
      <c r="E1418" s="10"/>
    </row>
    <row r="1419">
      <c r="A1419" s="10"/>
      <c r="B1419" s="17"/>
      <c r="C1419" s="10"/>
      <c r="D1419" s="10"/>
      <c r="E1419" s="10"/>
    </row>
    <row r="1420">
      <c r="A1420" s="10"/>
      <c r="B1420" s="17"/>
      <c r="C1420" s="10"/>
      <c r="D1420" s="10"/>
      <c r="E1420" s="10"/>
    </row>
    <row r="1421">
      <c r="A1421" s="10"/>
      <c r="B1421" s="17"/>
      <c r="C1421" s="10"/>
      <c r="D1421" s="10"/>
      <c r="E1421" s="10"/>
    </row>
    <row r="1422">
      <c r="A1422" s="10"/>
      <c r="B1422" s="17"/>
      <c r="C1422" s="10"/>
      <c r="D1422" s="10"/>
      <c r="E1422" s="10"/>
    </row>
    <row r="1423">
      <c r="A1423" s="10"/>
      <c r="B1423" s="17"/>
      <c r="C1423" s="10"/>
      <c r="D1423" s="10"/>
      <c r="E1423" s="10"/>
    </row>
    <row r="1424">
      <c r="A1424" s="10"/>
      <c r="B1424" s="17"/>
      <c r="C1424" s="10"/>
      <c r="D1424" s="10"/>
      <c r="E1424" s="10"/>
    </row>
    <row r="1425">
      <c r="A1425" s="10"/>
      <c r="B1425" s="17"/>
      <c r="C1425" s="10"/>
      <c r="D1425" s="10"/>
      <c r="E1425" s="10"/>
    </row>
    <row r="1426">
      <c r="A1426" s="10"/>
      <c r="B1426" s="17"/>
      <c r="C1426" s="10"/>
      <c r="D1426" s="10"/>
      <c r="E1426" s="10"/>
    </row>
    <row r="1427">
      <c r="A1427" s="10"/>
      <c r="B1427" s="17"/>
      <c r="C1427" s="10"/>
      <c r="D1427" s="10"/>
      <c r="E1427" s="10"/>
    </row>
    <row r="1428">
      <c r="A1428" s="10"/>
      <c r="B1428" s="17"/>
      <c r="C1428" s="10"/>
      <c r="D1428" s="10"/>
      <c r="E1428" s="10"/>
    </row>
    <row r="1429">
      <c r="A1429" s="10"/>
      <c r="B1429" s="17"/>
      <c r="C1429" s="10"/>
      <c r="D1429" s="10"/>
      <c r="E1429" s="10"/>
    </row>
    <row r="1430">
      <c r="A1430" s="10"/>
      <c r="B1430" s="17"/>
      <c r="C1430" s="10"/>
      <c r="D1430" s="10"/>
      <c r="E1430" s="10"/>
    </row>
    <row r="1431">
      <c r="A1431" s="10"/>
      <c r="B1431" s="17"/>
      <c r="C1431" s="10"/>
      <c r="D1431" s="10"/>
      <c r="E1431" s="10"/>
    </row>
    <row r="1432">
      <c r="A1432" s="10"/>
      <c r="B1432" s="17"/>
      <c r="C1432" s="10"/>
      <c r="D1432" s="10"/>
      <c r="E1432" s="10"/>
    </row>
    <row r="1433">
      <c r="A1433" s="10"/>
      <c r="B1433" s="17"/>
      <c r="C1433" s="10"/>
      <c r="D1433" s="10"/>
      <c r="E1433" s="10"/>
    </row>
    <row r="1434">
      <c r="A1434" s="10"/>
      <c r="B1434" s="17"/>
      <c r="C1434" s="10"/>
      <c r="D1434" s="10"/>
      <c r="E1434" s="10"/>
    </row>
    <row r="1435">
      <c r="A1435" s="10"/>
      <c r="B1435" s="17"/>
      <c r="C1435" s="10"/>
      <c r="D1435" s="10"/>
      <c r="E1435" s="10"/>
    </row>
    <row r="1436">
      <c r="A1436" s="10"/>
      <c r="B1436" s="17"/>
      <c r="C1436" s="10"/>
      <c r="D1436" s="10"/>
      <c r="E1436" s="10"/>
    </row>
    <row r="1437">
      <c r="A1437" s="10"/>
      <c r="B1437" s="17"/>
      <c r="C1437" s="10"/>
      <c r="D1437" s="10"/>
      <c r="E1437" s="10"/>
    </row>
    <row r="1438">
      <c r="A1438" s="10"/>
      <c r="B1438" s="17"/>
      <c r="C1438" s="10"/>
      <c r="D1438" s="10"/>
      <c r="E1438" s="10"/>
    </row>
    <row r="1439">
      <c r="A1439" s="10"/>
      <c r="B1439" s="17"/>
      <c r="C1439" s="10"/>
      <c r="D1439" s="10"/>
      <c r="E1439" s="10"/>
    </row>
    <row r="1440">
      <c r="A1440" s="10"/>
      <c r="B1440" s="17"/>
      <c r="C1440" s="10"/>
      <c r="D1440" s="10"/>
      <c r="E1440" s="10"/>
    </row>
    <row r="1441">
      <c r="A1441" s="10"/>
      <c r="B1441" s="17"/>
      <c r="C1441" s="10"/>
      <c r="D1441" s="10"/>
      <c r="E1441" s="10"/>
    </row>
    <row r="1442">
      <c r="A1442" s="10"/>
      <c r="B1442" s="17"/>
      <c r="C1442" s="10"/>
      <c r="D1442" s="10"/>
      <c r="E1442" s="10"/>
    </row>
    <row r="1443">
      <c r="A1443" s="10"/>
      <c r="B1443" s="17"/>
      <c r="C1443" s="10"/>
      <c r="D1443" s="10"/>
      <c r="E1443" s="10"/>
    </row>
    <row r="1444">
      <c r="A1444" s="10"/>
      <c r="B1444" s="17"/>
      <c r="C1444" s="10"/>
      <c r="D1444" s="10"/>
      <c r="E1444" s="10"/>
    </row>
    <row r="1445">
      <c r="A1445" s="10"/>
      <c r="B1445" s="17"/>
      <c r="C1445" s="10"/>
      <c r="D1445" s="10"/>
      <c r="E1445" s="10"/>
    </row>
    <row r="1446">
      <c r="A1446" s="10"/>
      <c r="B1446" s="17"/>
      <c r="C1446" s="10"/>
      <c r="D1446" s="10"/>
      <c r="E1446" s="10"/>
    </row>
    <row r="1447">
      <c r="A1447" s="10"/>
      <c r="B1447" s="17"/>
      <c r="C1447" s="10"/>
      <c r="D1447" s="10"/>
      <c r="E1447" s="10"/>
    </row>
    <row r="1448">
      <c r="A1448" s="10"/>
      <c r="B1448" s="17"/>
      <c r="C1448" s="10"/>
      <c r="D1448" s="10"/>
      <c r="E1448" s="10"/>
    </row>
    <row r="1449">
      <c r="A1449" s="10"/>
      <c r="B1449" s="17"/>
      <c r="C1449" s="10"/>
      <c r="D1449" s="10"/>
      <c r="E1449" s="10"/>
    </row>
    <row r="1450">
      <c r="A1450" s="10"/>
      <c r="B1450" s="17"/>
      <c r="C1450" s="10"/>
      <c r="D1450" s="10"/>
      <c r="E1450" s="10"/>
    </row>
    <row r="1451">
      <c r="A1451" s="10"/>
      <c r="B1451" s="17"/>
      <c r="C1451" s="10"/>
      <c r="D1451" s="10"/>
      <c r="E1451" s="10"/>
    </row>
    <row r="1452">
      <c r="A1452" s="10"/>
      <c r="B1452" s="17"/>
      <c r="C1452" s="10"/>
      <c r="D1452" s="10"/>
      <c r="E1452" s="10"/>
    </row>
    <row r="1453">
      <c r="A1453" s="10"/>
      <c r="B1453" s="17"/>
      <c r="C1453" s="10"/>
      <c r="D1453" s="10"/>
      <c r="E1453" s="10"/>
    </row>
    <row r="1454">
      <c r="A1454" s="10"/>
      <c r="B1454" s="17"/>
      <c r="C1454" s="10"/>
      <c r="D1454" s="10"/>
      <c r="E1454" s="10"/>
    </row>
    <row r="1455">
      <c r="A1455" s="10"/>
      <c r="B1455" s="17"/>
      <c r="C1455" s="10"/>
      <c r="D1455" s="10"/>
      <c r="E1455" s="10"/>
    </row>
    <row r="1456">
      <c r="A1456" s="10"/>
      <c r="B1456" s="17"/>
      <c r="C1456" s="10"/>
      <c r="D1456" s="10"/>
      <c r="E1456" s="10"/>
    </row>
    <row r="1457">
      <c r="A1457" s="10"/>
      <c r="B1457" s="17"/>
      <c r="C1457" s="10"/>
      <c r="D1457" s="10"/>
      <c r="E1457" s="10"/>
    </row>
    <row r="1458">
      <c r="A1458" s="10"/>
      <c r="B1458" s="17"/>
      <c r="C1458" s="10"/>
      <c r="D1458" s="10"/>
      <c r="E1458" s="10"/>
    </row>
    <row r="1459">
      <c r="A1459" s="10"/>
      <c r="B1459" s="17"/>
      <c r="C1459" s="10"/>
      <c r="D1459" s="10"/>
      <c r="E1459" s="10"/>
    </row>
    <row r="1460">
      <c r="A1460" s="10"/>
      <c r="B1460" s="17"/>
      <c r="C1460" s="10"/>
      <c r="D1460" s="10"/>
      <c r="E1460" s="10"/>
    </row>
    <row r="1461">
      <c r="A1461" s="10"/>
      <c r="B1461" s="17"/>
      <c r="C1461" s="10"/>
      <c r="D1461" s="10"/>
      <c r="E1461" s="10"/>
    </row>
    <row r="1462">
      <c r="A1462" s="10"/>
      <c r="B1462" s="17"/>
      <c r="C1462" s="10"/>
      <c r="D1462" s="10"/>
      <c r="E1462" s="10"/>
    </row>
    <row r="1463">
      <c r="A1463" s="10"/>
      <c r="B1463" s="17"/>
      <c r="C1463" s="10"/>
      <c r="D1463" s="10"/>
      <c r="E1463" s="10"/>
    </row>
    <row r="1464">
      <c r="A1464" s="10"/>
      <c r="B1464" s="17"/>
      <c r="C1464" s="10"/>
      <c r="D1464" s="10"/>
      <c r="E1464" s="10"/>
    </row>
    <row r="1465">
      <c r="A1465" s="10"/>
      <c r="B1465" s="17"/>
      <c r="C1465" s="10"/>
      <c r="D1465" s="10"/>
      <c r="E1465" s="10"/>
    </row>
    <row r="1466">
      <c r="A1466" s="10"/>
      <c r="B1466" s="17"/>
      <c r="C1466" s="10"/>
      <c r="D1466" s="10"/>
      <c r="E1466" s="10"/>
    </row>
    <row r="1467">
      <c r="A1467" s="10"/>
      <c r="B1467" s="17"/>
      <c r="C1467" s="10"/>
      <c r="D1467" s="10"/>
      <c r="E1467" s="10"/>
    </row>
    <row r="1468">
      <c r="A1468" s="10"/>
      <c r="B1468" s="17"/>
      <c r="C1468" s="10"/>
      <c r="D1468" s="10"/>
      <c r="E1468" s="10"/>
    </row>
    <row r="1469">
      <c r="A1469" s="10"/>
      <c r="B1469" s="17"/>
      <c r="C1469" s="10"/>
      <c r="D1469" s="10"/>
      <c r="E1469" s="10"/>
    </row>
    <row r="1470">
      <c r="A1470" s="10"/>
      <c r="B1470" s="17"/>
      <c r="C1470" s="10"/>
      <c r="D1470" s="10"/>
      <c r="E1470" s="10"/>
    </row>
    <row r="1471">
      <c r="A1471" s="10"/>
      <c r="B1471" s="17"/>
      <c r="C1471" s="10"/>
      <c r="D1471" s="10"/>
      <c r="E1471" s="10"/>
    </row>
    <row r="1472">
      <c r="A1472" s="10"/>
      <c r="B1472" s="17"/>
      <c r="C1472" s="10"/>
      <c r="D1472" s="10"/>
      <c r="E1472" s="10"/>
    </row>
    <row r="1473">
      <c r="A1473" s="10"/>
      <c r="B1473" s="17"/>
      <c r="C1473" s="10"/>
      <c r="D1473" s="10"/>
      <c r="E1473" s="10"/>
    </row>
    <row r="1474">
      <c r="A1474" s="10"/>
      <c r="B1474" s="17"/>
      <c r="C1474" s="10"/>
      <c r="D1474" s="10"/>
      <c r="E1474" s="10"/>
    </row>
    <row r="1475">
      <c r="A1475" s="10"/>
      <c r="B1475" s="17"/>
      <c r="C1475" s="10"/>
      <c r="D1475" s="10"/>
      <c r="E1475" s="10"/>
    </row>
    <row r="1476">
      <c r="A1476" s="10"/>
      <c r="B1476" s="17"/>
      <c r="C1476" s="10"/>
      <c r="D1476" s="10"/>
      <c r="E1476" s="10"/>
    </row>
    <row r="1477">
      <c r="A1477" s="10"/>
      <c r="B1477" s="17"/>
      <c r="C1477" s="10"/>
      <c r="D1477" s="10"/>
      <c r="E1477" s="10"/>
    </row>
    <row r="1478">
      <c r="A1478" s="10"/>
      <c r="B1478" s="17"/>
      <c r="C1478" s="10"/>
      <c r="D1478" s="10"/>
      <c r="E1478" s="10"/>
    </row>
    <row r="1479">
      <c r="A1479" s="10"/>
      <c r="B1479" s="17"/>
      <c r="C1479" s="10"/>
      <c r="D1479" s="10"/>
      <c r="E1479" s="10"/>
    </row>
    <row r="1480">
      <c r="A1480" s="10"/>
      <c r="B1480" s="17"/>
      <c r="C1480" s="10"/>
      <c r="D1480" s="10"/>
      <c r="E1480" s="10"/>
    </row>
    <row r="1481">
      <c r="A1481" s="10"/>
      <c r="B1481" s="17"/>
      <c r="C1481" s="10"/>
      <c r="D1481" s="10"/>
      <c r="E1481" s="10"/>
    </row>
    <row r="1482">
      <c r="A1482" s="10"/>
      <c r="B1482" s="17"/>
      <c r="C1482" s="10"/>
      <c r="D1482" s="10"/>
      <c r="E1482" s="10"/>
    </row>
    <row r="1483">
      <c r="A1483" s="10"/>
      <c r="B1483" s="17"/>
      <c r="C1483" s="10"/>
      <c r="D1483" s="10"/>
      <c r="E1483" s="10"/>
    </row>
    <row r="1484">
      <c r="A1484" s="10"/>
      <c r="B1484" s="17"/>
      <c r="C1484" s="10"/>
      <c r="D1484" s="10"/>
      <c r="E1484" s="10"/>
    </row>
    <row r="1485">
      <c r="A1485" s="10"/>
      <c r="B1485" s="17"/>
      <c r="C1485" s="10"/>
      <c r="D1485" s="10"/>
      <c r="E1485" s="10"/>
    </row>
    <row r="1486">
      <c r="A1486" s="10"/>
      <c r="B1486" s="17"/>
      <c r="C1486" s="10"/>
      <c r="D1486" s="10"/>
      <c r="E1486" s="10"/>
    </row>
    <row r="1487">
      <c r="A1487" s="10"/>
      <c r="B1487" s="17"/>
      <c r="C1487" s="10"/>
      <c r="D1487" s="10"/>
      <c r="E1487" s="10"/>
    </row>
    <row r="1488">
      <c r="A1488" s="10"/>
      <c r="B1488" s="17"/>
      <c r="C1488" s="10"/>
      <c r="D1488" s="10"/>
      <c r="E1488" s="10"/>
    </row>
    <row r="1489">
      <c r="A1489" s="10"/>
      <c r="B1489" s="17"/>
      <c r="C1489" s="10"/>
      <c r="D1489" s="10"/>
      <c r="E1489" s="10"/>
    </row>
    <row r="1490">
      <c r="A1490" s="10"/>
      <c r="B1490" s="17"/>
      <c r="C1490" s="10"/>
      <c r="D1490" s="10"/>
      <c r="E1490" s="10"/>
    </row>
    <row r="1491">
      <c r="A1491" s="10"/>
      <c r="B1491" s="17"/>
      <c r="C1491" s="10"/>
      <c r="D1491" s="10"/>
      <c r="E1491" s="10"/>
    </row>
    <row r="1492">
      <c r="A1492" s="10"/>
      <c r="B1492" s="17"/>
      <c r="C1492" s="10"/>
      <c r="D1492" s="10"/>
      <c r="E1492" s="10"/>
    </row>
    <row r="1493">
      <c r="A1493" s="10"/>
      <c r="B1493" s="17"/>
      <c r="C1493" s="10"/>
      <c r="D1493" s="10"/>
      <c r="E1493" s="10"/>
    </row>
    <row r="1494">
      <c r="A1494" s="10"/>
      <c r="B1494" s="17"/>
      <c r="C1494" s="10"/>
      <c r="D1494" s="10"/>
      <c r="E1494" s="10"/>
    </row>
    <row r="1495">
      <c r="A1495" s="10"/>
      <c r="B1495" s="17"/>
      <c r="C1495" s="10"/>
      <c r="D1495" s="10"/>
      <c r="E1495" s="10"/>
    </row>
    <row r="1496">
      <c r="A1496" s="10"/>
      <c r="B1496" s="17"/>
      <c r="C1496" s="10"/>
      <c r="D1496" s="10"/>
      <c r="E1496" s="10"/>
    </row>
    <row r="1497">
      <c r="A1497" s="10"/>
      <c r="B1497" s="17"/>
      <c r="C1497" s="10"/>
      <c r="D1497" s="10"/>
      <c r="E1497" s="10"/>
    </row>
    <row r="1498">
      <c r="A1498" s="10"/>
      <c r="B1498" s="17"/>
      <c r="C1498" s="10"/>
      <c r="D1498" s="10"/>
      <c r="E1498" s="10"/>
    </row>
    <row r="1499">
      <c r="A1499" s="10"/>
      <c r="B1499" s="17"/>
      <c r="C1499" s="10"/>
      <c r="D1499" s="10"/>
      <c r="E1499" s="10"/>
    </row>
    <row r="1500">
      <c r="A1500" s="10"/>
      <c r="B1500" s="17"/>
      <c r="C1500" s="10"/>
      <c r="D1500" s="10"/>
      <c r="E1500" s="10"/>
    </row>
    <row r="1501">
      <c r="A1501" s="10"/>
      <c r="B1501" s="17"/>
      <c r="C1501" s="10"/>
      <c r="D1501" s="10"/>
      <c r="E1501" s="10"/>
    </row>
    <row r="1502">
      <c r="A1502" s="10"/>
      <c r="B1502" s="17"/>
      <c r="C1502" s="10"/>
      <c r="D1502" s="10"/>
      <c r="E1502" s="10"/>
    </row>
    <row r="1503">
      <c r="A1503" s="10"/>
      <c r="B1503" s="17"/>
      <c r="C1503" s="10"/>
      <c r="D1503" s="10"/>
      <c r="E1503" s="10"/>
    </row>
    <row r="1504">
      <c r="A1504" s="10"/>
      <c r="B1504" s="17"/>
      <c r="C1504" s="10"/>
      <c r="D1504" s="10"/>
      <c r="E1504" s="10"/>
    </row>
    <row r="1505">
      <c r="A1505" s="10"/>
      <c r="B1505" s="17"/>
      <c r="C1505" s="10"/>
      <c r="D1505" s="10"/>
      <c r="E1505" s="10"/>
    </row>
    <row r="1506">
      <c r="A1506" s="10"/>
      <c r="B1506" s="17"/>
      <c r="C1506" s="10"/>
      <c r="D1506" s="10"/>
      <c r="E1506" s="10"/>
    </row>
    <row r="1507">
      <c r="A1507" s="10"/>
      <c r="B1507" s="17"/>
      <c r="C1507" s="10"/>
      <c r="D1507" s="10"/>
      <c r="E1507" s="10"/>
    </row>
    <row r="1508">
      <c r="A1508" s="10"/>
      <c r="B1508" s="17"/>
      <c r="C1508" s="10"/>
      <c r="D1508" s="10"/>
      <c r="E1508" s="10"/>
    </row>
    <row r="1509">
      <c r="A1509" s="10"/>
      <c r="B1509" s="17"/>
      <c r="C1509" s="10"/>
      <c r="D1509" s="10"/>
      <c r="E1509" s="10"/>
    </row>
    <row r="1510">
      <c r="A1510" s="10"/>
      <c r="B1510" s="17"/>
      <c r="C1510" s="10"/>
      <c r="D1510" s="10"/>
      <c r="E1510" s="10"/>
    </row>
    <row r="1511">
      <c r="A1511" s="10"/>
      <c r="B1511" s="17"/>
      <c r="C1511" s="10"/>
      <c r="D1511" s="10"/>
      <c r="E1511" s="10"/>
    </row>
    <row r="1512">
      <c r="A1512" s="10"/>
      <c r="B1512" s="17"/>
      <c r="C1512" s="10"/>
      <c r="D1512" s="10"/>
      <c r="E1512" s="10"/>
    </row>
    <row r="1513">
      <c r="A1513" s="10"/>
      <c r="B1513" s="17"/>
      <c r="C1513" s="10"/>
      <c r="D1513" s="10"/>
      <c r="E1513" s="10"/>
    </row>
    <row r="1514">
      <c r="A1514" s="10"/>
      <c r="B1514" s="17"/>
      <c r="C1514" s="10"/>
      <c r="D1514" s="10"/>
      <c r="E1514" s="10"/>
    </row>
    <row r="1515">
      <c r="A1515" s="10"/>
      <c r="B1515" s="17"/>
      <c r="C1515" s="10"/>
      <c r="D1515" s="10"/>
      <c r="E1515" s="10"/>
    </row>
    <row r="1516">
      <c r="A1516" s="10"/>
      <c r="B1516" s="17"/>
      <c r="C1516" s="10"/>
      <c r="D1516" s="10"/>
      <c r="E1516" s="10"/>
    </row>
    <row r="1517">
      <c r="A1517" s="10"/>
      <c r="B1517" s="17"/>
      <c r="C1517" s="10"/>
      <c r="D1517" s="10"/>
      <c r="E1517" s="10"/>
    </row>
    <row r="1518">
      <c r="A1518" s="10"/>
      <c r="B1518" s="17"/>
      <c r="C1518" s="10"/>
      <c r="D1518" s="10"/>
      <c r="E1518" s="10"/>
    </row>
    <row r="1519">
      <c r="A1519" s="10"/>
      <c r="B1519" s="17"/>
      <c r="C1519" s="10"/>
      <c r="D1519" s="10"/>
      <c r="E1519" s="10"/>
    </row>
    <row r="1520">
      <c r="A1520" s="10"/>
      <c r="B1520" s="17"/>
      <c r="C1520" s="10"/>
      <c r="D1520" s="10"/>
      <c r="E1520" s="10"/>
    </row>
    <row r="1521">
      <c r="A1521" s="10"/>
      <c r="B1521" s="17"/>
      <c r="C1521" s="10"/>
      <c r="D1521" s="10"/>
      <c r="E1521" s="10"/>
    </row>
    <row r="1522">
      <c r="A1522" s="10"/>
      <c r="B1522" s="17"/>
      <c r="C1522" s="10"/>
      <c r="D1522" s="10"/>
      <c r="E1522" s="10"/>
    </row>
    <row r="1523">
      <c r="A1523" s="10"/>
      <c r="B1523" s="17"/>
      <c r="C1523" s="10"/>
      <c r="D1523" s="10"/>
      <c r="E1523" s="10"/>
    </row>
    <row r="1524">
      <c r="A1524" s="10"/>
      <c r="B1524" s="17"/>
      <c r="C1524" s="10"/>
      <c r="D1524" s="10"/>
      <c r="E1524" s="10"/>
    </row>
    <row r="1525">
      <c r="A1525" s="10"/>
      <c r="B1525" s="17"/>
      <c r="C1525" s="10"/>
      <c r="D1525" s="10"/>
      <c r="E1525" s="10"/>
    </row>
    <row r="1526">
      <c r="A1526" s="10"/>
      <c r="B1526" s="17"/>
      <c r="C1526" s="10"/>
      <c r="D1526" s="10"/>
      <c r="E1526" s="10"/>
    </row>
    <row r="1527">
      <c r="A1527" s="10"/>
      <c r="B1527" s="17"/>
      <c r="C1527" s="10"/>
      <c r="D1527" s="10"/>
      <c r="E1527" s="10"/>
    </row>
    <row r="1528">
      <c r="A1528" s="10"/>
      <c r="B1528" s="17"/>
      <c r="C1528" s="10"/>
      <c r="D1528" s="10"/>
      <c r="E1528" s="10"/>
    </row>
    <row r="1529">
      <c r="A1529" s="10"/>
      <c r="B1529" s="17"/>
      <c r="C1529" s="10"/>
      <c r="D1529" s="10"/>
      <c r="E1529" s="10"/>
    </row>
    <row r="1530">
      <c r="A1530" s="10"/>
      <c r="B1530" s="17"/>
      <c r="C1530" s="10"/>
      <c r="D1530" s="10"/>
      <c r="E1530" s="10"/>
    </row>
    <row r="1531">
      <c r="A1531" s="10"/>
      <c r="B1531" s="17"/>
      <c r="C1531" s="10"/>
      <c r="D1531" s="10"/>
      <c r="E1531" s="10"/>
    </row>
    <row r="1532">
      <c r="A1532" s="10"/>
      <c r="B1532" s="17"/>
      <c r="C1532" s="10"/>
      <c r="D1532" s="10"/>
      <c r="E1532" s="10"/>
    </row>
    <row r="1533">
      <c r="A1533" s="10"/>
      <c r="B1533" s="17"/>
      <c r="C1533" s="10"/>
      <c r="D1533" s="10"/>
      <c r="E1533" s="10"/>
    </row>
    <row r="1534">
      <c r="A1534" s="10"/>
      <c r="B1534" s="17"/>
      <c r="C1534" s="10"/>
      <c r="D1534" s="10"/>
      <c r="E1534" s="10"/>
    </row>
    <row r="1535">
      <c r="A1535" s="10"/>
      <c r="B1535" s="17"/>
      <c r="C1535" s="10"/>
      <c r="D1535" s="10"/>
      <c r="E1535" s="10"/>
    </row>
    <row r="1536">
      <c r="A1536" s="10"/>
      <c r="B1536" s="17"/>
      <c r="C1536" s="10"/>
      <c r="D1536" s="10"/>
      <c r="E1536" s="10"/>
    </row>
    <row r="1537">
      <c r="A1537" s="10"/>
      <c r="B1537" s="17"/>
      <c r="C1537" s="10"/>
      <c r="D1537" s="10"/>
      <c r="E1537" s="10"/>
    </row>
    <row r="1538">
      <c r="A1538" s="10"/>
      <c r="B1538" s="17"/>
      <c r="C1538" s="10"/>
      <c r="D1538" s="10"/>
      <c r="E1538" s="10"/>
    </row>
    <row r="1539">
      <c r="A1539" s="10"/>
      <c r="B1539" s="17"/>
      <c r="C1539" s="10"/>
      <c r="D1539" s="10"/>
      <c r="E1539" s="10"/>
    </row>
    <row r="1540">
      <c r="A1540" s="10"/>
      <c r="B1540" s="17"/>
      <c r="C1540" s="10"/>
      <c r="D1540" s="10"/>
      <c r="E1540" s="10"/>
    </row>
    <row r="1541">
      <c r="A1541" s="10"/>
      <c r="B1541" s="17"/>
      <c r="C1541" s="10"/>
      <c r="D1541" s="10"/>
      <c r="E1541" s="10"/>
    </row>
    <row r="1542">
      <c r="A1542" s="10"/>
      <c r="B1542" s="17"/>
      <c r="C1542" s="10"/>
      <c r="D1542" s="10"/>
      <c r="E1542" s="10"/>
    </row>
    <row r="1543">
      <c r="A1543" s="10"/>
      <c r="B1543" s="17"/>
      <c r="C1543" s="10"/>
      <c r="D1543" s="10"/>
      <c r="E1543" s="10"/>
    </row>
    <row r="1544">
      <c r="A1544" s="10"/>
      <c r="B1544" s="17"/>
      <c r="C1544" s="10"/>
      <c r="D1544" s="10"/>
      <c r="E1544" s="10"/>
    </row>
    <row r="1545">
      <c r="A1545" s="10"/>
      <c r="B1545" s="17"/>
      <c r="C1545" s="10"/>
      <c r="D1545" s="10"/>
      <c r="E1545" s="10"/>
    </row>
    <row r="1546">
      <c r="A1546" s="10"/>
      <c r="B1546" s="17"/>
      <c r="C1546" s="10"/>
      <c r="D1546" s="10"/>
      <c r="E1546" s="10"/>
    </row>
    <row r="1547">
      <c r="A1547" s="10"/>
      <c r="B1547" s="17"/>
      <c r="C1547" s="10"/>
      <c r="D1547" s="10"/>
      <c r="E1547" s="10"/>
    </row>
    <row r="1548">
      <c r="A1548" s="10"/>
      <c r="B1548" s="17"/>
      <c r="C1548" s="10"/>
      <c r="D1548" s="10"/>
      <c r="E1548" s="10"/>
    </row>
    <row r="1549">
      <c r="A1549" s="10"/>
      <c r="B1549" s="17"/>
      <c r="C1549" s="10"/>
      <c r="D1549" s="10"/>
      <c r="E1549" s="10"/>
    </row>
    <row r="1550">
      <c r="A1550" s="10"/>
      <c r="B1550" s="17"/>
      <c r="C1550" s="10"/>
      <c r="D1550" s="10"/>
      <c r="E1550" s="10"/>
    </row>
    <row r="1551">
      <c r="A1551" s="10"/>
      <c r="B1551" s="17"/>
      <c r="C1551" s="10"/>
      <c r="D1551" s="10"/>
      <c r="E1551" s="10"/>
    </row>
    <row r="1552">
      <c r="A1552" s="10"/>
      <c r="B1552" s="17"/>
      <c r="C1552" s="10"/>
      <c r="D1552" s="10"/>
      <c r="E1552" s="10"/>
    </row>
    <row r="1553">
      <c r="A1553" s="10"/>
      <c r="B1553" s="17"/>
      <c r="C1553" s="10"/>
      <c r="D1553" s="10"/>
      <c r="E1553" s="10"/>
    </row>
    <row r="1554">
      <c r="A1554" s="10"/>
      <c r="B1554" s="17"/>
      <c r="C1554" s="10"/>
      <c r="D1554" s="10"/>
      <c r="E1554" s="10"/>
    </row>
    <row r="1555">
      <c r="A1555" s="10"/>
      <c r="B1555" s="17"/>
      <c r="C1555" s="10"/>
      <c r="D1555" s="10"/>
      <c r="E1555" s="10"/>
    </row>
    <row r="1556">
      <c r="A1556" s="10"/>
      <c r="B1556" s="17"/>
      <c r="C1556" s="10"/>
      <c r="D1556" s="10"/>
      <c r="E1556" s="10"/>
    </row>
    <row r="1557">
      <c r="A1557" s="10"/>
      <c r="B1557" s="17"/>
      <c r="C1557" s="10"/>
      <c r="D1557" s="10"/>
      <c r="E1557" s="10"/>
    </row>
    <row r="1558">
      <c r="A1558" s="10"/>
      <c r="B1558" s="17"/>
      <c r="C1558" s="10"/>
      <c r="D1558" s="10"/>
      <c r="E1558" s="10"/>
    </row>
    <row r="1559">
      <c r="A1559" s="10"/>
      <c r="B1559" s="17"/>
      <c r="C1559" s="10"/>
      <c r="D1559" s="10"/>
      <c r="E1559" s="10"/>
    </row>
    <row r="1560">
      <c r="A1560" s="10"/>
      <c r="B1560" s="17"/>
      <c r="C1560" s="10"/>
      <c r="D1560" s="10"/>
      <c r="E1560" s="10"/>
    </row>
    <row r="1561">
      <c r="A1561" s="10"/>
      <c r="B1561" s="17"/>
      <c r="C1561" s="10"/>
      <c r="D1561" s="10"/>
      <c r="E1561" s="10"/>
    </row>
    <row r="1562">
      <c r="A1562" s="10"/>
      <c r="B1562" s="17"/>
      <c r="C1562" s="10"/>
      <c r="D1562" s="10"/>
      <c r="E1562" s="10"/>
    </row>
    <row r="1563">
      <c r="A1563" s="10"/>
      <c r="B1563" s="17"/>
      <c r="C1563" s="10"/>
      <c r="D1563" s="10"/>
      <c r="E1563" s="10"/>
    </row>
    <row r="1564">
      <c r="A1564" s="10"/>
      <c r="B1564" s="17"/>
      <c r="C1564" s="10"/>
      <c r="D1564" s="10"/>
      <c r="E1564" s="10"/>
    </row>
    <row r="1565">
      <c r="A1565" s="10"/>
      <c r="B1565" s="17"/>
      <c r="C1565" s="10"/>
      <c r="D1565" s="10"/>
      <c r="E1565" s="10"/>
    </row>
    <row r="1566">
      <c r="A1566" s="10"/>
      <c r="B1566" s="17"/>
      <c r="C1566" s="10"/>
      <c r="D1566" s="10"/>
      <c r="E1566" s="10"/>
    </row>
    <row r="1567">
      <c r="A1567" s="10"/>
      <c r="B1567" s="17"/>
      <c r="C1567" s="10"/>
      <c r="D1567" s="10"/>
      <c r="E1567" s="10"/>
    </row>
    <row r="1568">
      <c r="A1568" s="10"/>
      <c r="B1568" s="17"/>
      <c r="C1568" s="10"/>
      <c r="D1568" s="10"/>
      <c r="E1568" s="10"/>
    </row>
    <row r="1569">
      <c r="A1569" s="10"/>
      <c r="B1569" s="17"/>
      <c r="C1569" s="10"/>
      <c r="D1569" s="10"/>
      <c r="E1569" s="10"/>
    </row>
    <row r="1570">
      <c r="A1570" s="10"/>
      <c r="B1570" s="17"/>
      <c r="C1570" s="10"/>
      <c r="D1570" s="10"/>
      <c r="E1570" s="10"/>
    </row>
    <row r="1571">
      <c r="A1571" s="10"/>
      <c r="B1571" s="17"/>
      <c r="C1571" s="10"/>
      <c r="D1571" s="10"/>
      <c r="E1571" s="10"/>
    </row>
    <row r="1572">
      <c r="A1572" s="10"/>
      <c r="B1572" s="17"/>
      <c r="C1572" s="10"/>
      <c r="D1572" s="10"/>
      <c r="E1572" s="10"/>
    </row>
    <row r="1573">
      <c r="A1573" s="10"/>
      <c r="B1573" s="17"/>
      <c r="C1573" s="10"/>
      <c r="D1573" s="10"/>
      <c r="E1573" s="10"/>
    </row>
    <row r="1574">
      <c r="A1574" s="10"/>
      <c r="B1574" s="17"/>
      <c r="C1574" s="10"/>
      <c r="D1574" s="10"/>
      <c r="E1574" s="10"/>
    </row>
    <row r="1575">
      <c r="A1575" s="10"/>
      <c r="B1575" s="17"/>
      <c r="C1575" s="10"/>
      <c r="D1575" s="10"/>
      <c r="E1575" s="10"/>
    </row>
    <row r="1576">
      <c r="A1576" s="10"/>
      <c r="B1576" s="17"/>
      <c r="C1576" s="10"/>
      <c r="D1576" s="10"/>
      <c r="E1576" s="10"/>
    </row>
    <row r="1577">
      <c r="A1577" s="10"/>
      <c r="B1577" s="17"/>
      <c r="C1577" s="10"/>
      <c r="D1577" s="10"/>
      <c r="E1577" s="10"/>
    </row>
    <row r="1578">
      <c r="A1578" s="10"/>
      <c r="B1578" s="17"/>
      <c r="C1578" s="10"/>
      <c r="D1578" s="10"/>
      <c r="E1578" s="10"/>
    </row>
    <row r="1579">
      <c r="A1579" s="10"/>
      <c r="B1579" s="17"/>
      <c r="C1579" s="10"/>
      <c r="D1579" s="10"/>
      <c r="E1579" s="10"/>
    </row>
    <row r="1580">
      <c r="A1580" s="10"/>
      <c r="B1580" s="17"/>
      <c r="C1580" s="10"/>
      <c r="D1580" s="10"/>
      <c r="E1580" s="10"/>
    </row>
    <row r="1581">
      <c r="A1581" s="10"/>
      <c r="B1581" s="17"/>
      <c r="C1581" s="10"/>
      <c r="D1581" s="10"/>
      <c r="E1581" s="10"/>
    </row>
    <row r="1582">
      <c r="A1582" s="10"/>
      <c r="B1582" s="17"/>
      <c r="C1582" s="10"/>
      <c r="D1582" s="10"/>
      <c r="E1582" s="10"/>
    </row>
    <row r="1583">
      <c r="A1583" s="10"/>
      <c r="B1583" s="17"/>
      <c r="C1583" s="10"/>
      <c r="D1583" s="10"/>
      <c r="E1583" s="10"/>
    </row>
    <row r="1584">
      <c r="A1584" s="10"/>
      <c r="B1584" s="17"/>
      <c r="C1584" s="10"/>
      <c r="D1584" s="10"/>
      <c r="E1584" s="10"/>
    </row>
    <row r="1585">
      <c r="A1585" s="10"/>
      <c r="B1585" s="17"/>
      <c r="C1585" s="10"/>
      <c r="D1585" s="10"/>
      <c r="E1585" s="10"/>
    </row>
    <row r="1586">
      <c r="A1586" s="10"/>
      <c r="B1586" s="17"/>
      <c r="C1586" s="10"/>
      <c r="D1586" s="10"/>
      <c r="E1586" s="10"/>
    </row>
    <row r="1587">
      <c r="A1587" s="10"/>
      <c r="B1587" s="17"/>
      <c r="C1587" s="10"/>
      <c r="D1587" s="10"/>
      <c r="E1587" s="10"/>
    </row>
    <row r="1588">
      <c r="A1588" s="10"/>
      <c r="B1588" s="17"/>
      <c r="C1588" s="10"/>
      <c r="D1588" s="10"/>
      <c r="E1588" s="10"/>
    </row>
    <row r="1589">
      <c r="A1589" s="10"/>
      <c r="B1589" s="17"/>
      <c r="C1589" s="10"/>
      <c r="D1589" s="10"/>
      <c r="E1589" s="10"/>
    </row>
    <row r="1590">
      <c r="A1590" s="10"/>
      <c r="B1590" s="17"/>
      <c r="C1590" s="10"/>
      <c r="D1590" s="10"/>
      <c r="E1590" s="10"/>
    </row>
    <row r="1591">
      <c r="A1591" s="10"/>
      <c r="B1591" s="17"/>
      <c r="C1591" s="10"/>
      <c r="D1591" s="10"/>
      <c r="E1591" s="10"/>
    </row>
    <row r="1592">
      <c r="A1592" s="10"/>
      <c r="B1592" s="17"/>
      <c r="C1592" s="10"/>
      <c r="D1592" s="10"/>
      <c r="E1592" s="10"/>
    </row>
    <row r="1593">
      <c r="A1593" s="10"/>
      <c r="B1593" s="17"/>
      <c r="C1593" s="10"/>
      <c r="D1593" s="10"/>
      <c r="E1593" s="10"/>
    </row>
    <row r="1594">
      <c r="A1594" s="10"/>
      <c r="B1594" s="17"/>
      <c r="C1594" s="10"/>
      <c r="D1594" s="10"/>
      <c r="E1594" s="10"/>
    </row>
    <row r="1595">
      <c r="A1595" s="10"/>
      <c r="B1595" s="17"/>
      <c r="C1595" s="10"/>
      <c r="D1595" s="10"/>
      <c r="E1595" s="10"/>
    </row>
    <row r="1596">
      <c r="A1596" s="10"/>
      <c r="B1596" s="17"/>
      <c r="C1596" s="10"/>
      <c r="D1596" s="10"/>
      <c r="E1596" s="10"/>
    </row>
    <row r="1597">
      <c r="A1597" s="10"/>
      <c r="B1597" s="17"/>
      <c r="C1597" s="10"/>
      <c r="D1597" s="10"/>
      <c r="E1597" s="10"/>
    </row>
    <row r="1598">
      <c r="A1598" s="10"/>
      <c r="B1598" s="17"/>
      <c r="C1598" s="10"/>
      <c r="D1598" s="10"/>
      <c r="E1598" s="10"/>
    </row>
    <row r="1599">
      <c r="A1599" s="10"/>
      <c r="B1599" s="17"/>
      <c r="C1599" s="10"/>
      <c r="D1599" s="10"/>
      <c r="E1599" s="10"/>
    </row>
    <row r="1600">
      <c r="A1600" s="10"/>
      <c r="B1600" s="17"/>
      <c r="C1600" s="10"/>
      <c r="D1600" s="10"/>
      <c r="E1600" s="10"/>
    </row>
    <row r="1601">
      <c r="A1601" s="10"/>
      <c r="B1601" s="17"/>
      <c r="C1601" s="10"/>
      <c r="D1601" s="10"/>
      <c r="E1601" s="10"/>
    </row>
    <row r="1602">
      <c r="A1602" s="10"/>
      <c r="B1602" s="17"/>
      <c r="C1602" s="10"/>
      <c r="D1602" s="10"/>
      <c r="E1602" s="10"/>
    </row>
    <row r="1603">
      <c r="A1603" s="10"/>
      <c r="B1603" s="17"/>
      <c r="C1603" s="10"/>
      <c r="D1603" s="10"/>
      <c r="E1603" s="10"/>
    </row>
    <row r="1604">
      <c r="A1604" s="10"/>
      <c r="B1604" s="17"/>
      <c r="C1604" s="10"/>
      <c r="D1604" s="10"/>
      <c r="E1604" s="10"/>
    </row>
    <row r="1605">
      <c r="A1605" s="10"/>
      <c r="B1605" s="17"/>
      <c r="C1605" s="10"/>
      <c r="D1605" s="10"/>
      <c r="E1605" s="10"/>
    </row>
    <row r="1606">
      <c r="A1606" s="10"/>
      <c r="B1606" s="17"/>
      <c r="C1606" s="10"/>
      <c r="D1606" s="10"/>
      <c r="E1606" s="10"/>
    </row>
    <row r="1607">
      <c r="A1607" s="10"/>
      <c r="B1607" s="17"/>
      <c r="C1607" s="10"/>
      <c r="D1607" s="10"/>
      <c r="E1607" s="10"/>
    </row>
    <row r="1608">
      <c r="A1608" s="10"/>
      <c r="B1608" s="17"/>
      <c r="C1608" s="10"/>
      <c r="D1608" s="10"/>
      <c r="E1608" s="10"/>
    </row>
    <row r="1609">
      <c r="A1609" s="10"/>
      <c r="B1609" s="17"/>
      <c r="C1609" s="10"/>
      <c r="D1609" s="10"/>
      <c r="E1609" s="10"/>
    </row>
    <row r="1610">
      <c r="A1610" s="10"/>
      <c r="B1610" s="17"/>
      <c r="C1610" s="10"/>
      <c r="D1610" s="10"/>
      <c r="E1610" s="10"/>
    </row>
    <row r="1611">
      <c r="A1611" s="10"/>
      <c r="B1611" s="17"/>
      <c r="C1611" s="10"/>
      <c r="D1611" s="10"/>
      <c r="E1611" s="10"/>
    </row>
    <row r="1612">
      <c r="A1612" s="10"/>
      <c r="B1612" s="17"/>
      <c r="C1612" s="10"/>
      <c r="D1612" s="10"/>
      <c r="E1612" s="10"/>
    </row>
    <row r="1613">
      <c r="A1613" s="10"/>
      <c r="B1613" s="17"/>
      <c r="C1613" s="10"/>
      <c r="D1613" s="10"/>
      <c r="E1613" s="10"/>
    </row>
    <row r="1614">
      <c r="A1614" s="10"/>
      <c r="B1614" s="17"/>
      <c r="C1614" s="10"/>
      <c r="D1614" s="10"/>
      <c r="E1614" s="10"/>
    </row>
    <row r="1615">
      <c r="A1615" s="10"/>
      <c r="B1615" s="17"/>
      <c r="C1615" s="10"/>
      <c r="D1615" s="10"/>
      <c r="E1615" s="10"/>
    </row>
    <row r="1616">
      <c r="A1616" s="10"/>
      <c r="B1616" s="17"/>
      <c r="C1616" s="10"/>
      <c r="D1616" s="10"/>
      <c r="E1616" s="10"/>
    </row>
    <row r="1617">
      <c r="A1617" s="10"/>
      <c r="B1617" s="17"/>
      <c r="C1617" s="10"/>
      <c r="D1617" s="10"/>
      <c r="E1617" s="10"/>
    </row>
    <row r="1618">
      <c r="A1618" s="10"/>
      <c r="B1618" s="17"/>
      <c r="C1618" s="10"/>
      <c r="D1618" s="10"/>
      <c r="E1618" s="10"/>
    </row>
    <row r="1619">
      <c r="A1619" s="10"/>
      <c r="B1619" s="17"/>
      <c r="C1619" s="10"/>
      <c r="D1619" s="10"/>
      <c r="E1619" s="10"/>
    </row>
    <row r="1620">
      <c r="A1620" s="10"/>
      <c r="B1620" s="17"/>
      <c r="C1620" s="10"/>
      <c r="D1620" s="10"/>
      <c r="E1620" s="10"/>
    </row>
    <row r="1621">
      <c r="A1621" s="10"/>
      <c r="B1621" s="17"/>
      <c r="C1621" s="10"/>
      <c r="D1621" s="10"/>
      <c r="E1621" s="10"/>
    </row>
    <row r="1622">
      <c r="A1622" s="10"/>
      <c r="B1622" s="17"/>
      <c r="C1622" s="10"/>
      <c r="D1622" s="10"/>
      <c r="E1622" s="10"/>
    </row>
    <row r="1623">
      <c r="A1623" s="10"/>
      <c r="B1623" s="17"/>
      <c r="C1623" s="10"/>
      <c r="D1623" s="10"/>
      <c r="E1623" s="10"/>
    </row>
    <row r="1624">
      <c r="A1624" s="10"/>
      <c r="B1624" s="17"/>
      <c r="C1624" s="10"/>
      <c r="D1624" s="10"/>
      <c r="E1624" s="10"/>
    </row>
    <row r="1625">
      <c r="A1625" s="10"/>
      <c r="B1625" s="17"/>
      <c r="C1625" s="10"/>
      <c r="D1625" s="10"/>
      <c r="E1625" s="10"/>
    </row>
    <row r="1626">
      <c r="A1626" s="10"/>
      <c r="B1626" s="17"/>
      <c r="C1626" s="10"/>
      <c r="D1626" s="10"/>
      <c r="E1626" s="10"/>
    </row>
    <row r="1627">
      <c r="A1627" s="10"/>
      <c r="B1627" s="17"/>
      <c r="C1627" s="10"/>
      <c r="D1627" s="10"/>
      <c r="E1627" s="10"/>
    </row>
    <row r="1628">
      <c r="A1628" s="10"/>
      <c r="B1628" s="17"/>
      <c r="C1628" s="10"/>
      <c r="D1628" s="10"/>
      <c r="E1628" s="10"/>
    </row>
    <row r="1629">
      <c r="A1629" s="10"/>
      <c r="B1629" s="17"/>
      <c r="C1629" s="10"/>
      <c r="D1629" s="10"/>
      <c r="E1629" s="10"/>
    </row>
    <row r="1630">
      <c r="A1630" s="10"/>
      <c r="B1630" s="17"/>
      <c r="C1630" s="10"/>
      <c r="D1630" s="10"/>
      <c r="E1630" s="10"/>
    </row>
    <row r="1631">
      <c r="A1631" s="10"/>
      <c r="B1631" s="17"/>
      <c r="C1631" s="10"/>
      <c r="D1631" s="10"/>
      <c r="E1631" s="10"/>
    </row>
    <row r="1632">
      <c r="A1632" s="10"/>
      <c r="B1632" s="17"/>
      <c r="C1632" s="10"/>
      <c r="D1632" s="10"/>
      <c r="E1632" s="10"/>
    </row>
    <row r="1633">
      <c r="A1633" s="10"/>
      <c r="B1633" s="17"/>
      <c r="C1633" s="10"/>
      <c r="D1633" s="10"/>
      <c r="E1633" s="10"/>
    </row>
    <row r="1634">
      <c r="A1634" s="10"/>
      <c r="B1634" s="17"/>
      <c r="C1634" s="10"/>
      <c r="D1634" s="10"/>
      <c r="E1634" s="10"/>
    </row>
    <row r="1635">
      <c r="A1635" s="10"/>
      <c r="B1635" s="17"/>
      <c r="C1635" s="10"/>
      <c r="D1635" s="10"/>
      <c r="E1635" s="10"/>
    </row>
    <row r="1636">
      <c r="A1636" s="10"/>
      <c r="B1636" s="17"/>
      <c r="C1636" s="10"/>
      <c r="D1636" s="10"/>
      <c r="E1636" s="10"/>
    </row>
    <row r="1637">
      <c r="A1637" s="10"/>
      <c r="B1637" s="17"/>
      <c r="C1637" s="10"/>
      <c r="D1637" s="10"/>
      <c r="E1637" s="10"/>
    </row>
    <row r="1638">
      <c r="A1638" s="10"/>
      <c r="B1638" s="17"/>
      <c r="C1638" s="10"/>
      <c r="D1638" s="10"/>
      <c r="E1638" s="10"/>
    </row>
    <row r="1639">
      <c r="A1639" s="10"/>
      <c r="B1639" s="17"/>
      <c r="C1639" s="10"/>
      <c r="D1639" s="10"/>
      <c r="E1639" s="10"/>
    </row>
    <row r="1640">
      <c r="A1640" s="10"/>
      <c r="B1640" s="17"/>
      <c r="C1640" s="10"/>
      <c r="D1640" s="10"/>
      <c r="E1640" s="10"/>
    </row>
    <row r="1641">
      <c r="A1641" s="10"/>
      <c r="B1641" s="17"/>
      <c r="C1641" s="10"/>
      <c r="D1641" s="10"/>
      <c r="E1641" s="10"/>
    </row>
    <row r="1642">
      <c r="A1642" s="10"/>
      <c r="B1642" s="17"/>
      <c r="C1642" s="10"/>
      <c r="D1642" s="10"/>
      <c r="E1642" s="10"/>
    </row>
    <row r="1643">
      <c r="A1643" s="10"/>
      <c r="B1643" s="17"/>
      <c r="C1643" s="10"/>
      <c r="D1643" s="10"/>
      <c r="E1643" s="10"/>
    </row>
    <row r="1644">
      <c r="A1644" s="10"/>
      <c r="B1644" s="17"/>
      <c r="C1644" s="10"/>
      <c r="D1644" s="10"/>
      <c r="E1644" s="10"/>
    </row>
    <row r="1645">
      <c r="A1645" s="10"/>
      <c r="B1645" s="17"/>
      <c r="C1645" s="10"/>
      <c r="D1645" s="10"/>
      <c r="E1645" s="10"/>
    </row>
    <row r="1646">
      <c r="A1646" s="10"/>
      <c r="B1646" s="17"/>
      <c r="C1646" s="10"/>
      <c r="D1646" s="10"/>
      <c r="E1646" s="10"/>
    </row>
    <row r="1647">
      <c r="A1647" s="10"/>
      <c r="B1647" s="17"/>
      <c r="C1647" s="10"/>
      <c r="D1647" s="10"/>
      <c r="E1647" s="10"/>
    </row>
    <row r="1648">
      <c r="A1648" s="10"/>
      <c r="B1648" s="17"/>
      <c r="C1648" s="10"/>
      <c r="D1648" s="10"/>
      <c r="E1648" s="10"/>
    </row>
    <row r="1649">
      <c r="A1649" s="10"/>
      <c r="B1649" s="17"/>
      <c r="C1649" s="10"/>
      <c r="D1649" s="10"/>
      <c r="E1649" s="10"/>
    </row>
    <row r="1650">
      <c r="A1650" s="10"/>
      <c r="B1650" s="17"/>
      <c r="C1650" s="10"/>
      <c r="D1650" s="10"/>
      <c r="E1650" s="10"/>
    </row>
    <row r="1651">
      <c r="A1651" s="10"/>
      <c r="B1651" s="17"/>
      <c r="C1651" s="10"/>
      <c r="D1651" s="10"/>
      <c r="E1651" s="10"/>
    </row>
    <row r="1652">
      <c r="A1652" s="10"/>
      <c r="B1652" s="17"/>
      <c r="C1652" s="10"/>
      <c r="D1652" s="10"/>
      <c r="E1652" s="10"/>
    </row>
    <row r="1653">
      <c r="A1653" s="10"/>
      <c r="B1653" s="17"/>
      <c r="C1653" s="10"/>
      <c r="D1653" s="10"/>
      <c r="E1653" s="10"/>
    </row>
    <row r="1654">
      <c r="A1654" s="10"/>
      <c r="B1654" s="17"/>
      <c r="C1654" s="10"/>
      <c r="D1654" s="10"/>
      <c r="E1654" s="10"/>
    </row>
    <row r="1655">
      <c r="A1655" s="10"/>
      <c r="B1655" s="17"/>
      <c r="C1655" s="10"/>
      <c r="D1655" s="10"/>
      <c r="E1655" s="10"/>
    </row>
    <row r="1656">
      <c r="A1656" s="10"/>
      <c r="B1656" s="17"/>
      <c r="C1656" s="10"/>
      <c r="D1656" s="10"/>
      <c r="E1656" s="10"/>
    </row>
    <row r="1657">
      <c r="A1657" s="10"/>
      <c r="B1657" s="17"/>
      <c r="C1657" s="10"/>
      <c r="D1657" s="10"/>
      <c r="E1657" s="10"/>
    </row>
    <row r="1658">
      <c r="A1658" s="10"/>
      <c r="B1658" s="17"/>
      <c r="C1658" s="10"/>
      <c r="D1658" s="10"/>
      <c r="E1658" s="10"/>
    </row>
    <row r="1659">
      <c r="A1659" s="10"/>
      <c r="B1659" s="17"/>
      <c r="C1659" s="10"/>
      <c r="D1659" s="10"/>
      <c r="E1659" s="10"/>
    </row>
    <row r="1660">
      <c r="A1660" s="10"/>
      <c r="B1660" s="17"/>
      <c r="C1660" s="10"/>
      <c r="D1660" s="10"/>
      <c r="E1660" s="10"/>
    </row>
    <row r="1661">
      <c r="A1661" s="10"/>
      <c r="B1661" s="17"/>
      <c r="C1661" s="10"/>
      <c r="D1661" s="10"/>
      <c r="E1661" s="10"/>
    </row>
    <row r="1662">
      <c r="A1662" s="10"/>
      <c r="B1662" s="17"/>
      <c r="C1662" s="10"/>
      <c r="D1662" s="10"/>
      <c r="E1662" s="10"/>
    </row>
    <row r="1663">
      <c r="A1663" s="10"/>
      <c r="B1663" s="17"/>
      <c r="C1663" s="10"/>
      <c r="D1663" s="10"/>
      <c r="E1663" s="10"/>
    </row>
    <row r="1664">
      <c r="A1664" s="10"/>
      <c r="B1664" s="17"/>
      <c r="C1664" s="10"/>
      <c r="D1664" s="10"/>
      <c r="E1664" s="10"/>
    </row>
    <row r="1665">
      <c r="A1665" s="10"/>
      <c r="B1665" s="17"/>
      <c r="C1665" s="10"/>
      <c r="D1665" s="10"/>
      <c r="E1665" s="10"/>
    </row>
    <row r="1666">
      <c r="A1666" s="10"/>
      <c r="B1666" s="17"/>
      <c r="C1666" s="10"/>
      <c r="D1666" s="10"/>
      <c r="E1666" s="10"/>
    </row>
    <row r="1667">
      <c r="A1667" s="10"/>
      <c r="B1667" s="17"/>
      <c r="C1667" s="10"/>
      <c r="D1667" s="10"/>
      <c r="E1667" s="10"/>
    </row>
    <row r="1668">
      <c r="A1668" s="10"/>
      <c r="B1668" s="17"/>
      <c r="C1668" s="10"/>
      <c r="D1668" s="10"/>
      <c r="E1668" s="10"/>
    </row>
    <row r="1669">
      <c r="A1669" s="10"/>
      <c r="B1669" s="17"/>
      <c r="C1669" s="10"/>
      <c r="D1669" s="10"/>
      <c r="E1669" s="10"/>
    </row>
    <row r="1670">
      <c r="A1670" s="10"/>
      <c r="B1670" s="17"/>
      <c r="C1670" s="10"/>
      <c r="D1670" s="10"/>
      <c r="E1670" s="10"/>
    </row>
    <row r="1671">
      <c r="A1671" s="10"/>
      <c r="B1671" s="17"/>
      <c r="C1671" s="10"/>
      <c r="D1671" s="10"/>
      <c r="E1671" s="10"/>
    </row>
    <row r="1672">
      <c r="A1672" s="10"/>
      <c r="B1672" s="17"/>
      <c r="C1672" s="10"/>
      <c r="D1672" s="10"/>
      <c r="E1672" s="10"/>
    </row>
    <row r="1673">
      <c r="A1673" s="10"/>
      <c r="B1673" s="17"/>
      <c r="C1673" s="10"/>
      <c r="D1673" s="10"/>
      <c r="E1673" s="10"/>
    </row>
    <row r="1674">
      <c r="A1674" s="10"/>
      <c r="B1674" s="17"/>
      <c r="C1674" s="10"/>
      <c r="D1674" s="10"/>
      <c r="E1674" s="10"/>
    </row>
    <row r="1675">
      <c r="A1675" s="10"/>
      <c r="B1675" s="17"/>
      <c r="C1675" s="10"/>
      <c r="D1675" s="10"/>
      <c r="E1675" s="10"/>
    </row>
    <row r="1676">
      <c r="A1676" s="10"/>
      <c r="B1676" s="17"/>
      <c r="C1676" s="10"/>
      <c r="D1676" s="10"/>
      <c r="E1676" s="10"/>
    </row>
    <row r="1677">
      <c r="A1677" s="10"/>
      <c r="B1677" s="17"/>
      <c r="C1677" s="10"/>
      <c r="D1677" s="10"/>
      <c r="E1677" s="10"/>
    </row>
    <row r="1678">
      <c r="A1678" s="10"/>
      <c r="B1678" s="17"/>
      <c r="C1678" s="10"/>
      <c r="D1678" s="10"/>
      <c r="E1678" s="10"/>
    </row>
    <row r="1679">
      <c r="A1679" s="10"/>
      <c r="B1679" s="17"/>
      <c r="C1679" s="10"/>
      <c r="D1679" s="10"/>
      <c r="E1679" s="10"/>
    </row>
    <row r="1680">
      <c r="A1680" s="10"/>
      <c r="B1680" s="17"/>
      <c r="C1680" s="10"/>
      <c r="D1680" s="10"/>
      <c r="E1680" s="10"/>
    </row>
    <row r="1681">
      <c r="A1681" s="10"/>
      <c r="B1681" s="17"/>
      <c r="C1681" s="10"/>
      <c r="D1681" s="10"/>
      <c r="E1681" s="10"/>
    </row>
    <row r="1682">
      <c r="A1682" s="10"/>
      <c r="B1682" s="17"/>
      <c r="C1682" s="10"/>
      <c r="D1682" s="10"/>
      <c r="E1682" s="10"/>
    </row>
    <row r="1683">
      <c r="A1683" s="10"/>
      <c r="B1683" s="17"/>
      <c r="C1683" s="10"/>
      <c r="D1683" s="10"/>
      <c r="E1683" s="10"/>
    </row>
    <row r="1684">
      <c r="A1684" s="10"/>
      <c r="B1684" s="17"/>
      <c r="C1684" s="10"/>
      <c r="D1684" s="10"/>
      <c r="E1684" s="10"/>
    </row>
    <row r="1685">
      <c r="A1685" s="10"/>
      <c r="B1685" s="17"/>
      <c r="C1685" s="10"/>
      <c r="D1685" s="10"/>
      <c r="E1685" s="10"/>
    </row>
    <row r="1686">
      <c r="A1686" s="10"/>
      <c r="B1686" s="17"/>
      <c r="C1686" s="10"/>
      <c r="D1686" s="10"/>
      <c r="E1686" s="10"/>
    </row>
    <row r="1687">
      <c r="A1687" s="10"/>
      <c r="B1687" s="17"/>
      <c r="C1687" s="10"/>
      <c r="D1687" s="10"/>
      <c r="E1687" s="10"/>
    </row>
    <row r="1688">
      <c r="A1688" s="10"/>
      <c r="B1688" s="17"/>
      <c r="C1688" s="10"/>
      <c r="D1688" s="10"/>
      <c r="E1688" s="10"/>
    </row>
    <row r="1689">
      <c r="A1689" s="10"/>
      <c r="B1689" s="17"/>
      <c r="C1689" s="10"/>
      <c r="D1689" s="10"/>
      <c r="E1689" s="10"/>
    </row>
    <row r="1690">
      <c r="A1690" s="10"/>
      <c r="B1690" s="17"/>
      <c r="C1690" s="10"/>
      <c r="D1690" s="10"/>
      <c r="E1690" s="10"/>
    </row>
    <row r="1691">
      <c r="A1691" s="10"/>
      <c r="B1691" s="17"/>
      <c r="C1691" s="10"/>
      <c r="D1691" s="10"/>
      <c r="E1691" s="10"/>
    </row>
    <row r="1692">
      <c r="A1692" s="10"/>
      <c r="B1692" s="17"/>
      <c r="C1692" s="10"/>
      <c r="D1692" s="10"/>
      <c r="E1692" s="10"/>
    </row>
    <row r="1693">
      <c r="A1693" s="10"/>
      <c r="B1693" s="17"/>
      <c r="C1693" s="10"/>
      <c r="D1693" s="10"/>
      <c r="E1693" s="10"/>
    </row>
    <row r="1694">
      <c r="A1694" s="10"/>
      <c r="B1694" s="17"/>
      <c r="C1694" s="10"/>
      <c r="D1694" s="10"/>
      <c r="E1694" s="10"/>
    </row>
    <row r="1695">
      <c r="A1695" s="10"/>
      <c r="B1695" s="17"/>
      <c r="C1695" s="10"/>
      <c r="D1695" s="10"/>
      <c r="E1695" s="10"/>
    </row>
    <row r="1696">
      <c r="A1696" s="10"/>
      <c r="B1696" s="17"/>
      <c r="C1696" s="10"/>
      <c r="D1696" s="10"/>
      <c r="E1696" s="10"/>
    </row>
    <row r="1697">
      <c r="A1697" s="10"/>
      <c r="B1697" s="17"/>
      <c r="C1697" s="10"/>
      <c r="D1697" s="10"/>
      <c r="E1697" s="10"/>
    </row>
    <row r="1698">
      <c r="A1698" s="10"/>
      <c r="B1698" s="17"/>
      <c r="C1698" s="10"/>
      <c r="D1698" s="10"/>
      <c r="E1698" s="10"/>
    </row>
    <row r="1699">
      <c r="A1699" s="10"/>
      <c r="B1699" s="17"/>
      <c r="C1699" s="10"/>
      <c r="D1699" s="10"/>
      <c r="E1699" s="10"/>
    </row>
    <row r="1700">
      <c r="A1700" s="10"/>
      <c r="B1700" s="17"/>
      <c r="C1700" s="10"/>
      <c r="D1700" s="10"/>
      <c r="E1700" s="10"/>
    </row>
    <row r="1701">
      <c r="A1701" s="10"/>
      <c r="B1701" s="17"/>
      <c r="C1701" s="10"/>
      <c r="D1701" s="10"/>
      <c r="E1701" s="10"/>
    </row>
    <row r="1702">
      <c r="A1702" s="10"/>
      <c r="B1702" s="17"/>
      <c r="C1702" s="10"/>
      <c r="D1702" s="10"/>
      <c r="E1702" s="10"/>
    </row>
    <row r="1703">
      <c r="A1703" s="10"/>
      <c r="B1703" s="17"/>
      <c r="C1703" s="10"/>
      <c r="D1703" s="10"/>
      <c r="E1703" s="10"/>
    </row>
    <row r="1704">
      <c r="A1704" s="10"/>
      <c r="B1704" s="17"/>
      <c r="C1704" s="10"/>
      <c r="D1704" s="10"/>
      <c r="E1704" s="10"/>
    </row>
    <row r="1705">
      <c r="A1705" s="10"/>
      <c r="B1705" s="17"/>
      <c r="C1705" s="10"/>
      <c r="D1705" s="10"/>
      <c r="E1705" s="10"/>
    </row>
    <row r="1706">
      <c r="A1706" s="10"/>
      <c r="B1706" s="17"/>
      <c r="C1706" s="10"/>
      <c r="D1706" s="10"/>
      <c r="E1706" s="10"/>
    </row>
    <row r="1707">
      <c r="A1707" s="10"/>
      <c r="B1707" s="17"/>
      <c r="C1707" s="10"/>
      <c r="D1707" s="10"/>
      <c r="E1707" s="10"/>
    </row>
    <row r="1708">
      <c r="A1708" s="10"/>
      <c r="B1708" s="17"/>
      <c r="C1708" s="10"/>
      <c r="D1708" s="10"/>
      <c r="E1708" s="10"/>
    </row>
    <row r="1709">
      <c r="A1709" s="10"/>
      <c r="B1709" s="17"/>
      <c r="C1709" s="10"/>
      <c r="D1709" s="10"/>
      <c r="E1709" s="10"/>
    </row>
    <row r="1710">
      <c r="A1710" s="10"/>
      <c r="B1710" s="17"/>
      <c r="C1710" s="10"/>
      <c r="D1710" s="10"/>
      <c r="E1710" s="10"/>
    </row>
    <row r="1711">
      <c r="A1711" s="10"/>
      <c r="B1711" s="17"/>
      <c r="C1711" s="10"/>
      <c r="D1711" s="10"/>
      <c r="E1711" s="10"/>
    </row>
    <row r="1712">
      <c r="A1712" s="10"/>
      <c r="B1712" s="17"/>
      <c r="C1712" s="10"/>
      <c r="D1712" s="10"/>
      <c r="E1712" s="10"/>
    </row>
    <row r="1713">
      <c r="A1713" s="10"/>
      <c r="B1713" s="17"/>
      <c r="C1713" s="10"/>
      <c r="D1713" s="10"/>
      <c r="E1713" s="10"/>
    </row>
    <row r="1714">
      <c r="A1714" s="10"/>
      <c r="B1714" s="17"/>
      <c r="C1714" s="10"/>
      <c r="D1714" s="10"/>
      <c r="E1714" s="10"/>
    </row>
    <row r="1715">
      <c r="A1715" s="10"/>
      <c r="B1715" s="17"/>
      <c r="C1715" s="10"/>
      <c r="D1715" s="10"/>
      <c r="E1715" s="10"/>
    </row>
    <row r="1716">
      <c r="A1716" s="10"/>
      <c r="B1716" s="17"/>
      <c r="C1716" s="10"/>
      <c r="D1716" s="10"/>
      <c r="E1716" s="10"/>
    </row>
    <row r="1717">
      <c r="A1717" s="10"/>
      <c r="B1717" s="17"/>
      <c r="C1717" s="10"/>
      <c r="D1717" s="10"/>
      <c r="E1717" s="10"/>
    </row>
    <row r="1718">
      <c r="A1718" s="10"/>
      <c r="B1718" s="17"/>
      <c r="C1718" s="10"/>
      <c r="D1718" s="10"/>
      <c r="E1718" s="10"/>
    </row>
    <row r="1719">
      <c r="A1719" s="10"/>
      <c r="B1719" s="17"/>
      <c r="C1719" s="10"/>
      <c r="D1719" s="10"/>
      <c r="E1719" s="10"/>
    </row>
    <row r="1720">
      <c r="A1720" s="10"/>
      <c r="B1720" s="17"/>
      <c r="C1720" s="10"/>
      <c r="D1720" s="10"/>
      <c r="E1720" s="10"/>
    </row>
    <row r="1721">
      <c r="A1721" s="10"/>
      <c r="B1721" s="17"/>
      <c r="C1721" s="10"/>
      <c r="D1721" s="10"/>
      <c r="E1721" s="10"/>
    </row>
    <row r="1722">
      <c r="A1722" s="10"/>
      <c r="B1722" s="17"/>
      <c r="C1722" s="10"/>
      <c r="D1722" s="10"/>
      <c r="E1722" s="10"/>
    </row>
    <row r="1723">
      <c r="A1723" s="10"/>
      <c r="B1723" s="17"/>
      <c r="C1723" s="10"/>
      <c r="D1723" s="10"/>
      <c r="E1723" s="10"/>
    </row>
    <row r="1724">
      <c r="A1724" s="10"/>
      <c r="B1724" s="17"/>
      <c r="C1724" s="10"/>
      <c r="D1724" s="10"/>
      <c r="E1724" s="10"/>
    </row>
    <row r="1725">
      <c r="A1725" s="10"/>
      <c r="B1725" s="17"/>
      <c r="C1725" s="10"/>
      <c r="D1725" s="10"/>
      <c r="E1725" s="10"/>
    </row>
    <row r="1726">
      <c r="A1726" s="10"/>
      <c r="B1726" s="17"/>
      <c r="C1726" s="10"/>
      <c r="D1726" s="10"/>
      <c r="E1726" s="10"/>
    </row>
    <row r="1727">
      <c r="A1727" s="10"/>
      <c r="B1727" s="17"/>
      <c r="C1727" s="10"/>
      <c r="D1727" s="10"/>
      <c r="E1727" s="10"/>
    </row>
    <row r="1728">
      <c r="A1728" s="10"/>
      <c r="B1728" s="17"/>
      <c r="C1728" s="10"/>
      <c r="D1728" s="10"/>
      <c r="E1728" s="10"/>
    </row>
    <row r="1729">
      <c r="A1729" s="10"/>
      <c r="B1729" s="17"/>
      <c r="C1729" s="10"/>
      <c r="D1729" s="10"/>
      <c r="E1729" s="10"/>
    </row>
    <row r="1730">
      <c r="A1730" s="10"/>
      <c r="B1730" s="17"/>
      <c r="C1730" s="10"/>
      <c r="D1730" s="10"/>
      <c r="E1730" s="10"/>
    </row>
    <row r="1731">
      <c r="A1731" s="10"/>
      <c r="B1731" s="17"/>
      <c r="C1731" s="10"/>
      <c r="D1731" s="10"/>
      <c r="E1731" s="10"/>
    </row>
    <row r="1732">
      <c r="A1732" s="10"/>
      <c r="B1732" s="17"/>
      <c r="C1732" s="10"/>
      <c r="D1732" s="10"/>
      <c r="E1732" s="10"/>
    </row>
    <row r="1733">
      <c r="A1733" s="10"/>
      <c r="B1733" s="17"/>
      <c r="C1733" s="10"/>
      <c r="D1733" s="10"/>
      <c r="E1733" s="10"/>
    </row>
    <row r="1734">
      <c r="A1734" s="10"/>
      <c r="B1734" s="17"/>
      <c r="C1734" s="10"/>
      <c r="D1734" s="10"/>
      <c r="E1734" s="10"/>
    </row>
    <row r="1735">
      <c r="A1735" s="10"/>
      <c r="B1735" s="17"/>
      <c r="C1735" s="10"/>
      <c r="D1735" s="10"/>
      <c r="E1735" s="10"/>
    </row>
    <row r="1736">
      <c r="A1736" s="10"/>
      <c r="B1736" s="17"/>
      <c r="C1736" s="10"/>
      <c r="D1736" s="10"/>
      <c r="E1736" s="10"/>
    </row>
    <row r="1737">
      <c r="A1737" s="10"/>
      <c r="B1737" s="17"/>
      <c r="C1737" s="10"/>
      <c r="D1737" s="10"/>
      <c r="E1737" s="10"/>
    </row>
    <row r="1738">
      <c r="A1738" s="10"/>
      <c r="B1738" s="17"/>
      <c r="C1738" s="10"/>
      <c r="D1738" s="10"/>
      <c r="E1738" s="10"/>
    </row>
    <row r="1739">
      <c r="A1739" s="10"/>
      <c r="B1739" s="17"/>
      <c r="C1739" s="10"/>
      <c r="D1739" s="10"/>
      <c r="E1739" s="10"/>
    </row>
    <row r="1740">
      <c r="A1740" s="10"/>
      <c r="B1740" s="17"/>
      <c r="C1740" s="10"/>
      <c r="D1740" s="10"/>
      <c r="E1740" s="10"/>
    </row>
    <row r="1741">
      <c r="A1741" s="10"/>
      <c r="B1741" s="17"/>
      <c r="C1741" s="10"/>
      <c r="D1741" s="10"/>
      <c r="E1741" s="10"/>
    </row>
    <row r="1742">
      <c r="A1742" s="10"/>
      <c r="B1742" s="17"/>
      <c r="C1742" s="10"/>
      <c r="D1742" s="10"/>
      <c r="E1742" s="10"/>
    </row>
    <row r="1743">
      <c r="A1743" s="10"/>
      <c r="B1743" s="17"/>
      <c r="C1743" s="10"/>
      <c r="D1743" s="10"/>
      <c r="E1743" s="10"/>
    </row>
    <row r="1744">
      <c r="A1744" s="10"/>
      <c r="B1744" s="17"/>
      <c r="C1744" s="10"/>
      <c r="D1744" s="10"/>
      <c r="E1744" s="10"/>
    </row>
    <row r="1745">
      <c r="A1745" s="10"/>
      <c r="B1745" s="17"/>
      <c r="C1745" s="10"/>
      <c r="D1745" s="10"/>
      <c r="E1745" s="10"/>
    </row>
    <row r="1746">
      <c r="A1746" s="10"/>
      <c r="B1746" s="17"/>
      <c r="C1746" s="10"/>
      <c r="D1746" s="10"/>
      <c r="E1746" s="10"/>
    </row>
    <row r="1747">
      <c r="A1747" s="10"/>
      <c r="B1747" s="17"/>
      <c r="C1747" s="10"/>
      <c r="D1747" s="10"/>
      <c r="E1747" s="10"/>
    </row>
    <row r="1748">
      <c r="A1748" s="10"/>
      <c r="B1748" s="17"/>
      <c r="C1748" s="10"/>
      <c r="D1748" s="10"/>
      <c r="E1748" s="10"/>
    </row>
    <row r="1749">
      <c r="A1749" s="10"/>
      <c r="B1749" s="17"/>
      <c r="C1749" s="10"/>
      <c r="D1749" s="10"/>
      <c r="E1749" s="10"/>
    </row>
    <row r="1750">
      <c r="A1750" s="10"/>
      <c r="B1750" s="17"/>
      <c r="C1750" s="10"/>
      <c r="D1750" s="10"/>
      <c r="E1750" s="10"/>
    </row>
    <row r="1751">
      <c r="A1751" s="10"/>
      <c r="B1751" s="17"/>
      <c r="C1751" s="10"/>
      <c r="D1751" s="10"/>
      <c r="E1751" s="10"/>
    </row>
    <row r="1752">
      <c r="A1752" s="10"/>
      <c r="B1752" s="17"/>
      <c r="C1752" s="10"/>
      <c r="D1752" s="10"/>
      <c r="E1752" s="10"/>
    </row>
    <row r="1753">
      <c r="A1753" s="10"/>
      <c r="B1753" s="17"/>
      <c r="C1753" s="10"/>
      <c r="D1753" s="10"/>
      <c r="E1753" s="10"/>
    </row>
    <row r="1754">
      <c r="A1754" s="10"/>
      <c r="B1754" s="17"/>
      <c r="C1754" s="10"/>
      <c r="D1754" s="10"/>
      <c r="E1754" s="10"/>
    </row>
    <row r="1755">
      <c r="A1755" s="10"/>
      <c r="B1755" s="17"/>
      <c r="C1755" s="10"/>
      <c r="D1755" s="10"/>
      <c r="E1755" s="10"/>
    </row>
    <row r="1756">
      <c r="A1756" s="10"/>
      <c r="B1756" s="17"/>
      <c r="C1756" s="10"/>
      <c r="D1756" s="10"/>
      <c r="E1756" s="10"/>
    </row>
    <row r="1757">
      <c r="A1757" s="10"/>
      <c r="B1757" s="17"/>
      <c r="C1757" s="10"/>
      <c r="D1757" s="10"/>
      <c r="E1757" s="10"/>
    </row>
    <row r="1758">
      <c r="A1758" s="10"/>
      <c r="B1758" s="17"/>
      <c r="C1758" s="10"/>
      <c r="D1758" s="10"/>
      <c r="E1758" s="10"/>
    </row>
    <row r="1759">
      <c r="A1759" s="10"/>
      <c r="B1759" s="17"/>
      <c r="C1759" s="10"/>
      <c r="D1759" s="10"/>
      <c r="E1759" s="10"/>
    </row>
    <row r="1760">
      <c r="A1760" s="10"/>
      <c r="B1760" s="17"/>
      <c r="C1760" s="10"/>
      <c r="D1760" s="10"/>
      <c r="E1760" s="10"/>
    </row>
    <row r="1761">
      <c r="A1761" s="10"/>
      <c r="B1761" s="17"/>
      <c r="C1761" s="10"/>
      <c r="D1761" s="10"/>
      <c r="E1761" s="10"/>
    </row>
    <row r="1762">
      <c r="A1762" s="10"/>
      <c r="B1762" s="17"/>
      <c r="C1762" s="10"/>
      <c r="D1762" s="10"/>
      <c r="E1762" s="10"/>
    </row>
    <row r="1763">
      <c r="A1763" s="10"/>
      <c r="B1763" s="17"/>
      <c r="C1763" s="10"/>
      <c r="D1763" s="10"/>
      <c r="E1763" s="10"/>
    </row>
    <row r="1764">
      <c r="A1764" s="10"/>
      <c r="B1764" s="17"/>
      <c r="C1764" s="10"/>
      <c r="D1764" s="10"/>
      <c r="E1764" s="10"/>
    </row>
    <row r="1765">
      <c r="A1765" s="10"/>
      <c r="B1765" s="17"/>
      <c r="C1765" s="10"/>
      <c r="D1765" s="10"/>
      <c r="E1765" s="10"/>
    </row>
    <row r="1766">
      <c r="A1766" s="10"/>
      <c r="B1766" s="17"/>
      <c r="C1766" s="10"/>
      <c r="D1766" s="10"/>
      <c r="E1766" s="10"/>
    </row>
    <row r="1767">
      <c r="A1767" s="10"/>
      <c r="B1767" s="17"/>
      <c r="C1767" s="10"/>
      <c r="D1767" s="10"/>
      <c r="E1767" s="10"/>
    </row>
    <row r="1768">
      <c r="A1768" s="10"/>
      <c r="B1768" s="17"/>
      <c r="C1768" s="10"/>
      <c r="D1768" s="10"/>
      <c r="E1768" s="10"/>
    </row>
    <row r="1769">
      <c r="A1769" s="10"/>
      <c r="B1769" s="17"/>
      <c r="C1769" s="10"/>
      <c r="D1769" s="10"/>
      <c r="E1769" s="10"/>
    </row>
    <row r="1770">
      <c r="A1770" s="10"/>
      <c r="B1770" s="17"/>
      <c r="C1770" s="10"/>
      <c r="D1770" s="10"/>
      <c r="E1770" s="10"/>
    </row>
    <row r="1771">
      <c r="A1771" s="10"/>
      <c r="B1771" s="17"/>
      <c r="C1771" s="10"/>
      <c r="D1771" s="10"/>
      <c r="E1771" s="10"/>
    </row>
    <row r="1772">
      <c r="A1772" s="10"/>
      <c r="B1772" s="17"/>
      <c r="C1772" s="10"/>
      <c r="D1772" s="10"/>
      <c r="E1772" s="10"/>
    </row>
    <row r="1773">
      <c r="A1773" s="10"/>
      <c r="B1773" s="17"/>
      <c r="C1773" s="10"/>
      <c r="D1773" s="10"/>
      <c r="E1773" s="10"/>
    </row>
    <row r="1774">
      <c r="A1774" s="10"/>
      <c r="B1774" s="17"/>
      <c r="C1774" s="10"/>
      <c r="D1774" s="10"/>
      <c r="E1774" s="10"/>
    </row>
    <row r="1775">
      <c r="A1775" s="10"/>
      <c r="B1775" s="17"/>
      <c r="C1775" s="10"/>
      <c r="D1775" s="10"/>
      <c r="E1775" s="10"/>
    </row>
    <row r="1776">
      <c r="A1776" s="10"/>
      <c r="B1776" s="17"/>
      <c r="C1776" s="10"/>
      <c r="D1776" s="10"/>
      <c r="E1776" s="10"/>
    </row>
    <row r="1777">
      <c r="A1777" s="10"/>
      <c r="B1777" s="17"/>
      <c r="C1777" s="10"/>
      <c r="D1777" s="10"/>
      <c r="E1777" s="10"/>
    </row>
    <row r="1778">
      <c r="A1778" s="10"/>
      <c r="B1778" s="17"/>
      <c r="C1778" s="10"/>
      <c r="D1778" s="10"/>
      <c r="E1778" s="10"/>
    </row>
    <row r="1779">
      <c r="A1779" s="10"/>
      <c r="B1779" s="17"/>
      <c r="C1779" s="10"/>
      <c r="D1779" s="10"/>
      <c r="E1779" s="10"/>
    </row>
    <row r="1780">
      <c r="A1780" s="10"/>
      <c r="B1780" s="17"/>
      <c r="C1780" s="10"/>
      <c r="D1780" s="10"/>
      <c r="E1780" s="10"/>
    </row>
    <row r="1781">
      <c r="A1781" s="10"/>
      <c r="B1781" s="17"/>
      <c r="C1781" s="10"/>
      <c r="D1781" s="10"/>
      <c r="E1781" s="10"/>
    </row>
    <row r="1782">
      <c r="A1782" s="10"/>
      <c r="B1782" s="17"/>
      <c r="C1782" s="10"/>
      <c r="D1782" s="10"/>
      <c r="E1782" s="10"/>
    </row>
    <row r="1783">
      <c r="A1783" s="10"/>
      <c r="B1783" s="17"/>
      <c r="C1783" s="10"/>
      <c r="D1783" s="10"/>
      <c r="E1783" s="10"/>
    </row>
    <row r="1784">
      <c r="A1784" s="10"/>
      <c r="B1784" s="17"/>
      <c r="C1784" s="10"/>
      <c r="D1784" s="10"/>
      <c r="E1784" s="10"/>
    </row>
    <row r="1785">
      <c r="A1785" s="10"/>
      <c r="B1785" s="17"/>
      <c r="C1785" s="10"/>
      <c r="D1785" s="10"/>
      <c r="E1785" s="10"/>
    </row>
    <row r="1786">
      <c r="A1786" s="10"/>
      <c r="B1786" s="17"/>
      <c r="C1786" s="10"/>
      <c r="D1786" s="10"/>
      <c r="E1786" s="10"/>
    </row>
    <row r="1787">
      <c r="A1787" s="10"/>
      <c r="B1787" s="17"/>
      <c r="C1787" s="10"/>
      <c r="D1787" s="10"/>
      <c r="E1787" s="10"/>
    </row>
    <row r="1788">
      <c r="A1788" s="10"/>
      <c r="B1788" s="17"/>
      <c r="C1788" s="10"/>
      <c r="D1788" s="10"/>
      <c r="E1788" s="10"/>
    </row>
    <row r="1789">
      <c r="A1789" s="10"/>
      <c r="B1789" s="17"/>
      <c r="C1789" s="10"/>
      <c r="D1789" s="10"/>
      <c r="E1789" s="10"/>
    </row>
    <row r="1790">
      <c r="A1790" s="10"/>
      <c r="B1790" s="17"/>
      <c r="C1790" s="10"/>
      <c r="D1790" s="10"/>
      <c r="E1790" s="10"/>
    </row>
    <row r="1791">
      <c r="A1791" s="10"/>
      <c r="B1791" s="17"/>
      <c r="C1791" s="10"/>
      <c r="D1791" s="10"/>
      <c r="E1791" s="10"/>
    </row>
    <row r="1792">
      <c r="A1792" s="10"/>
      <c r="B1792" s="17"/>
      <c r="C1792" s="10"/>
      <c r="D1792" s="10"/>
      <c r="E1792" s="10"/>
    </row>
    <row r="1793">
      <c r="A1793" s="10"/>
      <c r="B1793" s="17"/>
      <c r="C1793" s="10"/>
      <c r="D1793" s="10"/>
      <c r="E1793" s="10"/>
    </row>
    <row r="1794">
      <c r="A1794" s="10"/>
      <c r="B1794" s="17"/>
      <c r="C1794" s="10"/>
      <c r="D1794" s="10"/>
      <c r="E1794" s="10"/>
    </row>
    <row r="1795">
      <c r="A1795" s="10"/>
      <c r="B1795" s="17"/>
      <c r="C1795" s="10"/>
      <c r="D1795" s="10"/>
      <c r="E1795" s="10"/>
    </row>
    <row r="1796">
      <c r="A1796" s="10"/>
      <c r="B1796" s="17"/>
      <c r="C1796" s="10"/>
      <c r="D1796" s="10"/>
      <c r="E1796" s="10"/>
    </row>
    <row r="1797">
      <c r="A1797" s="10"/>
      <c r="B1797" s="17"/>
      <c r="C1797" s="10"/>
      <c r="D1797" s="10"/>
      <c r="E1797" s="10"/>
    </row>
    <row r="1798">
      <c r="A1798" s="10"/>
      <c r="B1798" s="17"/>
      <c r="C1798" s="10"/>
      <c r="D1798" s="10"/>
      <c r="E1798" s="10"/>
    </row>
    <row r="1799">
      <c r="A1799" s="10"/>
      <c r="B1799" s="17"/>
      <c r="C1799" s="10"/>
      <c r="D1799" s="10"/>
      <c r="E1799" s="10"/>
    </row>
    <row r="1800">
      <c r="A1800" s="10"/>
      <c r="B1800" s="17"/>
      <c r="C1800" s="10"/>
      <c r="D1800" s="10"/>
      <c r="E1800" s="10"/>
    </row>
    <row r="1801">
      <c r="A1801" s="10"/>
      <c r="B1801" s="17"/>
      <c r="C1801" s="10"/>
      <c r="D1801" s="10"/>
      <c r="E1801" s="10"/>
    </row>
    <row r="1802">
      <c r="A1802" s="10"/>
      <c r="B1802" s="17"/>
      <c r="C1802" s="10"/>
      <c r="D1802" s="10"/>
      <c r="E1802" s="10"/>
    </row>
    <row r="1803">
      <c r="A1803" s="10"/>
      <c r="B1803" s="17"/>
      <c r="C1803" s="10"/>
      <c r="D1803" s="10"/>
      <c r="E1803" s="10"/>
    </row>
    <row r="1804">
      <c r="A1804" s="10"/>
      <c r="B1804" s="17"/>
      <c r="C1804" s="10"/>
      <c r="D1804" s="10"/>
      <c r="E1804" s="10"/>
    </row>
    <row r="1805">
      <c r="A1805" s="10"/>
      <c r="B1805" s="17"/>
      <c r="C1805" s="10"/>
      <c r="D1805" s="10"/>
      <c r="E1805" s="10"/>
    </row>
    <row r="1806">
      <c r="A1806" s="10"/>
      <c r="B1806" s="17"/>
      <c r="C1806" s="10"/>
      <c r="D1806" s="10"/>
      <c r="E1806" s="10"/>
    </row>
    <row r="1807">
      <c r="A1807" s="10"/>
      <c r="B1807" s="17"/>
      <c r="C1807" s="10"/>
      <c r="D1807" s="10"/>
      <c r="E1807" s="10"/>
    </row>
    <row r="1808">
      <c r="A1808" s="10"/>
      <c r="B1808" s="17"/>
      <c r="C1808" s="10"/>
      <c r="D1808" s="10"/>
      <c r="E1808" s="10"/>
    </row>
    <row r="1809">
      <c r="A1809" s="10"/>
      <c r="B1809" s="17"/>
      <c r="C1809" s="10"/>
      <c r="D1809" s="10"/>
      <c r="E1809" s="10"/>
    </row>
    <row r="1810">
      <c r="A1810" s="10"/>
      <c r="B1810" s="17"/>
      <c r="C1810" s="10"/>
      <c r="D1810" s="10"/>
      <c r="E1810" s="10"/>
    </row>
    <row r="1811">
      <c r="A1811" s="10"/>
      <c r="B1811" s="17"/>
      <c r="C1811" s="10"/>
      <c r="D1811" s="10"/>
      <c r="E1811" s="10"/>
    </row>
    <row r="1812">
      <c r="A1812" s="10"/>
      <c r="B1812" s="17"/>
      <c r="C1812" s="10"/>
      <c r="D1812" s="10"/>
      <c r="E1812" s="10"/>
    </row>
    <row r="1813">
      <c r="A1813" s="10"/>
      <c r="B1813" s="17"/>
      <c r="C1813" s="10"/>
      <c r="D1813" s="10"/>
      <c r="E1813" s="10"/>
    </row>
    <row r="1814">
      <c r="A1814" s="10"/>
      <c r="B1814" s="17"/>
      <c r="C1814" s="10"/>
      <c r="D1814" s="10"/>
      <c r="E1814" s="10"/>
    </row>
    <row r="1815">
      <c r="A1815" s="10"/>
      <c r="B1815" s="17"/>
      <c r="C1815" s="10"/>
      <c r="D1815" s="10"/>
      <c r="E1815" s="10"/>
    </row>
    <row r="1816">
      <c r="A1816" s="10"/>
      <c r="B1816" s="17"/>
      <c r="C1816" s="10"/>
      <c r="D1816" s="10"/>
      <c r="E1816" s="10"/>
    </row>
    <row r="1817">
      <c r="A1817" s="10"/>
      <c r="B1817" s="17"/>
      <c r="C1817" s="10"/>
      <c r="D1817" s="10"/>
      <c r="E1817" s="10"/>
    </row>
    <row r="1818">
      <c r="A1818" s="10"/>
      <c r="B1818" s="17"/>
      <c r="C1818" s="10"/>
      <c r="D1818" s="10"/>
      <c r="E1818" s="10"/>
    </row>
    <row r="1819">
      <c r="A1819" s="10"/>
      <c r="B1819" s="17"/>
      <c r="C1819" s="10"/>
      <c r="D1819" s="10"/>
      <c r="E1819" s="10"/>
    </row>
    <row r="1820">
      <c r="A1820" s="10"/>
      <c r="B1820" s="17"/>
      <c r="C1820" s="10"/>
      <c r="D1820" s="10"/>
      <c r="E1820" s="10"/>
    </row>
    <row r="1821">
      <c r="A1821" s="10"/>
      <c r="B1821" s="17"/>
      <c r="C1821" s="10"/>
      <c r="D1821" s="10"/>
      <c r="E1821" s="10"/>
    </row>
    <row r="1822">
      <c r="A1822" s="10"/>
      <c r="B1822" s="17"/>
      <c r="C1822" s="10"/>
      <c r="D1822" s="10"/>
      <c r="E1822" s="10"/>
    </row>
    <row r="1823">
      <c r="A1823" s="10"/>
      <c r="B1823" s="17"/>
      <c r="C1823" s="10"/>
      <c r="D1823" s="10"/>
      <c r="E1823" s="10"/>
    </row>
    <row r="1824">
      <c r="A1824" s="10"/>
      <c r="B1824" s="17"/>
      <c r="C1824" s="10"/>
      <c r="D1824" s="10"/>
      <c r="E1824" s="10"/>
    </row>
    <row r="1825">
      <c r="A1825" s="10"/>
      <c r="B1825" s="17"/>
      <c r="C1825" s="10"/>
      <c r="D1825" s="10"/>
      <c r="E1825" s="10"/>
    </row>
    <row r="1826">
      <c r="A1826" s="10"/>
      <c r="B1826" s="17"/>
      <c r="C1826" s="10"/>
      <c r="D1826" s="10"/>
      <c r="E1826" s="10"/>
    </row>
    <row r="1827">
      <c r="A1827" s="10"/>
      <c r="B1827" s="17"/>
      <c r="C1827" s="10"/>
      <c r="D1827" s="10"/>
      <c r="E1827" s="10"/>
    </row>
    <row r="1828">
      <c r="A1828" s="10"/>
      <c r="B1828" s="17"/>
      <c r="C1828" s="10"/>
      <c r="D1828" s="10"/>
      <c r="E1828" s="10"/>
    </row>
    <row r="1829">
      <c r="A1829" s="10"/>
      <c r="B1829" s="17"/>
      <c r="C1829" s="10"/>
      <c r="D1829" s="10"/>
      <c r="E1829" s="10"/>
    </row>
    <row r="1830">
      <c r="A1830" s="10"/>
      <c r="B1830" s="17"/>
      <c r="C1830" s="10"/>
      <c r="D1830" s="10"/>
      <c r="E1830" s="10"/>
    </row>
    <row r="1831">
      <c r="A1831" s="10"/>
      <c r="B1831" s="17"/>
      <c r="C1831" s="10"/>
      <c r="D1831" s="10"/>
      <c r="E1831" s="10"/>
    </row>
    <row r="1832">
      <c r="A1832" s="10"/>
      <c r="B1832" s="17"/>
      <c r="C1832" s="10"/>
      <c r="D1832" s="10"/>
      <c r="E1832" s="10"/>
    </row>
    <row r="1833">
      <c r="A1833" s="10"/>
      <c r="B1833" s="17"/>
      <c r="C1833" s="10"/>
      <c r="D1833" s="10"/>
      <c r="E1833" s="10"/>
    </row>
    <row r="1834">
      <c r="A1834" s="10"/>
      <c r="B1834" s="17"/>
      <c r="C1834" s="10"/>
      <c r="D1834" s="10"/>
      <c r="E1834" s="10"/>
    </row>
    <row r="1835">
      <c r="A1835" s="10"/>
      <c r="B1835" s="17"/>
      <c r="C1835" s="10"/>
      <c r="D1835" s="10"/>
      <c r="E1835" s="10"/>
    </row>
    <row r="1836">
      <c r="A1836" s="10"/>
      <c r="B1836" s="17"/>
      <c r="C1836" s="10"/>
      <c r="D1836" s="10"/>
      <c r="E1836" s="10"/>
    </row>
    <row r="1837">
      <c r="A1837" s="10"/>
      <c r="B1837" s="17"/>
      <c r="C1837" s="10"/>
      <c r="D1837" s="10"/>
      <c r="E1837" s="10"/>
    </row>
    <row r="1838">
      <c r="A1838" s="10"/>
      <c r="B1838" s="17"/>
      <c r="C1838" s="10"/>
      <c r="D1838" s="10"/>
      <c r="E1838" s="10"/>
    </row>
    <row r="1839">
      <c r="A1839" s="10"/>
      <c r="B1839" s="17"/>
      <c r="C1839" s="10"/>
      <c r="D1839" s="10"/>
      <c r="E1839" s="10"/>
    </row>
    <row r="1840">
      <c r="A1840" s="10"/>
      <c r="B1840" s="17"/>
      <c r="C1840" s="10"/>
      <c r="D1840" s="10"/>
      <c r="E1840" s="10"/>
    </row>
    <row r="1841">
      <c r="A1841" s="10"/>
      <c r="B1841" s="17"/>
      <c r="C1841" s="10"/>
      <c r="D1841" s="10"/>
      <c r="E1841" s="10"/>
    </row>
    <row r="1842">
      <c r="A1842" s="10"/>
      <c r="B1842" s="17"/>
      <c r="C1842" s="10"/>
      <c r="D1842" s="10"/>
      <c r="E1842" s="10"/>
    </row>
    <row r="1843">
      <c r="A1843" s="10"/>
      <c r="B1843" s="17"/>
      <c r="C1843" s="10"/>
      <c r="D1843" s="10"/>
      <c r="E1843" s="10"/>
    </row>
    <row r="1844">
      <c r="A1844" s="10"/>
      <c r="B1844" s="17"/>
      <c r="C1844" s="10"/>
      <c r="D1844" s="10"/>
      <c r="E1844" s="10"/>
    </row>
    <row r="1845">
      <c r="A1845" s="10"/>
      <c r="B1845" s="17"/>
      <c r="C1845" s="10"/>
      <c r="D1845" s="10"/>
      <c r="E1845" s="10"/>
    </row>
    <row r="1846">
      <c r="A1846" s="10"/>
      <c r="B1846" s="17"/>
      <c r="C1846" s="10"/>
      <c r="D1846" s="10"/>
      <c r="E1846" s="10"/>
    </row>
    <row r="1847">
      <c r="A1847" s="10"/>
      <c r="B1847" s="17"/>
      <c r="C1847" s="10"/>
      <c r="D1847" s="10"/>
      <c r="E1847" s="10"/>
    </row>
    <row r="1848">
      <c r="A1848" s="10"/>
      <c r="B1848" s="17"/>
      <c r="C1848" s="10"/>
      <c r="D1848" s="10"/>
      <c r="E1848" s="10"/>
    </row>
    <row r="1849">
      <c r="A1849" s="10"/>
      <c r="B1849" s="17"/>
      <c r="C1849" s="10"/>
      <c r="D1849" s="10"/>
      <c r="E1849" s="10"/>
    </row>
    <row r="1850">
      <c r="A1850" s="10"/>
      <c r="B1850" s="17"/>
      <c r="C1850" s="10"/>
      <c r="D1850" s="10"/>
      <c r="E1850" s="10"/>
    </row>
    <row r="1851">
      <c r="A1851" s="10"/>
      <c r="B1851" s="17"/>
      <c r="C1851" s="10"/>
      <c r="D1851" s="10"/>
      <c r="E1851" s="10"/>
    </row>
    <row r="1852">
      <c r="A1852" s="10"/>
      <c r="B1852" s="17"/>
      <c r="C1852" s="10"/>
      <c r="D1852" s="10"/>
      <c r="E1852" s="10"/>
    </row>
    <row r="1853">
      <c r="A1853" s="10"/>
      <c r="B1853" s="17"/>
      <c r="C1853" s="10"/>
      <c r="D1853" s="10"/>
      <c r="E1853" s="10"/>
    </row>
    <row r="1854">
      <c r="A1854" s="10"/>
      <c r="B1854" s="17"/>
      <c r="C1854" s="10"/>
      <c r="D1854" s="10"/>
      <c r="E1854" s="10"/>
    </row>
    <row r="1855">
      <c r="A1855" s="10"/>
      <c r="B1855" s="17"/>
      <c r="C1855" s="10"/>
      <c r="D1855" s="10"/>
      <c r="E1855" s="10"/>
    </row>
    <row r="1856">
      <c r="A1856" s="10"/>
      <c r="B1856" s="17"/>
      <c r="C1856" s="10"/>
      <c r="D1856" s="10"/>
      <c r="E1856" s="10"/>
    </row>
    <row r="1857">
      <c r="A1857" s="10"/>
      <c r="B1857" s="17"/>
      <c r="C1857" s="10"/>
      <c r="D1857" s="10"/>
      <c r="E1857" s="10"/>
    </row>
    <row r="1858">
      <c r="A1858" s="10"/>
      <c r="B1858" s="17"/>
      <c r="C1858" s="10"/>
      <c r="D1858" s="10"/>
      <c r="E1858" s="10"/>
    </row>
    <row r="1859">
      <c r="A1859" s="10"/>
      <c r="B1859" s="17"/>
      <c r="C1859" s="10"/>
      <c r="D1859" s="10"/>
      <c r="E1859" s="10"/>
    </row>
    <row r="1860">
      <c r="A1860" s="10"/>
      <c r="B1860" s="17"/>
      <c r="C1860" s="10"/>
      <c r="D1860" s="10"/>
      <c r="E1860" s="10"/>
    </row>
    <row r="1861">
      <c r="A1861" s="10"/>
      <c r="B1861" s="17"/>
      <c r="C1861" s="10"/>
      <c r="D1861" s="10"/>
      <c r="E1861" s="10"/>
    </row>
    <row r="1862">
      <c r="A1862" s="10"/>
      <c r="B1862" s="17"/>
      <c r="C1862" s="10"/>
      <c r="D1862" s="10"/>
      <c r="E1862" s="10"/>
    </row>
    <row r="1863">
      <c r="A1863" s="10"/>
      <c r="B1863" s="17"/>
      <c r="C1863" s="10"/>
      <c r="D1863" s="10"/>
      <c r="E1863" s="10"/>
    </row>
    <row r="1864">
      <c r="A1864" s="10"/>
      <c r="B1864" s="17"/>
      <c r="C1864" s="10"/>
      <c r="D1864" s="10"/>
      <c r="E1864" s="10"/>
    </row>
    <row r="1865">
      <c r="A1865" s="10"/>
      <c r="B1865" s="17"/>
      <c r="C1865" s="10"/>
      <c r="D1865" s="10"/>
      <c r="E1865" s="10"/>
    </row>
    <row r="1866">
      <c r="A1866" s="10"/>
      <c r="B1866" s="17"/>
      <c r="C1866" s="10"/>
      <c r="D1866" s="10"/>
      <c r="E1866" s="10"/>
    </row>
    <row r="1867">
      <c r="A1867" s="10"/>
      <c r="B1867" s="17"/>
      <c r="C1867" s="10"/>
      <c r="D1867" s="10"/>
      <c r="E1867" s="10"/>
    </row>
    <row r="1868">
      <c r="A1868" s="10"/>
      <c r="B1868" s="17"/>
      <c r="C1868" s="10"/>
      <c r="D1868" s="10"/>
      <c r="E1868" s="10"/>
    </row>
    <row r="1869">
      <c r="A1869" s="10"/>
      <c r="B1869" s="17"/>
      <c r="C1869" s="10"/>
      <c r="D1869" s="10"/>
      <c r="E1869" s="10"/>
    </row>
    <row r="1870">
      <c r="A1870" s="10"/>
      <c r="B1870" s="17"/>
      <c r="C1870" s="10"/>
      <c r="D1870" s="10"/>
      <c r="E1870" s="10"/>
    </row>
    <row r="1871">
      <c r="A1871" s="10"/>
      <c r="B1871" s="17"/>
      <c r="C1871" s="10"/>
      <c r="D1871" s="10"/>
      <c r="E1871" s="10"/>
    </row>
    <row r="1872">
      <c r="A1872" s="10"/>
      <c r="B1872" s="17"/>
      <c r="C1872" s="10"/>
      <c r="D1872" s="10"/>
      <c r="E1872" s="10"/>
    </row>
    <row r="1873">
      <c r="A1873" s="10"/>
      <c r="B1873" s="17"/>
      <c r="C1873" s="10"/>
      <c r="D1873" s="10"/>
      <c r="E1873" s="10"/>
    </row>
    <row r="1874">
      <c r="A1874" s="10"/>
      <c r="B1874" s="17"/>
      <c r="C1874" s="10"/>
      <c r="D1874" s="10"/>
      <c r="E1874" s="10"/>
    </row>
    <row r="1875">
      <c r="A1875" s="10"/>
      <c r="B1875" s="17"/>
      <c r="C1875" s="10"/>
      <c r="D1875" s="10"/>
      <c r="E1875" s="10"/>
    </row>
    <row r="1876">
      <c r="A1876" s="10"/>
      <c r="B1876" s="17"/>
      <c r="C1876" s="10"/>
      <c r="D1876" s="10"/>
      <c r="E1876" s="10"/>
    </row>
    <row r="1877">
      <c r="A1877" s="10"/>
      <c r="B1877" s="17"/>
      <c r="C1877" s="10"/>
      <c r="D1877" s="10"/>
      <c r="E1877" s="10"/>
    </row>
    <row r="1878">
      <c r="A1878" s="10"/>
      <c r="B1878" s="17"/>
      <c r="C1878" s="10"/>
      <c r="D1878" s="10"/>
      <c r="E1878" s="10"/>
    </row>
    <row r="1879">
      <c r="A1879" s="10"/>
      <c r="B1879" s="17"/>
      <c r="C1879" s="10"/>
      <c r="D1879" s="10"/>
      <c r="E1879" s="10"/>
    </row>
    <row r="1880">
      <c r="A1880" s="10"/>
      <c r="B1880" s="17"/>
      <c r="C1880" s="10"/>
      <c r="D1880" s="10"/>
      <c r="E1880" s="10"/>
    </row>
    <row r="1881">
      <c r="A1881" s="10"/>
      <c r="B1881" s="17"/>
      <c r="C1881" s="10"/>
      <c r="D1881" s="10"/>
      <c r="E1881" s="10"/>
    </row>
    <row r="1882">
      <c r="A1882" s="10"/>
      <c r="B1882" s="17"/>
      <c r="C1882" s="10"/>
      <c r="D1882" s="10"/>
      <c r="E1882" s="10"/>
    </row>
    <row r="1883">
      <c r="A1883" s="10"/>
      <c r="B1883" s="17"/>
      <c r="C1883" s="10"/>
      <c r="D1883" s="10"/>
      <c r="E1883" s="10"/>
    </row>
    <row r="1884">
      <c r="A1884" s="10"/>
      <c r="B1884" s="17"/>
      <c r="C1884" s="10"/>
      <c r="D1884" s="10"/>
      <c r="E1884" s="10"/>
    </row>
    <row r="1885">
      <c r="A1885" s="10"/>
      <c r="B1885" s="17"/>
      <c r="C1885" s="10"/>
      <c r="D1885" s="10"/>
      <c r="E1885" s="10"/>
    </row>
    <row r="1886">
      <c r="A1886" s="10"/>
      <c r="B1886" s="17"/>
      <c r="C1886" s="10"/>
      <c r="D1886" s="10"/>
      <c r="E1886" s="10"/>
    </row>
    <row r="1887">
      <c r="A1887" s="10"/>
      <c r="B1887" s="17"/>
      <c r="C1887" s="10"/>
      <c r="D1887" s="10"/>
      <c r="E1887" s="10"/>
    </row>
    <row r="1888">
      <c r="A1888" s="10"/>
      <c r="B1888" s="17"/>
      <c r="C1888" s="10"/>
      <c r="D1888" s="10"/>
      <c r="E1888" s="10"/>
    </row>
    <row r="1889">
      <c r="A1889" s="10"/>
      <c r="B1889" s="17"/>
      <c r="C1889" s="10"/>
      <c r="D1889" s="10"/>
      <c r="E1889" s="10"/>
    </row>
    <row r="1890">
      <c r="A1890" s="10"/>
      <c r="B1890" s="17"/>
      <c r="C1890" s="10"/>
      <c r="D1890" s="10"/>
      <c r="E1890" s="10"/>
    </row>
    <row r="1891">
      <c r="A1891" s="10"/>
      <c r="B1891" s="17"/>
      <c r="C1891" s="10"/>
      <c r="D1891" s="10"/>
      <c r="E1891" s="10"/>
    </row>
    <row r="1892">
      <c r="A1892" s="10"/>
      <c r="B1892" s="17"/>
      <c r="C1892" s="10"/>
      <c r="D1892" s="10"/>
      <c r="E1892" s="10"/>
    </row>
    <row r="1893">
      <c r="A1893" s="10"/>
      <c r="B1893" s="17"/>
      <c r="C1893" s="10"/>
      <c r="D1893" s="10"/>
      <c r="E1893" s="10"/>
    </row>
    <row r="1894">
      <c r="A1894" s="10"/>
      <c r="B1894" s="17"/>
      <c r="C1894" s="10"/>
      <c r="D1894" s="10"/>
      <c r="E1894" s="10"/>
    </row>
    <row r="1895">
      <c r="A1895" s="10"/>
      <c r="B1895" s="17"/>
      <c r="C1895" s="10"/>
      <c r="D1895" s="10"/>
      <c r="E1895" s="10"/>
    </row>
    <row r="1896">
      <c r="A1896" s="10"/>
      <c r="B1896" s="17"/>
      <c r="C1896" s="10"/>
      <c r="D1896" s="10"/>
      <c r="E1896" s="10"/>
    </row>
    <row r="1897">
      <c r="A1897" s="10"/>
      <c r="B1897" s="17"/>
      <c r="C1897" s="10"/>
      <c r="D1897" s="10"/>
      <c r="E1897" s="10"/>
    </row>
    <row r="1898">
      <c r="A1898" s="10"/>
      <c r="B1898" s="17"/>
      <c r="C1898" s="10"/>
      <c r="D1898" s="10"/>
      <c r="E1898" s="10"/>
    </row>
    <row r="1899">
      <c r="A1899" s="10"/>
      <c r="B1899" s="17"/>
      <c r="C1899" s="10"/>
      <c r="D1899" s="10"/>
      <c r="E1899" s="10"/>
    </row>
    <row r="1900">
      <c r="A1900" s="10"/>
      <c r="B1900" s="17"/>
      <c r="C1900" s="10"/>
      <c r="D1900" s="10"/>
      <c r="E1900" s="10"/>
    </row>
    <row r="1901">
      <c r="A1901" s="10"/>
      <c r="B1901" s="17"/>
      <c r="C1901" s="10"/>
      <c r="D1901" s="10"/>
      <c r="E1901" s="10"/>
    </row>
    <row r="1902">
      <c r="A1902" s="10"/>
      <c r="B1902" s="17"/>
      <c r="C1902" s="10"/>
      <c r="D1902" s="10"/>
      <c r="E1902" s="10"/>
    </row>
    <row r="1903">
      <c r="A1903" s="10"/>
      <c r="B1903" s="17"/>
      <c r="C1903" s="10"/>
      <c r="D1903" s="10"/>
      <c r="E1903" s="10"/>
    </row>
    <row r="1904">
      <c r="A1904" s="10"/>
      <c r="B1904" s="17"/>
      <c r="C1904" s="10"/>
      <c r="D1904" s="10"/>
      <c r="E1904" s="10"/>
    </row>
    <row r="1905">
      <c r="A1905" s="10"/>
      <c r="B1905" s="17"/>
      <c r="C1905" s="10"/>
      <c r="D1905" s="10"/>
      <c r="E1905" s="10"/>
    </row>
    <row r="1906">
      <c r="A1906" s="10"/>
      <c r="B1906" s="17"/>
      <c r="C1906" s="10"/>
      <c r="D1906" s="10"/>
      <c r="E1906" s="10"/>
    </row>
    <row r="1907">
      <c r="A1907" s="10"/>
      <c r="B1907" s="17"/>
      <c r="C1907" s="10"/>
      <c r="D1907" s="10"/>
      <c r="E1907" s="10"/>
    </row>
    <row r="1908">
      <c r="A1908" s="10"/>
      <c r="B1908" s="17"/>
      <c r="C1908" s="10"/>
      <c r="D1908" s="10"/>
      <c r="E1908" s="10"/>
    </row>
    <row r="1909">
      <c r="A1909" s="10"/>
      <c r="B1909" s="17"/>
      <c r="C1909" s="10"/>
      <c r="D1909" s="10"/>
      <c r="E1909" s="10"/>
    </row>
    <row r="1910">
      <c r="A1910" s="10"/>
      <c r="B1910" s="17"/>
      <c r="C1910" s="10"/>
      <c r="D1910" s="10"/>
      <c r="E1910" s="10"/>
    </row>
    <row r="1911">
      <c r="A1911" s="10"/>
      <c r="B1911" s="17"/>
      <c r="C1911" s="10"/>
      <c r="D1911" s="10"/>
      <c r="E1911" s="10"/>
    </row>
    <row r="1912">
      <c r="A1912" s="10"/>
      <c r="B1912" s="17"/>
      <c r="C1912" s="10"/>
      <c r="D1912" s="10"/>
      <c r="E1912" s="10"/>
    </row>
    <row r="1913">
      <c r="A1913" s="10"/>
      <c r="B1913" s="17"/>
      <c r="C1913" s="10"/>
      <c r="D1913" s="10"/>
      <c r="E1913" s="10"/>
    </row>
    <row r="1914">
      <c r="A1914" s="10"/>
      <c r="B1914" s="17"/>
      <c r="C1914" s="10"/>
      <c r="D1914" s="10"/>
      <c r="E1914" s="10"/>
    </row>
    <row r="1915">
      <c r="A1915" s="10"/>
      <c r="B1915" s="17"/>
      <c r="C1915" s="10"/>
      <c r="D1915" s="10"/>
      <c r="E1915" s="10"/>
    </row>
    <row r="1916">
      <c r="A1916" s="10"/>
      <c r="B1916" s="17"/>
      <c r="C1916" s="10"/>
      <c r="D1916" s="10"/>
      <c r="E1916" s="10"/>
    </row>
    <row r="1917">
      <c r="A1917" s="10"/>
      <c r="B1917" s="17"/>
      <c r="C1917" s="10"/>
      <c r="D1917" s="10"/>
      <c r="E1917" s="10"/>
    </row>
    <row r="1918">
      <c r="A1918" s="10"/>
      <c r="B1918" s="17"/>
      <c r="C1918" s="10"/>
      <c r="D1918" s="10"/>
      <c r="E1918" s="10"/>
    </row>
    <row r="1919">
      <c r="A1919" s="10"/>
      <c r="B1919" s="17"/>
      <c r="C1919" s="10"/>
      <c r="D1919" s="10"/>
      <c r="E1919" s="10"/>
    </row>
    <row r="1920">
      <c r="A1920" s="10"/>
      <c r="B1920" s="17"/>
      <c r="C1920" s="10"/>
      <c r="D1920" s="10"/>
      <c r="E1920" s="10"/>
    </row>
    <row r="1921">
      <c r="A1921" s="10"/>
      <c r="B1921" s="17"/>
      <c r="C1921" s="10"/>
      <c r="D1921" s="10"/>
      <c r="E1921" s="10"/>
    </row>
    <row r="1922">
      <c r="A1922" s="10"/>
      <c r="B1922" s="17"/>
      <c r="C1922" s="10"/>
      <c r="D1922" s="10"/>
      <c r="E1922" s="10"/>
    </row>
    <row r="1923">
      <c r="A1923" s="10"/>
      <c r="B1923" s="17"/>
      <c r="C1923" s="10"/>
      <c r="D1923" s="10"/>
      <c r="E1923" s="10"/>
    </row>
    <row r="1924">
      <c r="A1924" s="10"/>
      <c r="B1924" s="17"/>
      <c r="C1924" s="10"/>
      <c r="D1924" s="10"/>
      <c r="E1924" s="10"/>
    </row>
    <row r="1925">
      <c r="A1925" s="10"/>
      <c r="B1925" s="17"/>
      <c r="C1925" s="10"/>
      <c r="D1925" s="10"/>
      <c r="E1925" s="10"/>
    </row>
    <row r="1926">
      <c r="A1926" s="10"/>
      <c r="B1926" s="17"/>
      <c r="C1926" s="10"/>
      <c r="D1926" s="10"/>
      <c r="E1926" s="10"/>
    </row>
    <row r="1927">
      <c r="A1927" s="10"/>
      <c r="B1927" s="17"/>
      <c r="C1927" s="10"/>
      <c r="D1927" s="10"/>
      <c r="E1927" s="10"/>
    </row>
    <row r="1928">
      <c r="A1928" s="10"/>
      <c r="B1928" s="17"/>
      <c r="C1928" s="10"/>
      <c r="D1928" s="10"/>
      <c r="E1928" s="10"/>
    </row>
    <row r="1929">
      <c r="A1929" s="10"/>
      <c r="B1929" s="17"/>
      <c r="C1929" s="10"/>
      <c r="D1929" s="10"/>
      <c r="E1929" s="10"/>
    </row>
    <row r="1930">
      <c r="A1930" s="10"/>
      <c r="B1930" s="17"/>
      <c r="C1930" s="10"/>
      <c r="D1930" s="10"/>
      <c r="E1930" s="10"/>
    </row>
    <row r="1931">
      <c r="A1931" s="10"/>
      <c r="B1931" s="17"/>
      <c r="C1931" s="10"/>
      <c r="D1931" s="10"/>
      <c r="E1931" s="10"/>
    </row>
    <row r="1932">
      <c r="A1932" s="10"/>
      <c r="B1932" s="17"/>
      <c r="C1932" s="10"/>
      <c r="D1932" s="10"/>
      <c r="E1932" s="10"/>
    </row>
    <row r="1933">
      <c r="A1933" s="10"/>
      <c r="B1933" s="17"/>
      <c r="C1933" s="10"/>
      <c r="D1933" s="10"/>
      <c r="E1933" s="10"/>
    </row>
    <row r="1934">
      <c r="A1934" s="10"/>
      <c r="B1934" s="17"/>
      <c r="C1934" s="10"/>
      <c r="D1934" s="10"/>
      <c r="E1934" s="10"/>
    </row>
    <row r="1935">
      <c r="A1935" s="10"/>
      <c r="B1935" s="17"/>
      <c r="C1935" s="10"/>
      <c r="D1935" s="10"/>
      <c r="E1935" s="10"/>
    </row>
    <row r="1936">
      <c r="A1936" s="10"/>
      <c r="B1936" s="17"/>
      <c r="C1936" s="10"/>
      <c r="D1936" s="10"/>
      <c r="E1936" s="10"/>
    </row>
    <row r="1937">
      <c r="A1937" s="10"/>
      <c r="B1937" s="17"/>
      <c r="C1937" s="10"/>
      <c r="D1937" s="10"/>
      <c r="E1937" s="10"/>
    </row>
    <row r="1938">
      <c r="A1938" s="10"/>
      <c r="B1938" s="17"/>
      <c r="C1938" s="10"/>
      <c r="D1938" s="10"/>
      <c r="E1938" s="10"/>
    </row>
    <row r="1939">
      <c r="A1939" s="10"/>
      <c r="B1939" s="17"/>
      <c r="C1939" s="10"/>
      <c r="D1939" s="10"/>
      <c r="E1939" s="10"/>
    </row>
    <row r="1940">
      <c r="A1940" s="10"/>
      <c r="B1940" s="17"/>
      <c r="C1940" s="10"/>
      <c r="D1940" s="10"/>
      <c r="E1940" s="10"/>
    </row>
    <row r="1941">
      <c r="A1941" s="10"/>
      <c r="B1941" s="17"/>
      <c r="C1941" s="10"/>
      <c r="D1941" s="10"/>
      <c r="E1941" s="10"/>
    </row>
    <row r="1942">
      <c r="A1942" s="10"/>
      <c r="B1942" s="17"/>
      <c r="C1942" s="10"/>
      <c r="D1942" s="10"/>
      <c r="E1942" s="10"/>
    </row>
    <row r="1943">
      <c r="A1943" s="10"/>
      <c r="B1943" s="17"/>
      <c r="C1943" s="10"/>
      <c r="D1943" s="10"/>
      <c r="E1943" s="10"/>
    </row>
    <row r="1944">
      <c r="A1944" s="10"/>
      <c r="B1944" s="17"/>
      <c r="C1944" s="10"/>
      <c r="D1944" s="10"/>
      <c r="E1944" s="10"/>
    </row>
    <row r="1945">
      <c r="A1945" s="10"/>
      <c r="B1945" s="17"/>
      <c r="C1945" s="10"/>
      <c r="D1945" s="10"/>
      <c r="E1945" s="10"/>
    </row>
    <row r="1946">
      <c r="A1946" s="10"/>
      <c r="B1946" s="17"/>
      <c r="C1946" s="10"/>
      <c r="D1946" s="10"/>
      <c r="E1946" s="10"/>
    </row>
    <row r="1947">
      <c r="A1947" s="10"/>
      <c r="B1947" s="17"/>
      <c r="C1947" s="10"/>
      <c r="D1947" s="10"/>
      <c r="E1947" s="10"/>
    </row>
    <row r="1948">
      <c r="A1948" s="10"/>
      <c r="B1948" s="17"/>
      <c r="C1948" s="10"/>
      <c r="D1948" s="10"/>
      <c r="E1948" s="10"/>
    </row>
    <row r="1949">
      <c r="A1949" s="10"/>
      <c r="B1949" s="17"/>
      <c r="C1949" s="10"/>
      <c r="D1949" s="10"/>
      <c r="E1949" s="10"/>
    </row>
    <row r="1950">
      <c r="A1950" s="10"/>
      <c r="B1950" s="17"/>
      <c r="C1950" s="10"/>
      <c r="D1950" s="10"/>
      <c r="E1950" s="10"/>
    </row>
    <row r="1951">
      <c r="A1951" s="10"/>
      <c r="B1951" s="17"/>
      <c r="C1951" s="10"/>
      <c r="D1951" s="10"/>
      <c r="E1951" s="10"/>
    </row>
    <row r="1952">
      <c r="A1952" s="10"/>
      <c r="B1952" s="17"/>
      <c r="C1952" s="10"/>
      <c r="D1952" s="10"/>
      <c r="E1952" s="10"/>
    </row>
    <row r="1953">
      <c r="A1953" s="10"/>
      <c r="B1953" s="17"/>
      <c r="C1953" s="10"/>
      <c r="D1953" s="10"/>
      <c r="E1953" s="10"/>
    </row>
    <row r="1954">
      <c r="A1954" s="10"/>
      <c r="B1954" s="17"/>
      <c r="C1954" s="10"/>
      <c r="D1954" s="10"/>
      <c r="E1954" s="10"/>
    </row>
    <row r="1955">
      <c r="A1955" s="10"/>
      <c r="B1955" s="17"/>
      <c r="C1955" s="10"/>
      <c r="D1955" s="10"/>
      <c r="E1955" s="10"/>
    </row>
    <row r="1956">
      <c r="A1956" s="10"/>
      <c r="B1956" s="17"/>
      <c r="C1956" s="10"/>
      <c r="D1956" s="10"/>
      <c r="E1956" s="10"/>
    </row>
    <row r="1957">
      <c r="A1957" s="10"/>
      <c r="B1957" s="17"/>
      <c r="C1957" s="10"/>
      <c r="D1957" s="10"/>
      <c r="E1957" s="10"/>
    </row>
    <row r="1958">
      <c r="A1958" s="10"/>
      <c r="B1958" s="17"/>
      <c r="C1958" s="10"/>
      <c r="D1958" s="10"/>
      <c r="E1958" s="10"/>
    </row>
    <row r="1959">
      <c r="A1959" s="10"/>
      <c r="B1959" s="17"/>
      <c r="C1959" s="10"/>
      <c r="D1959" s="10"/>
      <c r="E1959" s="10"/>
    </row>
    <row r="1960">
      <c r="A1960" s="10"/>
      <c r="B1960" s="17"/>
      <c r="C1960" s="10"/>
      <c r="D1960" s="10"/>
      <c r="E1960" s="10"/>
    </row>
    <row r="1961">
      <c r="A1961" s="10"/>
      <c r="B1961" s="17"/>
      <c r="C1961" s="10"/>
      <c r="D1961" s="10"/>
      <c r="E1961" s="10"/>
    </row>
    <row r="1962">
      <c r="A1962" s="10"/>
      <c r="B1962" s="17"/>
      <c r="C1962" s="10"/>
      <c r="D1962" s="10"/>
      <c r="E1962" s="10"/>
    </row>
    <row r="1963">
      <c r="A1963" s="10"/>
      <c r="B1963" s="17"/>
      <c r="C1963" s="10"/>
      <c r="D1963" s="10"/>
      <c r="E1963" s="10"/>
    </row>
    <row r="1964">
      <c r="A1964" s="10"/>
      <c r="B1964" s="17"/>
      <c r="C1964" s="10"/>
      <c r="D1964" s="10"/>
      <c r="E1964" s="10"/>
    </row>
    <row r="1965">
      <c r="A1965" s="10"/>
      <c r="B1965" s="17"/>
      <c r="C1965" s="10"/>
      <c r="D1965" s="10"/>
      <c r="E1965" s="10"/>
    </row>
    <row r="1966">
      <c r="A1966" s="10"/>
      <c r="B1966" s="17"/>
      <c r="C1966" s="10"/>
      <c r="D1966" s="10"/>
      <c r="E1966" s="10"/>
    </row>
    <row r="1967">
      <c r="A1967" s="10"/>
      <c r="B1967" s="17"/>
      <c r="C1967" s="10"/>
      <c r="D1967" s="10"/>
      <c r="E1967" s="10"/>
    </row>
    <row r="1968">
      <c r="A1968" s="10"/>
      <c r="B1968" s="17"/>
      <c r="C1968" s="10"/>
      <c r="D1968" s="10"/>
      <c r="E1968" s="10"/>
    </row>
    <row r="1969">
      <c r="A1969" s="10"/>
      <c r="B1969" s="17"/>
      <c r="C1969" s="10"/>
      <c r="D1969" s="10"/>
      <c r="E1969" s="10"/>
    </row>
    <row r="1970">
      <c r="A1970" s="10"/>
      <c r="B1970" s="17"/>
      <c r="C1970" s="10"/>
      <c r="D1970" s="10"/>
      <c r="E1970" s="10"/>
    </row>
    <row r="1971">
      <c r="A1971" s="10"/>
      <c r="B1971" s="17"/>
      <c r="C1971" s="10"/>
      <c r="D1971" s="10"/>
      <c r="E1971" s="10"/>
    </row>
    <row r="1972">
      <c r="A1972" s="10"/>
      <c r="B1972" s="17"/>
      <c r="C1972" s="10"/>
      <c r="D1972" s="10"/>
      <c r="E1972" s="10"/>
    </row>
    <row r="1973">
      <c r="A1973" s="10"/>
      <c r="B1973" s="17"/>
      <c r="C1973" s="10"/>
      <c r="D1973" s="10"/>
      <c r="E1973" s="10"/>
    </row>
    <row r="1974">
      <c r="A1974" s="10"/>
      <c r="B1974" s="17"/>
      <c r="C1974" s="10"/>
      <c r="D1974" s="10"/>
      <c r="E1974" s="10"/>
    </row>
    <row r="1975">
      <c r="A1975" s="10"/>
      <c r="B1975" s="17"/>
      <c r="C1975" s="10"/>
      <c r="D1975" s="10"/>
      <c r="E1975" s="10"/>
    </row>
    <row r="1976">
      <c r="A1976" s="10"/>
      <c r="B1976" s="17"/>
      <c r="C1976" s="10"/>
      <c r="D1976" s="10"/>
      <c r="E1976" s="10"/>
    </row>
    <row r="1977">
      <c r="A1977" s="10"/>
      <c r="B1977" s="17"/>
      <c r="C1977" s="10"/>
      <c r="D1977" s="10"/>
      <c r="E1977" s="10"/>
    </row>
    <row r="1978">
      <c r="A1978" s="10"/>
      <c r="B1978" s="17"/>
      <c r="C1978" s="10"/>
      <c r="D1978" s="10"/>
      <c r="E1978" s="10"/>
    </row>
    <row r="1979">
      <c r="A1979" s="10"/>
      <c r="B1979" s="17"/>
      <c r="C1979" s="10"/>
      <c r="D1979" s="10"/>
      <c r="E1979" s="10"/>
    </row>
    <row r="1980">
      <c r="A1980" s="10"/>
      <c r="B1980" s="17"/>
      <c r="C1980" s="10"/>
      <c r="D1980" s="10"/>
      <c r="E1980" s="10"/>
    </row>
    <row r="1981">
      <c r="A1981" s="10"/>
      <c r="B1981" s="17"/>
      <c r="C1981" s="10"/>
      <c r="D1981" s="10"/>
      <c r="E1981" s="10"/>
    </row>
    <row r="1982">
      <c r="A1982" s="10"/>
      <c r="B1982" s="17"/>
      <c r="C1982" s="10"/>
      <c r="D1982" s="10"/>
      <c r="E1982" s="10"/>
    </row>
    <row r="1983">
      <c r="A1983" s="10"/>
      <c r="B1983" s="17"/>
      <c r="C1983" s="10"/>
      <c r="D1983" s="10"/>
      <c r="E1983" s="10"/>
    </row>
    <row r="1984">
      <c r="A1984" s="10"/>
      <c r="B1984" s="17"/>
      <c r="C1984" s="10"/>
      <c r="D1984" s="10"/>
      <c r="E1984" s="10"/>
    </row>
    <row r="1985">
      <c r="A1985" s="10"/>
      <c r="B1985" s="17"/>
      <c r="C1985" s="10"/>
      <c r="D1985" s="10"/>
      <c r="E1985" s="10"/>
    </row>
    <row r="1986">
      <c r="A1986" s="10"/>
      <c r="B1986" s="17"/>
      <c r="C1986" s="10"/>
      <c r="D1986" s="10"/>
      <c r="E1986" s="10"/>
    </row>
    <row r="1987">
      <c r="A1987" s="10"/>
      <c r="B1987" s="17"/>
      <c r="C1987" s="10"/>
      <c r="D1987" s="10"/>
      <c r="E1987" s="10"/>
    </row>
    <row r="1988">
      <c r="A1988" s="10"/>
      <c r="B1988" s="17"/>
      <c r="C1988" s="10"/>
      <c r="D1988" s="10"/>
      <c r="E1988" s="10"/>
    </row>
    <row r="1989">
      <c r="A1989" s="10"/>
      <c r="B1989" s="17"/>
      <c r="C1989" s="10"/>
      <c r="D1989" s="10"/>
      <c r="E1989" s="10"/>
    </row>
    <row r="1990">
      <c r="A1990" s="10"/>
      <c r="B1990" s="17"/>
      <c r="C1990" s="10"/>
      <c r="D1990" s="10"/>
      <c r="E1990" s="10"/>
    </row>
    <row r="1991">
      <c r="A1991" s="10"/>
      <c r="B1991" s="17"/>
      <c r="C1991" s="10"/>
      <c r="D1991" s="10"/>
      <c r="E1991" s="10"/>
    </row>
    <row r="1992">
      <c r="A1992" s="10"/>
      <c r="B1992" s="17"/>
      <c r="C1992" s="10"/>
      <c r="D1992" s="10"/>
      <c r="E1992" s="10"/>
    </row>
    <row r="1993">
      <c r="A1993" s="10"/>
      <c r="B1993" s="17"/>
      <c r="C1993" s="10"/>
      <c r="D1993" s="10"/>
      <c r="E1993" s="10"/>
    </row>
    <row r="1994">
      <c r="A1994" s="10"/>
      <c r="B1994" s="17"/>
      <c r="C1994" s="10"/>
      <c r="D1994" s="10"/>
      <c r="E1994" s="10"/>
    </row>
    <row r="1995">
      <c r="A1995" s="10"/>
      <c r="B1995" s="17"/>
      <c r="C1995" s="10"/>
      <c r="D1995" s="10"/>
      <c r="E1995" s="10"/>
    </row>
    <row r="1996">
      <c r="A1996" s="10"/>
      <c r="B1996" s="17"/>
      <c r="C1996" s="10"/>
      <c r="D1996" s="10"/>
      <c r="E1996" s="10"/>
    </row>
    <row r="1997">
      <c r="A1997" s="10"/>
      <c r="B1997" s="17"/>
      <c r="C1997" s="10"/>
      <c r="D1997" s="10"/>
      <c r="E1997" s="10"/>
    </row>
    <row r="1998">
      <c r="A1998" s="10"/>
      <c r="B1998" s="17"/>
      <c r="C1998" s="10"/>
      <c r="D1998" s="10"/>
      <c r="E1998" s="10"/>
    </row>
    <row r="1999">
      <c r="A1999" s="10"/>
      <c r="B1999" s="17"/>
      <c r="C1999" s="10"/>
      <c r="D1999" s="10"/>
      <c r="E1999" s="10"/>
    </row>
    <row r="2000">
      <c r="A2000" s="10"/>
      <c r="B2000" s="17"/>
      <c r="C2000" s="10"/>
      <c r="D2000" s="10"/>
      <c r="E2000" s="10"/>
    </row>
    <row r="2001">
      <c r="A2001" s="10"/>
      <c r="B2001" s="17"/>
      <c r="C2001" s="10"/>
      <c r="D2001" s="10"/>
      <c r="E2001" s="10"/>
    </row>
    <row r="2002">
      <c r="A2002" s="10"/>
      <c r="B2002" s="17"/>
      <c r="C2002" s="10"/>
      <c r="D2002" s="10"/>
      <c r="E2002" s="10"/>
    </row>
    <row r="2003">
      <c r="A2003" s="10"/>
      <c r="B2003" s="17"/>
      <c r="C2003" s="10"/>
      <c r="D2003" s="10"/>
      <c r="E2003" s="10"/>
    </row>
    <row r="2004">
      <c r="A2004" s="10"/>
      <c r="B2004" s="17"/>
      <c r="C2004" s="10"/>
      <c r="D2004" s="10"/>
      <c r="E2004" s="10"/>
    </row>
    <row r="2005">
      <c r="A2005" s="10"/>
      <c r="B2005" s="17"/>
      <c r="C2005" s="10"/>
      <c r="D2005" s="10"/>
      <c r="E2005" s="10"/>
    </row>
    <row r="2006">
      <c r="A2006" s="10"/>
      <c r="B2006" s="17"/>
      <c r="C2006" s="10"/>
      <c r="D2006" s="10"/>
      <c r="E2006" s="10"/>
    </row>
    <row r="2007">
      <c r="A2007" s="10"/>
      <c r="B2007" s="17"/>
      <c r="C2007" s="10"/>
      <c r="D2007" s="10"/>
      <c r="E2007" s="10"/>
    </row>
    <row r="2008">
      <c r="A2008" s="10"/>
      <c r="B2008" s="17"/>
      <c r="C2008" s="10"/>
      <c r="D2008" s="10"/>
      <c r="E2008" s="10"/>
    </row>
    <row r="2009">
      <c r="A2009" s="10"/>
      <c r="B2009" s="17"/>
      <c r="C2009" s="10"/>
      <c r="D2009" s="10"/>
      <c r="E2009" s="10"/>
    </row>
    <row r="2010">
      <c r="A2010" s="10"/>
      <c r="B2010" s="17"/>
      <c r="C2010" s="10"/>
      <c r="D2010" s="10"/>
      <c r="E2010" s="10"/>
    </row>
    <row r="2011">
      <c r="A2011" s="10"/>
      <c r="B2011" s="17"/>
      <c r="C2011" s="10"/>
      <c r="D2011" s="10"/>
      <c r="E2011" s="10"/>
    </row>
    <row r="2012">
      <c r="A2012" s="10"/>
      <c r="B2012" s="17"/>
      <c r="C2012" s="10"/>
      <c r="D2012" s="10"/>
      <c r="E2012" s="10"/>
    </row>
    <row r="2013">
      <c r="A2013" s="10"/>
      <c r="B2013" s="17"/>
      <c r="C2013" s="10"/>
      <c r="D2013" s="10"/>
      <c r="E2013" s="10"/>
    </row>
    <row r="2014">
      <c r="A2014" s="10"/>
      <c r="B2014" s="17"/>
      <c r="C2014" s="10"/>
      <c r="D2014" s="10"/>
      <c r="E2014" s="10"/>
    </row>
    <row r="2015">
      <c r="A2015" s="10"/>
      <c r="B2015" s="17"/>
      <c r="C2015" s="10"/>
      <c r="D2015" s="10"/>
      <c r="E2015" s="10"/>
    </row>
    <row r="2016">
      <c r="A2016" s="10"/>
      <c r="B2016" s="17"/>
      <c r="C2016" s="10"/>
      <c r="D2016" s="10"/>
      <c r="E2016" s="10"/>
    </row>
    <row r="2017">
      <c r="A2017" s="10"/>
      <c r="B2017" s="17"/>
      <c r="C2017" s="10"/>
      <c r="D2017" s="10"/>
      <c r="E2017" s="10"/>
    </row>
    <row r="2018">
      <c r="A2018" s="10"/>
      <c r="B2018" s="17"/>
      <c r="C2018" s="10"/>
      <c r="D2018" s="10"/>
      <c r="E2018" s="10"/>
    </row>
    <row r="2019">
      <c r="A2019" s="10"/>
      <c r="B2019" s="17"/>
      <c r="C2019" s="10"/>
      <c r="D2019" s="10"/>
      <c r="E2019" s="10"/>
    </row>
    <row r="2020">
      <c r="A2020" s="10"/>
      <c r="B2020" s="17"/>
      <c r="C2020" s="10"/>
      <c r="D2020" s="10"/>
      <c r="E2020" s="10"/>
    </row>
    <row r="2021">
      <c r="A2021" s="10"/>
      <c r="B2021" s="17"/>
      <c r="C2021" s="10"/>
      <c r="D2021" s="10"/>
      <c r="E2021" s="10"/>
    </row>
    <row r="2022">
      <c r="A2022" s="10"/>
      <c r="B2022" s="17"/>
      <c r="C2022" s="10"/>
      <c r="D2022" s="10"/>
      <c r="E2022" s="10"/>
    </row>
    <row r="2023">
      <c r="A2023" s="10"/>
      <c r="B2023" s="17"/>
      <c r="C2023" s="10"/>
      <c r="D2023" s="10"/>
      <c r="E2023" s="10"/>
    </row>
    <row r="2024">
      <c r="A2024" s="10"/>
      <c r="B2024" s="17"/>
      <c r="C2024" s="10"/>
      <c r="D2024" s="10"/>
      <c r="E2024" s="10"/>
    </row>
    <row r="2025">
      <c r="A2025" s="10"/>
      <c r="B2025" s="17"/>
      <c r="C2025" s="10"/>
      <c r="D2025" s="10"/>
      <c r="E2025" s="10"/>
    </row>
    <row r="2026">
      <c r="A2026" s="10"/>
      <c r="B2026" s="17"/>
      <c r="C2026" s="10"/>
      <c r="D2026" s="10"/>
      <c r="E2026" s="10"/>
    </row>
    <row r="2027">
      <c r="A2027" s="10"/>
      <c r="B2027" s="17"/>
      <c r="C2027" s="10"/>
      <c r="D2027" s="10"/>
      <c r="E2027" s="10"/>
    </row>
    <row r="2028">
      <c r="A2028" s="10"/>
      <c r="B2028" s="17"/>
      <c r="C2028" s="10"/>
      <c r="D2028" s="10"/>
      <c r="E2028" s="10"/>
    </row>
    <row r="2029">
      <c r="A2029" s="10"/>
      <c r="B2029" s="17"/>
      <c r="C2029" s="10"/>
      <c r="D2029" s="10"/>
      <c r="E2029" s="10"/>
    </row>
    <row r="2030">
      <c r="A2030" s="10"/>
      <c r="B2030" s="17"/>
      <c r="C2030" s="10"/>
      <c r="D2030" s="10"/>
      <c r="E2030" s="10"/>
    </row>
    <row r="2031">
      <c r="A2031" s="10"/>
      <c r="B2031" s="17"/>
      <c r="C2031" s="10"/>
      <c r="D2031" s="10"/>
      <c r="E2031" s="10"/>
    </row>
    <row r="2032">
      <c r="A2032" s="10"/>
      <c r="B2032" s="17"/>
      <c r="C2032" s="10"/>
      <c r="D2032" s="10"/>
      <c r="E2032" s="10"/>
    </row>
    <row r="2033">
      <c r="A2033" s="10"/>
      <c r="B2033" s="17"/>
      <c r="C2033" s="10"/>
      <c r="D2033" s="10"/>
      <c r="E2033" s="10"/>
    </row>
    <row r="2034">
      <c r="A2034" s="10"/>
      <c r="B2034" s="17"/>
      <c r="C2034" s="10"/>
      <c r="D2034" s="10"/>
      <c r="E2034" s="10"/>
    </row>
    <row r="2035">
      <c r="A2035" s="10"/>
      <c r="B2035" s="17"/>
      <c r="C2035" s="10"/>
      <c r="D2035" s="10"/>
      <c r="E2035" s="10"/>
    </row>
    <row r="2036">
      <c r="A2036" s="10"/>
      <c r="B2036" s="17"/>
      <c r="C2036" s="10"/>
      <c r="D2036" s="10"/>
      <c r="E2036" s="10"/>
    </row>
    <row r="2037">
      <c r="A2037" s="10"/>
      <c r="B2037" s="17"/>
      <c r="C2037" s="10"/>
      <c r="D2037" s="10"/>
      <c r="E2037" s="10"/>
    </row>
    <row r="2038">
      <c r="A2038" s="10"/>
      <c r="B2038" s="17"/>
      <c r="C2038" s="10"/>
      <c r="D2038" s="10"/>
      <c r="E2038" s="10"/>
    </row>
    <row r="2039">
      <c r="A2039" s="10"/>
      <c r="B2039" s="17"/>
      <c r="C2039" s="10"/>
      <c r="D2039" s="10"/>
      <c r="E2039" s="10"/>
    </row>
    <row r="2040">
      <c r="A2040" s="10"/>
      <c r="B2040" s="17"/>
      <c r="C2040" s="10"/>
      <c r="D2040" s="10"/>
      <c r="E2040" s="10"/>
    </row>
    <row r="2041">
      <c r="A2041" s="10"/>
      <c r="B2041" s="17"/>
      <c r="C2041" s="10"/>
      <c r="D2041" s="10"/>
      <c r="E2041" s="10"/>
    </row>
    <row r="2042">
      <c r="A2042" s="10"/>
      <c r="B2042" s="17"/>
      <c r="C2042" s="10"/>
      <c r="D2042" s="10"/>
      <c r="E2042" s="10"/>
    </row>
    <row r="2043">
      <c r="A2043" s="10"/>
      <c r="B2043" s="17"/>
      <c r="C2043" s="10"/>
      <c r="D2043" s="10"/>
      <c r="E2043" s="10"/>
    </row>
    <row r="2044">
      <c r="A2044" s="10"/>
      <c r="B2044" s="17"/>
      <c r="C2044" s="10"/>
      <c r="D2044" s="10"/>
      <c r="E2044" s="10"/>
    </row>
    <row r="2045">
      <c r="A2045" s="10"/>
      <c r="B2045" s="17"/>
      <c r="C2045" s="10"/>
      <c r="D2045" s="10"/>
      <c r="E2045" s="10"/>
    </row>
    <row r="2046">
      <c r="A2046" s="10"/>
      <c r="B2046" s="17"/>
      <c r="C2046" s="10"/>
      <c r="D2046" s="10"/>
      <c r="E2046" s="10"/>
    </row>
    <row r="2047">
      <c r="A2047" s="10"/>
      <c r="B2047" s="17"/>
      <c r="C2047" s="10"/>
      <c r="D2047" s="10"/>
      <c r="E2047" s="10"/>
    </row>
    <row r="2048">
      <c r="A2048" s="10"/>
      <c r="B2048" s="17"/>
      <c r="C2048" s="10"/>
      <c r="D2048" s="10"/>
      <c r="E2048" s="10"/>
    </row>
    <row r="2049">
      <c r="A2049" s="10"/>
      <c r="B2049" s="17"/>
      <c r="C2049" s="10"/>
      <c r="D2049" s="10"/>
      <c r="E2049" s="10"/>
    </row>
    <row r="2050">
      <c r="A2050" s="10"/>
      <c r="B2050" s="17"/>
      <c r="C2050" s="10"/>
      <c r="D2050" s="10"/>
      <c r="E2050" s="10"/>
    </row>
    <row r="2051">
      <c r="A2051" s="10"/>
      <c r="B2051" s="17"/>
      <c r="C2051" s="10"/>
      <c r="D2051" s="10"/>
      <c r="E2051" s="10"/>
    </row>
    <row r="2052">
      <c r="A2052" s="10"/>
      <c r="B2052" s="17"/>
      <c r="C2052" s="10"/>
      <c r="D2052" s="10"/>
      <c r="E2052" s="10"/>
    </row>
    <row r="2053">
      <c r="A2053" s="10"/>
      <c r="B2053" s="17"/>
      <c r="C2053" s="10"/>
      <c r="D2053" s="10"/>
      <c r="E2053" s="10"/>
    </row>
  </sheetData>
  <drawing r:id="rId1"/>
</worksheet>
</file>