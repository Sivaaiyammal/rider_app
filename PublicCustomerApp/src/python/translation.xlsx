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<sst xmlns="http://schemas.openxmlformats.org/spreadsheetml/2006/main" count="905" uniqueCount="870">
  <si>
    <t>key</t>
  </si>
  <si>
    <t>en</t>
  </si>
  <si>
    <t>ta</t>
  </si>
  <si>
    <t>hi</t>
  </si>
  <si>
    <t>kn</t>
  </si>
  <si>
    <t>ml</t>
  </si>
  <si>
    <t>te</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</si>
  <si>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</si>
  <si>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</si>
  <si>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</si>
  <si>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</si>
  <si>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</si>
  <si>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</si>
  <si>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</si>
  <si>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</si>
  <si>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</si>
  <si>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</si>
  <si>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</si>
  <si>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</si>
  <si>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</si>
  <si>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</si>
  <si>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</si>
  <si>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</si>
  <si>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</si>
  <si>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</si>
  <si>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</si>
  <si>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</si>
  <si>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</si>
  <si>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</si>
  <si>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</si>
  <si>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</si>
  <si>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</si>
  <si>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</si>
  <si>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</si>
  <si>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</si>
  <si>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</si>
  <si>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</si>
  <si>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</si>
  <si>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</si>
  <si>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</si>
  <si>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</si>
  <si>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</si>
  <si>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</si>
  <si>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</si>
  <si>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</si>
  <si>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</si>
  <si>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</si>
  <si>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</si>
  <si>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</si>
  <si>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</si>
  <si>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</si>
  <si>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</si>
  <si>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</si>
  <si>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please_enter_a_valid_pan_number</t>
  </si>
  <si>
    <t>Please enter a valid PAN Number</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</si>
  <si>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</si>
  <si>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</si>
  <si>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</si>
  <si>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</si>
  <si>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</si>
  <si>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</si>
  <si>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</si>
  <si>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</si>
  <si>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</si>
  <si>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</si>
  <si>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</si>
  <si>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</si>
  <si>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</si>
  <si>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</si>
  <si>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</si>
  <si>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</si>
  <si>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</si>
  <si>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</si>
  <si>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</si>
  <si>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</si>
  <si>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</si>
  <si>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</si>
  <si>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</si>
  <si>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</si>
  <si>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</si>
  <si>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</si>
  <si>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</si>
  <si>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</si>
  <si>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</si>
  <si>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</si>
  <si>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</si>
  <si>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</si>
  <si>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</si>
  <si>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</si>
  <si>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</si>
  <si>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</si>
  <si>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</si>
  <si>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</si>
  <si>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</si>
  <si>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</si>
  <si>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</si>
  <si>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</si>
  <si>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</si>
  <si>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</si>
  <si>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</si>
  <si>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</si>
  <si>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</si>
  <si>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</si>
  <si>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</si>
  <si>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</si>
  <si>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</si>
  <si>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</si>
  <si>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</si>
  <si>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</si>
  <si>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</si>
  <si>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</si>
  <si>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</si>
  <si>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</si>
  <si>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</si>
  <si>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</si>
  <si>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</si>
  <si>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</si>
  <si>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</si>
  <si>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</si>
  <si>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</si>
  <si>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</si>
  <si>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</si>
  <si>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</si>
  <si>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</si>
  <si>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</si>
  <si>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</si>
  <si>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</si>
  <si>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</si>
  <si>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</si>
  <si>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</si>
  <si>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</si>
  <si>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</si>
  <si>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</si>
  <si>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</si>
  <si>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</si>
  <si>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</si>
  <si>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</si>
  <si>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</si>
  <si>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</si>
  <si>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</si>
  <si>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</si>
  <si>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</si>
  <si>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</si>
  <si>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</si>
  <si>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</si>
  <si>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</si>
  <si>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</si>
  <si>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</si>
  <si>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</si>
  <si>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</si>
  <si>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</si>
  <si>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</si>
  <si>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</si>
  <si>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</si>
  <si>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</si>
  <si>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</si>
  <si>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</si>
  <si>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</si>
  <si>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</si>
  <si>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</si>
  <si>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</si>
  <si>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</si>
  <si>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</si>
  <si>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</si>
  <si>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</si>
  <si>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</si>
  <si>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</si>
  <si>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</si>
  <si>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</si>
  <si>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</si>
  <si>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</si>
  <si>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</si>
  <si>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</si>
  <si>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</si>
  <si>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</si>
  <si>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</si>
  <si>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</si>
  <si>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</si>
  <si>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</si>
  <si>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</si>
  <si>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</si>
  <si>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</si>
  <si>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</si>
  <si>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</si>
  <si>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</si>
  <si>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</si>
  <si>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</si>
  <si>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</si>
  <si>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</si>
  <si>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</si>
  <si>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</si>
  <si>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</si>
  <si>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</si>
  <si>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</si>
  <si>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</si>
  <si>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</si>
  <si>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</si>
  <si>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</si>
  <si>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</si>
  <si>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</si>
  <si>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</si>
  <si>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</si>
  <si>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</si>
  <si>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</si>
  <si>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</si>
  <si>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</si>
  <si>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</si>
  <si>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</si>
  <si>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</si>
  <si>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</si>
  <si>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</si>
  <si>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</si>
  <si>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</si>
  <si>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</si>
  <si>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</si>
  <si>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</si>
  <si>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</si>
  <si>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</si>
  <si>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</si>
  <si>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</si>
  <si>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</si>
  <si>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</si>
  <si>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</si>
  <si>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</si>
  <si>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</si>
  <si>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</si>
  <si>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</si>
  <si>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</si>
  <si>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</si>
  <si>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</si>
  <si>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</si>
  <si>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</si>
  <si>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</si>
  <si>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</si>
  <si>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</si>
  <si>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</si>
  <si>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</si>
  <si>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</si>
  <si>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</si>
  <si>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</si>
  <si>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</si>
  <si>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</si>
  <si>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</si>
  <si>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</si>
  <si>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</si>
  <si>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</si>
  <si>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</si>
  <si>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</si>
  <si>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</si>
  <si>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</si>
  <si>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</si>
  <si>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</si>
  <si>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</si>
  <si>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</si>
  <si>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</si>
  <si>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</si>
  <si>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</si>
  <si>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</si>
  <si>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</si>
  <si>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</si>
  <si>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</si>
  <si>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</si>
  <si>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</si>
  <si>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</si>
  <si>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</si>
  <si>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</si>
  <si>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</si>
  <si>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</si>
  <si>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</si>
  <si>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</si>
  <si>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</si>
  <si>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</si>
  <si>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</si>
  <si>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</si>
  <si>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</si>
  <si>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</si>
  <si>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</si>
  <si>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</si>
  <si>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</si>
  <si>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</si>
  <si>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</si>
  <si>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</si>
  <si>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</si>
  <si>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</si>
  <si>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</si>
  <si>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</si>
  <si>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</si>
  <si>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</si>
  <si>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</si>
  <si>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</si>
  <si>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</si>
  <si>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</si>
  <si>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</si>
  <si>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</si>
  <si>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</si>
  <si>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</si>
  <si>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</si>
  <si>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</si>
  <si>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</si>
  <si>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</si>
  <si>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</si>
  <si>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</si>
  <si>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</si>
  <si>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</si>
  <si>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</si>
  <si>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</si>
  <si>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</si>
  <si>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</si>
  <si>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</si>
  <si>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</si>
  <si>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</si>
  <si>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</si>
  <si>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</si>
  <si>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</si>
  <si>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</si>
  <si>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</si>
  <si>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</si>
  <si>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</si>
  <si>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</si>
  <si>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</si>
  <si>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</si>
  <si>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</si>
  <si>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</si>
  <si>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</si>
  <si>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</si>
  <si>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</si>
  <si>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</si>
  <si>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</si>
  <si>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</si>
  <si>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</si>
  <si>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</si>
  <si>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</si>
  <si>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</si>
  <si>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</si>
  <si>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</si>
  <si>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</si>
  <si>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</si>
  <si>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</si>
  <si>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</si>
  <si>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</si>
  <si>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</si>
  <si>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</si>
  <si>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</si>
  <si>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</si>
  <si>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</si>
  <si>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</si>
  <si>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</si>
  <si>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</si>
  <si>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</si>
  <si>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</si>
  <si>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</si>
  <si>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</si>
  <si>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</si>
  <si>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</si>
  <si>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</si>
  <si>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</si>
  <si>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</si>
  <si>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</si>
  <si>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</si>
  <si>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</si>
  <si>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</si>
  <si>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</si>
  <si>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</si>
  <si>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</si>
  <si>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</si>
  <si>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</si>
  <si>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</si>
  <si>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</si>
  <si>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</si>
  <si>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</si>
  <si>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</si>
  <si>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</si>
  <si>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</si>
  <si>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</si>
  <si>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</si>
  <si>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</si>
  <si>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</si>
  <si>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</si>
  <si>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</si>
  <si>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</si>
  <si>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</si>
  <si>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</si>
  <si>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</si>
  <si>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</si>
  <si>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</si>
  <si>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</si>
  <si>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</si>
  <si>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</si>
  <si>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</si>
  <si>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</si>
  <si>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</si>
  <si>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</si>
  <si>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</si>
  <si>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</si>
  <si>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</si>
  <si>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</si>
  <si>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</si>
  <si>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</si>
  <si>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</si>
  <si>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</si>
  <si>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</si>
  <si>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</si>
  <si>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</si>
  <si>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</si>
  <si>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</si>
  <si>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</si>
  <si>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</si>
  <si>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</si>
  <si>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</si>
  <si>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</si>
  <si>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</si>
  <si>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</si>
  <si>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</si>
  <si>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</si>
  <si>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</si>
  <si>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</si>
  <si>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</si>
  <si>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</si>
  <si>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</si>
  <si>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</si>
  <si>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</si>
  <si>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</si>
  <si>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</si>
  <si>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</si>
  <si>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</si>
  <si>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</si>
  <si>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</si>
  <si>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</si>
  <si>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</si>
  <si>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</si>
  <si>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</si>
  <si>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</si>
  <si>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</si>
  <si>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</si>
  <si>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</si>
  <si>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</si>
  <si>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</si>
  <si>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</si>
  <si>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</si>
  <si>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</si>
  <si>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</si>
  <si>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</si>
  <si>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</si>
  <si>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</si>
  <si>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</si>
  <si>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</si>
  <si>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</si>
  <si>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</si>
  <si>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</si>
  <si>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</si>
  <si>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</si>
  <si>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</si>
  <si>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</si>
  <si>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</si>
  <si>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</si>
  <si>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</si>
  <si>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</si>
  <si>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</si>
  <si>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</si>
  <si>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</si>
  <si>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</si>
  <si>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</si>
  <si>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</si>
  <si>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</si>
  <si>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</si>
  <si>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</si>
  <si>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</si>
  <si>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</si>
  <si>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</si>
  <si>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</si>
  <si>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</si>
  <si>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</si>
  <si>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</si>
  <si>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</si>
  <si>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</si>
  <si>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</si>
  <si>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</si>
  <si>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</si>
  <si>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</si>
  <si>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</si>
  <si>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</si>
  <si>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</si>
  <si>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</si>
  <si>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</si>
  <si>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</si>
  <si>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</si>
  <si>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</si>
  <si>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</si>
  <si>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</si>
  <si>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</si>
  <si>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</si>
  <si>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</si>
  <si>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</si>
  <si>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</si>
  <si>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</si>
  <si>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</si>
  <si>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</si>
  <si>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</si>
  <si>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</si>
  <si>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</si>
  <si>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</si>
  <si>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</si>
  <si>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</si>
  <si>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</si>
  <si>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</si>
  <si>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</si>
  <si>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</si>
  <si>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</si>
  <si>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</si>
  <si>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</si>
  <si>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</si>
  <si>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</si>
  <si>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</si>
  <si>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</si>
  <si>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</si>
  <si>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</si>
  <si>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</si>
  <si>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</si>
  <si>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</si>
  <si>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</si>
  <si>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</si>
  <si>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</si>
  <si>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</si>
  <si>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</si>
  <si>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</si>
  <si>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</si>
  <si>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</si>
  <si>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</si>
  <si>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</si>
  <si>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</si>
  <si>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</si>
  <si>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</si>
  <si>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</si>
  <si>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</si>
  <si>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</si>
  <si>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</si>
  <si>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</si>
  <si>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</si>
  <si>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</si>
  <si>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</si>
  <si>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</si>
  <si>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</si>
  <si>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</si>
  <si>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</si>
  <si>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</si>
  <si>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</si>
  <si>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</si>
  <si>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</si>
  <si>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</si>
  <si>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</si>
  <si>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</si>
  <si>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</si>
  <si>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</si>
  <si>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</si>
  <si>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</si>
  <si>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</si>
  <si>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</si>
  <si>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</si>
  <si>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</si>
  <si>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</si>
  <si>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</si>
  <si>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</si>
  <si>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</si>
  <si>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</si>
  <si>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</si>
  <si>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</si>
  <si>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</si>
  <si>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</si>
  <si>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</si>
  <si>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</si>
  <si>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</si>
  <si>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</si>
  <si>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</si>
  <si>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</si>
  <si>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</si>
  <si>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</si>
  <si>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</si>
  <si>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</si>
  <si>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</si>
  <si>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</si>
  <si>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</si>
  <si>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</si>
  <si>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</si>
  <si>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</si>
  <si>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</si>
  <si>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</si>
  <si>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</si>
  <si>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</si>
  <si>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</si>
  <si>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</si>
  <si>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</si>
  <si>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</si>
  <si>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</si>
  <si>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</si>
  <si>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</si>
  <si>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</si>
  <si>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</si>
  <si>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</si>
  <si>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</si>
  <si>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</si>
  <si>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</si>
  <si>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</si>
  <si>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</si>
  <si>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</si>
  <si>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</si>
  <si>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</si>
  <si>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</si>
  <si>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</si>
  <si>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</si>
  <si>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</si>
  <si>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</si>
  <si>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</si>
  <si>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</si>
  <si>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</si>
  <si>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</si>
  <si>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</si>
  <si>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</si>
  <si>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</si>
  <si>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</si>
  <si>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</si>
  <si>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</si>
  <si>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</si>
  <si>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</si>
  <si>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</si>
  <si>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</si>
  <si>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</si>
  <si>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</si>
  <si>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</si>
  <si>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</si>
  <si>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</si>
  <si>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</si>
  <si>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</si>
  <si>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</si>
  <si>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</si>
  <si>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</si>
  <si>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</si>
  <si>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</si>
  <si>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</si>
  <si>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</si>
  <si>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</si>
  <si>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</si>
  <si>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</si>
  <si>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</si>
  <si>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</si>
  <si>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</si>
  <si>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</si>
  <si>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</si>
  <si>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</si>
  <si>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</si>
  <si>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</si>
  <si>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</si>
  <si>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</si>
  <si>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</si>
  <si>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</si>
  <si>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</si>
  <si>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</si>
  <si>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</si>
  <si>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</si>
  <si>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</si>
  <si>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</si>
  <si>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</si>
  <si>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</si>
  <si>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</si>
  <si>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</si>
  <si>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</si>
  <si>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</si>
  <si>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</si>
  <si>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</si>
  <si>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</si>
  <si>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</si>
  <si>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</si>
  <si>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</si>
  <si>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</si>
  <si>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</si>
  <si>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</si>
  <si>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</si>
  <si>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</si>
  <si>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</si>
  <si>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</si>
  <si>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</si>
  <si>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</si>
  <si>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</si>
  <si>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</si>
  <si>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</si>
  <si>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</si>
  <si>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</si>
  <si>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</si>
  <si>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</si>
  <si>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</si>
  <si>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</si>
  <si>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</si>
  <si>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</si>
  <si>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</si>
  <si>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</si>
  <si>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</si>
  <si>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</si>
  <si>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</si>
  <si>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</si>
  <si>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</si>
  <si>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</si>
  <si>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</si>
  <si>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</si>
  <si>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</si>
  <si>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</si>
  <si>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</si>
  <si>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</si>
  <si>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</si>
  <si>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</si>
  <si>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</si>
  <si>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</si>
  <si>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</si>
  <si>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</si>
  <si>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</si>
  <si>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</si>
  <si>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</si>
  <si>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</si>
  <si>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</si>
  <si>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</si>
  <si>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</si>
  <si>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</si>
  <si>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</si>
  <si>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</si>
  <si>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</si>
  <si>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</si>
  <si>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</si>
  <si>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</si>
  <si>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</si>
  <si>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</si>
  <si>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</si>
  <si>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</si>
  <si>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</si>
  <si>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</si>
  <si>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</si>
  <si>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</si>
  <si>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</si>
  <si>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</si>
  <si>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</si>
  <si>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</si>
  <si>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</si>
  <si>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</si>
  <si>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</si>
  <si>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</si>
  <si>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</si>
  <si>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</si>
  <si>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</si>
  <si>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</si>
  <si>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</si>
  <si>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</si>
  <si>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</si>
  <si>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</si>
  <si>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</si>
  <si>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</si>
  <si>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</si>
  <si>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</si>
  <si>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</si>
  <si>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</si>
  <si>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</si>
  <si>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</si>
  <si>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</si>
  <si>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</si>
  <si>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</si>
  <si>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</si>
  <si>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</si>
  <si>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</si>
  <si>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</si>
  <si>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</si>
  <si>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</si>
  <si>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</si>
  <si>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</si>
  <si>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</si>
  <si>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</si>
  <si>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</si>
  <si>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</si>
  <si>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</si>
  <si>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</si>
  <si>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</si>
  <si>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</si>
  <si>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</si>
  <si>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</si>
  <si>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</si>
  <si>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</si>
  <si>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</si>
  <si>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</si>
  <si>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</si>
  <si>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</si>
  <si>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</si>
  <si>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</si>
  <si>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</si>
  <si>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</si>
  <si>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</si>
  <si>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</si>
  <si>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</si>
  <si>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</si>
  <si>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</si>
  <si>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</si>
  <si>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</si>
  <si>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</si>
  <si>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</si>
  <si>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</si>
  <si>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</si>
  <si>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</si>
  <si>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</si>
  <si>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</si>
  <si>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</si>
  <si>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</si>
  <si>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</si>
  <si>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</si>
  <si>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</si>
  <si>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</si>
  <si>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</si>
  <si>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</si>
  <si>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</si>
  <si>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</si>
  <si>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</si>
  <si>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</si>
  <si>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</si>
  <si>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</si>
  <si>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</si>
  <si>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</si>
  <si>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</si>
  <si>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</si>
  <si>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</si>
  <si>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</si>
  <si>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</si>
  <si>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</si>
  <si>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</si>
  <si>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</si>
  <si>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</si>
  <si>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</si>
  <si>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</si>
  <si>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</si>
  <si>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</si>
  <si>
    <t>driver_login</t>
  </si>
  <si>
    <t>Driver Login</t>
  </si>
  <si>
    <t>customer_login</t>
  </si>
  <si>
    <t>Passenger Login</t>
  </si>
  <si>
    <t>sign_in_by_mobile</t>
  </si>
  <si>
    <t>Sign In By Mobile</t>
  </si>
  <si>
    <t>mobile_number</t>
  </si>
  <si>
    <t>Mobile Number</t>
  </si>
  <si>
    <t>request_otp</t>
  </si>
  <si>
    <t>Request OTP</t>
  </si>
  <si>
    <t>one_time_password_otp</t>
  </si>
  <si>
    <t>One Time Password(OTP)</t>
  </si>
  <si>
    <t>enter_otp_sent_to_mobile</t>
  </si>
  <si>
    <t>Enter the OTP sent to your mobile number</t>
  </si>
  <si>
    <t>title</t>
  </si>
  <si>
    <t>Welcome to Namma Ooru Taxi</t>
  </si>
  <si>
    <t>subtitle</t>
  </si>
  <si>
    <t>Choose how you would like to continue.</t>
  </si>
  <si>
    <t>continue_as</t>
  </si>
  <si>
    <t>Continue as</t>
  </si>
  <si>
    <t>customer</t>
  </si>
  <si>
    <t>Passenger</t>
  </si>
  <si>
    <t>become_a</t>
  </si>
  <si>
    <t>Become a</t>
  </si>
  <si>
    <t>and_earn_money</t>
  </si>
  <si>
    <t>&amp; earn money</t>
  </si>
  <si>
    <t>contact</t>
  </si>
  <si>
    <t>Contact</t>
  </si>
  <si>
    <t>send_feedback</t>
  </si>
  <si>
    <t>Send FeedBack</t>
  </si>
  <si>
    <t>terms_and_conditions</t>
  </si>
  <si>
    <t>Terms and Conditions</t>
  </si>
  <si>
    <t>privacy_policy</t>
  </si>
  <si>
    <t>Privacy Policy</t>
  </si>
  <si>
    <t>about_us</t>
  </si>
  <si>
    <t>About Us</t>
  </si>
  <si>
    <t>more_apps</t>
  </si>
  <si>
    <t>More Apps</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</si>
</sst>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sz val="14.0"/>
      <color theme="1"/>
      <name val="Arial"/>
    </font>
    <font>
      <color theme="1"/>
      <name val="Arial"/>
    </font>
    <font>
      <color theme="1"/>
      <name val="Arial"/>
      <scheme val="minor"/>
    </font>
    <font>
      <sz val="10.0"/>
      <color rgb="FF000000"/>
      <name val="Arial"/>
    </font>
    <font>
      <sz val="11.0"/>
      <color theme="1"/>
      <name val="Arial"/>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2" fontId="1" numFmtId="0" xfId="0" applyAlignment="1" applyFont="1">
      <alignment horizontal="center" readingOrder="0"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3" numFmtId="0" xfId="0" applyFont="1"/>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4" numFmtId="0" xfId="0" applyAlignment="1" applyFill="1" applyFont="1">
      <alignment readingOrder="0"/>
    </xf>
    <xf borderId="0" fillId="0" fontId="3" numFmtId="0" xfId="0" applyAlignment="1" applyFont="1">
      <alignment readingOrder="0"/>
    </xf>
    <xf borderId="0" fillId="3" fontId="5" numFmtId="0" xfId="0" applyAlignment="1" applyFont="1">
      <alignment shrinkToFit="0" vertical="bottom" wrapText="1"/>
    </xf>
    <xf borderId="0" fillId="0" fontId="2" numFmtId="0" xfId="0" applyAlignment="1" applyFont="1">
      <alignment horizontal="center"/>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 customWidth="1" min="6" max="6" width="38.13"/>
    <col customWidth="1" min="7" max="7" width="44.63"/>
  </cols>
  <sheetData>
    <row r="1">
      <c r="A1" s="1" t="s">
        <v>0</v>
      </c>
      <c r="B1" s="2" t="s">
        <v>1</v>
      </c>
      <c r="C1" s="2" t="s">
        <v>2</v>
      </c>
      <c r="D1" s="3" t="s">
        <v>3</v>
      </c>
      <c r="E1" s="3" t="s">
        <v>4</v>
      </c>
      <c r="F1" s="3" t="s">
        <v>5</v>
      </c>
      <c r="G1" s="3" t="s">
        <v>6</v>
      </c>
    </row>
    <row r="2">
      <c r="A2" s="4" t="s">
        <v>7</v>
      </c>
      <c r="B2" s="5" t="s">
        <v>8</v>
      </c>
      <c r="C2" s="6" t="str">
        <f>IFERROR(__xludf.DUMMYFUNCTION("GOOGLETRANSLATE(B2, ""en"", ""ta"")"),"உங்கள் வாடிக்கையாளர்களிடம் பணிவாகப் பேசுங்கள். அவர்கள் எங்கு செல்ல விரும்புகிறார்கள் என்பதையும், பயணத்திற்கான நியாயமான விலை என்ன என்பதையும் கேளுங்கள்.")</f>
        <v>உங்கள் வாடிக்கையாளர்களிடம் பணிவாகப் பேசுங்கள். அவர்கள் எங்கு செல்ல விரும்புகிறார்கள் என்பதையும், பயணத்திற்கான நியாயமான விலை என்ன என்பதையும் கேளுங்கள்.</v>
      </c>
      <c r="D2" s="6" t="str">
        <f>IFERROR(__xludf.DUMMYFUNCTION("GOOGLETRANSLATE(B2, ""en"", ""hi"")"),"अपने ग्राहकों से विनम्रतापूर्वक बात करें। उनसे पूछें कि वे कहाँ जाना चाहते हैं और यात्रा का उचित किराया क्या होगा।")</f>
        <v>अपने ग्राहकों से विनम्रतापूर्वक बात करें। उनसे पूछें कि वे कहाँ जाना चाहते हैं और यात्रा का उचित किराया क्या होगा।</v>
      </c>
      <c r="E2" s="6" t="str">
        <f>IFERROR(__xludf.DUMMYFUNCTION("GOOGLETRANSLATE(B2, ""en"", ""kn"")"),"ನಿಮ್ಮ ಗ್ರಾಹಕರೊಂದಿಗೆ ಸೌಜನ್ಯದಿಂದ ಮಾತನಾಡಿ. ಅವರು ಎಲ್ಲಿಗೆ ಹೋಗಬೇಕೆಂದು ಬಯಸುತ್ತಾರೆ ಮತ್ತು ಪ್ರವಾಸಕ್ಕೆ ಸಮಂಜಸವಾದ ಬೆಲೆಯನ್ನು ಕೇಳಿ.")</f>
        <v>ನಿಮ್ಮ ಗ್ರಾಹಕರೊಂದಿಗೆ ಸೌಜನ್ಯದಿಂದ ಮಾತನಾಡಿ. ಅವರು ಎಲ್ಲಿಗೆ ಹೋಗಬೇಕೆಂದು ಬಯಸುತ್ತಾರೆ ಮತ್ತು ಪ್ರವಾಸಕ್ಕೆ ಸಮಂಜಸವಾದ ಬೆಲೆಯನ್ನು ಕೇಳಿ.</v>
      </c>
      <c r="F2" s="7" t="str">
        <f>IFERROR(__xludf.DUMMYFUNCTION("GOOGLETRANSLATE(B2, ""en"", ""ml"")"),"നിങ്ങളുടെ ഉപഭോക്താക്കളോട് മാന്യമായി സംസാരിക്കുക. അവർ പോകാൻ ആഗ്രഹിക്കുന്ന സ്ഥലം ഏതെന്നും യാത്രയുടെ ന്യായമായ വില എത്രയാണെന്നും ചോദിക്കുക.")</f>
        <v>നിങ്ങളുടെ ഉപഭോക്താക്കളോട് മാന്യമായി സംസാരിക്കുക. അവർ പോകാൻ ആഗ്രഹിക്കുന്ന സ്ഥലം ഏതെന്നും യാത്രയുടെ ന്യായമായ വില എത്രയാണെന്നും ചോദിക്കുക.</v>
      </c>
      <c r="G2" s="7" t="str">
        <f>IFERROR(__xludf.DUMMYFUNCTION("GOOGLETRANSLATE(B2, ""en"", ""te"")"),"మీ కస్టమర్లతో మర్యాదగా మాట్లాడండి. వారు ఎక్కడికి వెళ్లాలనుకుంటున్నారో మరియు ప్రయాణానికి సరసమైన ధర ఎంత అని అడగండి.")</f>
        <v>మీ కస్టమర్లతో మర్యాదగా మాట్లాడండి. వారు ఎక్కడికి వెళ్లాలనుకుంటున్నారో మరియు ప్రయాణానికి సరసమైన ధర ఎంత అని అడగండి.</v>
      </c>
    </row>
    <row r="3">
      <c r="A3" s="4" t="s">
        <v>9</v>
      </c>
      <c r="B3" s="5" t="s">
        <v>10</v>
      </c>
      <c r="C3" s="6" t="str">
        <f>IFERROR(__xludf.DUMMYFUNCTION("GOOGLETRANSLATE(B3, ""en"", ""ta"")"),"எங்கள் நம்ம ஊரு டாக்ஸி® செயலி மூலம் அந்த நபர் அழைக்கிறாரா என்று வாடிக்கையாளரிடம் கேட்கலாம்.")</f>
        <v>எங்கள் நம்ம ஊரு டாக்ஸி® செயலி மூலம் அந்த நபர் அழைக்கிறாரா என்று வாடிக்கையாளரிடம் கேட்கலாம்.</v>
      </c>
      <c r="D3" s="6" t="str">
        <f>IFERROR(__xludf.DUMMYFUNCTION("GOOGLETRANSLATE(B3, ""en"", ""hi"")"),"आप ग्राहक से पूछ सकते हैं कि क्या वह हमारे ऐप Namma Ooru Taxi ® के माध्यम से कॉल कर रहा है।")</f>
        <v>आप ग्राहक से पूछ सकते हैं कि क्या वह हमारे ऐप Namma Ooru Taxi ® के माध्यम से कॉल कर रहा है।</v>
      </c>
      <c r="E3" s="6" t="str">
        <f>IFERROR(__xludf.DUMMYFUNCTION("GOOGLETRANSLATE(B3, ""en"", ""kn"")"),"ನಮ್ಮ ನಮ್ಮ ಊರು ಟ್ಯಾಕ್ಸಿ® ಆ್ಯಪ್ ಮೂಲಕ ಗ್ರಾಹಕರು ಕರೆ ಮಾಡುತ್ತಿದ್ದಾರೆಯೇ ಎಂದು ನೀವು ಕೇಳಬಹುದು.")</f>
        <v>ನಮ್ಮ ನಮ್ಮ ಊರು ಟ್ಯಾಕ್ಸಿ® ಆ್ಯಪ್ ಮೂಲಕ ಗ್ರಾಹಕರು ಕರೆ ಮಾಡುತ್ತಿದ್ದಾರೆಯೇ ಎಂದು ನೀವು ಕೇಳಬಹುದು.</v>
      </c>
      <c r="F3" s="7" t="str">
        <f>IFERROR(__xludf.DUMMYFUNCTION("GOOGLETRANSLATE(B3, ""en"", ""ml"")"),"ഞങ്ങളുടെ നമ്മ ഊരു ടാക്സി® ആപ്പ് വഴി ആ വ്യക്തി വിളിക്കുന്നുണ്ടോ എന്ന് നിങ്ങൾക്ക് ഉപഭോക്താവിനോട് ചോദിക്കാം.")</f>
        <v>ഞങ്ങളുടെ നമ്മ ഊരു ടാക്സി® ആപ്പ് വഴി ആ വ്യക്തി വിളിക്കുന്നുണ്ടോ എന്ന് നിങ്ങൾക്ക് ഉപഭോക്താവിനോട് ചോദിക്കാം.</v>
      </c>
      <c r="G3" s="7" t="str">
        <f>IFERROR(__xludf.DUMMYFUNCTION("GOOGLETRANSLATE(B3, ""en"", ""te"")"),"మా నమ్మ ఊరు టాక్సీ® యాప్ ద్వారా ఆ వ్యక్తి కాల్ చేస్తున్నారా అని మీరు కస్టమర్‌ని అడగవచ్చు.")</f>
        <v>మా నమ్మ ఊరు టాక్సీ® యాప్ ద్వారా ఆ వ్యక్తి కాల్ చేస్తున్నారా అని మీరు కస్టమర్‌ని అడగవచ్చు.</v>
      </c>
    </row>
    <row r="4">
      <c r="A4" s="4" t="s">
        <v>11</v>
      </c>
      <c r="B4" s="5" t="s">
        <v>12</v>
      </c>
      <c r="C4" s="6" t="str">
        <f>IFERROR(__xludf.DUMMYFUNCTION("GOOGLETRANSLATE(B4, ""en"", ""ta"")"),"பிக்அப் இடத்தைப் பெற்றுத் தொடங்குங்கள்")</f>
        <v>பிக்அப் இடத்தைப் பெற்றுத் தொடங்குங்கள்</v>
      </c>
      <c r="D4" s="6" t="str">
        <f>IFERROR(__xludf.DUMMYFUNCTION("GOOGLETRANSLATE(B4, ""en"", ""hi"")"),"पिकअप स्थान प्राप्त करें और शुरू करें")</f>
        <v>पिकअप स्थान प्राप्त करें और शुरू करें</v>
      </c>
      <c r="E4" s="6" t="str">
        <f>IFERROR(__xludf.DUMMYFUNCTION("GOOGLETRANSLATE(B4, ""en"", ""kn"")"),"ಪಿಕಪ್ ಸ್ಥಳವನ್ನು ಪಡೆಯಿರಿ ಮತ್ತು ಪ್ರಾರಂಭಿಸಿ")</f>
        <v>ಪಿಕಪ್ ಸ್ಥಳವನ್ನು ಪಡೆಯಿರಿ ಮತ್ತು ಪ್ರಾರಂಭಿಸಿ</v>
      </c>
      <c r="F4" s="7" t="str">
        <f>IFERROR(__xludf.DUMMYFUNCTION("GOOGLETRANSLATE(B4, ""en"", ""ml"")"),"പിക്കപ്പ് ലൊക്കേഷൻ നേടി ആരംഭിക്കുക")</f>
        <v>പിക്കപ്പ് ലൊക്കേഷൻ നേടി ആരംഭിക്കുക</v>
      </c>
      <c r="G4" s="7" t="str">
        <f>IFERROR(__xludf.DUMMYFUNCTION("GOOGLETRANSLATE(B4, ""en"", ""te"")"),"పికప్ లొకేషన్ తీసుకొని ప్రారంభించండి")</f>
        <v>పికప్ లొకేషన్ తీసుకొని ప్రారంభించండి</v>
      </c>
    </row>
    <row r="5">
      <c r="A5" s="4" t="s">
        <v>13</v>
      </c>
      <c r="B5" s="5" t="s">
        <v>14</v>
      </c>
      <c r="C5" s="6" t="str">
        <f>IFERROR(__xludf.DUMMYFUNCTION("GOOGLETRANSLATE(B5, ""en"", ""ta"")"),"உங்கள்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f>
        <v>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v>
      </c>
      <c r="D5" s="6" t="str">
        <f>IFERROR(__xludf.DUMMYFUNCTION("GOOGLETRANSLATE(B5, ""en"", ""hi"")"),"किराया तय कर लें और उनसे Namma Ooru Taxi ® ऐप के ज़रिए पिकअप लोकेशन शेयर करने के लिए कहें। नोटिफिकेशन के ज़रिए पिकअप लोकेशन मिलने पर उसे स्वीकार करके यात्रा शुरू करें।")</f>
        <v>किराया तय कर लें और उनसे Namma Ooru Taxi ® ऐप के ज़रिए पिकअप लोकेशन शेयर करने के लिए कहें। नोटिफिकेशन के ज़रिए पिकअप लोकेशन मिलने पर उसे स्वीकार करके यात्रा शुरू करें।</v>
      </c>
      <c r="E5" s="6" t="str">
        <f>IFERROR(__xludf.DUMMYFUNCTION("GOOGLETRANSLATE(B5, ""en"", ""kn"")"),"ನಿಮ್ಮ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f>
        <v>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v>
      </c>
      <c r="F5" s="7" t="str">
        <f>IFERROR(__xludf.DUMMYFUNCTION("GOOGLETRANSLATE(B5, ""en"", ""ml"")"),"നിങ്ങളുടെ നിരക്ക് ചർച്ച ചെയ്ത് നമ്മ ഊരു ടാക്സി® ആപ്പുമായി പിക്കപ്പ് ലൊക്കേഷൻ പങ്കിടാൻ ആവശ്യപ്പെടുക. അറിയിപ്പ് വഴി പിക്ക്-അപ്പ് ലൊക്കേഷൻ സ്വീകരിച്ച് യാത്ര ആരംഭിക്കുക.")</f>
        <v>നിങ്ങളുടെ നിരക്ക് ചർച്ച ചെയ്ത് നമ്മ ഊരു ടാക്സി® ആപ്പുമായി പിക്കപ്പ് ലൊക്കേഷൻ പങ്കിടാൻ ആവശ്യപ്പെടുക. അറിയിപ്പ് വഴി പിക്ക്-അപ്പ് ലൊക്കേഷൻ സ്വീകരിച്ച് യാത്ര ആരംഭിക്കുക.</v>
      </c>
      <c r="G5" s="7" t="str">
        <f>IFERROR(__xludf.DUMMYFUNCTION("GOOGLETRANSLATE(B5, ""en"", ""te"")"),"మీ రేటును బేరసారాలు చేసి, నమ్మ ఊరు టాక్సీ® యాప్‌తో పికప్ లొకేషన్‌ను షేర్ చేయమని వారిని అడగండి. నోటిఫికేషన్ ద్వారా పికప్ లొకేషన్‌ను స్వీకరించి, ట్రిప్ ప్రారంభించడానికి దానిని అంగీకరించండి.")</f>
        <v>మీ రేటును బేరసారాలు చేసి, నమ్మ ఊరు టాక్సీ® యాప్‌తో పికప్ లొకేషన్‌ను షేర్ చేయమని వారిని అడగండి. నోటిఫికేషన్ ద్వారా పికప్ లొకేషన్‌ను స్వీకరించి, ట్రిప్ ప్రారంభించడానికి దానిని అంగీకరించండి.</v>
      </c>
    </row>
    <row r="6">
      <c r="A6" s="4" t="s">
        <v>15</v>
      </c>
      <c r="B6" s="5" t="s">
        <v>16</v>
      </c>
      <c r="C6" s="6" t="str">
        <f>IFERROR(__xludf.DUMMYFUNCTION("GOOGLETRANSLATE(B6, ""en"", ""ta"")"),"பயணத்தை உறுதிசெய்து தொடங்க வாடிக்கையாளரைத் தொடர்பு கொண்டதை உறுதிப்படுத்திக் கொள்ளுங்கள்.")</f>
        <v>பயணத்தை உறுதிசெய்து தொடங்க வாடிக்கையாளரைத் தொடர்பு கொண்டதை உறுதிப்படுத்திக் கொள்ளுங்கள்.</v>
      </c>
      <c r="D6" s="6" t="str">
        <f>IFERROR(__xludf.DUMMYFUNCTION("GOOGLETRANSLATE(B6, ""en"", ""hi"")"),"ग्राहक से संपर्क करके यात्रा की पुष्टि अवश्य कर लें और यात्रा शुरू करें।")</f>
        <v>ग्राहक से संपर्क करके यात्रा की पुष्टि अवश्य कर लें और यात्रा शुरू करें।</v>
      </c>
      <c r="E6" s="6" t="str">
        <f>IFERROR(__xludf.DUMMYFUNCTION("GOOGLETRANSLATE(B6, ""en"", ""kn"")"),"ಖಚಿತಪಡಿಸಲು ಮತ್ತು ಪ್ರಯಾಣವನ್ನು ಪ್ರಾರಂಭಿಸಲು ನೀವು ಗ್ರಾಹಕರನ್ನು ಸಂಪರ್ಕಿಸಿದ್ದೀರಿ ಎಂದು ಖಚಿತಪಡಿಸಿಕೊಳ್ಳಿ.")</f>
        <v>ಖಚಿತಪಡಿಸಲು ಮತ್ತು ಪ್ರಯಾಣವನ್ನು ಪ್ರಾರಂಭಿಸಲು ನೀವು ಗ್ರಾಹಕರನ್ನು ಸಂಪರ್ಕಿಸಿದ್ದೀರಿ ಎಂದು ಖಚಿತಪಡಿಸಿಕೊಳ್ಳಿ.</v>
      </c>
      <c r="F6" s="7" t="str">
        <f>IFERROR(__xludf.DUMMYFUNCTION("GOOGLETRANSLATE(B6, ""en"", ""ml"")"),"യാത്ര സ്ഥിരീകരിക്കുന്നതിനും ആരംഭിക്കുന്നതിനും നിങ്ങൾ ഉപഭോക്താവിനെ ബന്ധപ്പെട്ടിട്ടുണ്ടെന്ന് ഉറപ്പാക്കുക.")</f>
        <v>യാത്ര സ്ഥിരീകരിക്കുന്നതിനും ആരംഭിക്കുന്നതിനും നിങ്ങൾ ഉപഭോക്താവിനെ ബന്ധപ്പെട്ടിട്ടുണ്ടെന്ന് ഉറപ്പാക്കുക.</v>
      </c>
      <c r="G6" s="7" t="str">
        <f>IFERROR(__xludf.DUMMYFUNCTION("GOOGLETRANSLATE(B6, ""en"", ""te"")"),"ట్రిప్‌ను నిర్ధారించుకుని ప్రారంభించడానికి మీరు కస్టమర్‌ను సంప్రదించారని నిర్ధారించుకోండి.")</f>
        <v>ట్రిప్‌ను నిర్ధారించుకుని ప్రారంభించడానికి మీరు కస్టమర్‌ను సంప్రదించారని నిర్ధారించుకోండి.</v>
      </c>
    </row>
    <row r="7">
      <c r="A7" s="4" t="s">
        <v>17</v>
      </c>
      <c r="B7" s="5" t="s">
        <v>18</v>
      </c>
      <c r="C7" s="6" t="str">
        <f>IFERROR(__xludf.DUMMYFUNCTION("GOOGLETRANSLATE(B7, ""en"", ""ta"")"),"வாடிக்கையாளரை அழைத்துச் செல்லுங்கள்")</f>
        <v>வாடிக்கையாளரை அழைத்துச் செல்லுங்கள்</v>
      </c>
      <c r="D7" s="6" t="str">
        <f>IFERROR(__xludf.DUMMYFUNCTION("GOOGLETRANSLATE(B7, ""en"", ""hi"")"),"ग्राहक को ले आओ")</f>
        <v>ग्राहक को ले आओ</v>
      </c>
      <c r="E7" s="6" t="str">
        <f>IFERROR(__xludf.DUMMYFUNCTION("GOOGLETRANSLATE(B7, ""en"", ""kn"")"),"ಗ್ರಾಹಕರನ್ನು ಕರೆದುಕೊಂಡು ಹೋಗಿ")</f>
        <v>ಗ್ರಾಹಕರನ್ನು ಕರೆದುಕೊಂಡು ಹೋಗಿ</v>
      </c>
      <c r="F7" s="7" t="str">
        <f>IFERROR(__xludf.DUMMYFUNCTION("GOOGLETRANSLATE(B7, ""en"", ""ml"")"),"ഉപഭോക്താവിനെ എടുക്കുക")</f>
        <v>ഉപഭോക്താവിനെ എടുക്കുക</v>
      </c>
      <c r="G7" s="7" t="str">
        <f>IFERROR(__xludf.DUMMYFUNCTION("GOOGLETRANSLATE(B7, ""en"", ""te"")"),"కస్టమర్‌ను పికప్ చేయండి")</f>
        <v>కస్టమర్‌ను పికప్ చేయండి</v>
      </c>
    </row>
    <row r="8">
      <c r="A8" s="4" t="s">
        <v>19</v>
      </c>
      <c r="B8" s="5" t="s">
        <v>20</v>
      </c>
      <c r="C8" s="6" t="str">
        <f>IFERROR(__xludf.DUMMYFUNCTION("GOOGLETRANSLATE(B8, ""en"", ""ta"")"),"வாடிக்கையாளரை சரியான நேரத்தில் அழைத்துச் செல்லுங்கள். பயன்பாட்டில் சேருமிட இருப்பிடத்தை அமைத்து, பயன்பாட்டு வழிசெலுத்தலைத் தொடங்கவும்.")</f>
        <v>வாடிக்கையாளரை சரியான நேரத்தில் அழைத்துச் செல்லுங்கள். பயன்பாட்டில் சேருமிட இருப்பிடத்தை அமைத்து, பயன்பாட்டு வழிசெலுத்தலைத் தொடங்கவும்.</v>
      </c>
      <c r="D8" s="6" t="str">
        <f>IFERROR(__xludf.DUMMYFUNCTION("GOOGLETRANSLATE(B8, ""en"", ""hi"")"),"ग्राहक को समय पर पिकअप करें। ऐप में गंतव्य स्थान सेट करें और ऐप नेविगेशन शुरू करें।")</f>
        <v>ग्राहक को समय पर पिकअप करें। ऐप में गंतव्य स्थान सेट करें और ऐप नेविगेशन शुरू करें।</v>
      </c>
      <c r="E8" s="6" t="str">
        <f>IFERROR(__xludf.DUMMYFUNCTION("GOOGLETRANSLATE(B8, ""en"", ""kn"")"),"ಗ್ರಾಹಕರನ್ನು ಸಮಯಕ್ಕೆ ಸರಿಯಾಗಿ ಕರೆದುಕೊಂಡು ಹೋಗಿ. ಆ್ಯಪ್‌ನಲ್ಲಿ ಗಮ್ಯಸ್ಥಾನದ ಸ್ಥಳವನ್ನು ಹೊಂದಿಸಿ ಮತ್ತು ಆ್ಯಪ್ ನ್ಯಾವಿಗೇಷನ್ ಪ್ರಾರಂಭಿಸಿ.")</f>
        <v>ಗ್ರಾಹಕರನ್ನು ಸಮಯಕ್ಕೆ ಸರಿಯಾಗಿ ಕರೆದುಕೊಂಡು ಹೋಗಿ. ಆ್ಯಪ್‌ನಲ್ಲಿ ಗಮ್ಯಸ್ಥಾನದ ಸ್ಥಳವನ್ನು ಹೊಂದಿಸಿ ಮತ್ತು ಆ್ಯಪ್ ನ್ಯಾವಿಗೇಷನ್ ಪ್ರಾರಂಭಿಸಿ.</v>
      </c>
      <c r="F8" s="7" t="str">
        <f>IFERROR(__xludf.DUMMYFUNCTION("GOOGLETRANSLATE(B8, ""en"", ""ml"")"),"കൃത്യസമയത്ത് ഉപഭോക്താവിനെ എത്തിക്കുക. ആപ്പിൽ ലക്ഷ്യസ്ഥാനം സജ്ജീകരിച്ച് ആപ്പ് നാവിഗേഷൻ ആരംഭിക്കുക.")</f>
        <v>കൃത്യസമയത്ത് ഉപഭോക്താവിനെ എത്തിക്കുക. ആപ്പിൽ ലക്ഷ്യസ്ഥാനം സജ്ജീകരിച്ച് ആപ്പ് നാവിഗേഷൻ ആരംഭിക്കുക.</v>
      </c>
      <c r="G8" s="7" t="str">
        <f>IFERROR(__xludf.DUMMYFUNCTION("GOOGLETRANSLATE(B8, ""en"", ""te"")"),"కస్టమర్‌ను సమయానికి పికప్ చేసుకోండి. యాప్‌లో గమ్యస్థాన స్థానాన్ని సెట్ చేసి, యాప్ నావిగేషన్‌ను ప్రారంభించండి.")</f>
        <v>కస్టమర్‌ను సమయానికి పికప్ చేసుకోండి. యాప్‌లో గమ్యస్థాన స్థానాన్ని సెట్ చేసి, యాప్ నావిగేషన్‌ను ప్రారంభించండి.</v>
      </c>
    </row>
    <row r="9">
      <c r="A9" s="4" t="s">
        <v>21</v>
      </c>
      <c r="B9" s="5" t="s">
        <v>22</v>
      </c>
      <c r="C9" s="6" t="str">
        <f>IFERROR(__xludf.DUMMYFUNCTION("GOOGLETRANSLATE(B9, ""en"", ""ta"")"),"மதிப்புரைகள் முக்கியம்")</f>
        <v>மதிப்புரைகள் முக்கியம்</v>
      </c>
      <c r="D9" s="6" t="str">
        <f>IFERROR(__xludf.DUMMYFUNCTION("GOOGLETRANSLATE(B9, ""en"", ""hi"")"),"समीक्षाएँ महत्वपूर्ण हैं")</f>
        <v>समीक्षाएँ महत्वपूर्ण हैं</v>
      </c>
      <c r="E9" s="6" t="str">
        <f>IFERROR(__xludf.DUMMYFUNCTION("GOOGLETRANSLATE(B9, ""en"", ""kn"")"),"ವಿಮರ್ಶೆಗಳು ಮುಖ್ಯ")</f>
        <v>ವಿಮರ್ಶೆಗಳು ಮುಖ್ಯ</v>
      </c>
      <c r="F9" s="7" t="str">
        <f>IFERROR(__xludf.DUMMYFUNCTION("GOOGLETRANSLATE(B9, ""en"", ""ml"")"),"അവലോകനങ്ങൾ പ്രധാനമാണ്")</f>
        <v>അവലോകനങ്ങൾ പ്രധാനമാണ്</v>
      </c>
      <c r="G9" s="7" t="str">
        <f>IFERROR(__xludf.DUMMYFUNCTION("GOOGLETRANSLATE(B9, ""en"", ""te"")"),"సమీక్షలు ముఖ్యమైనవి")</f>
        <v>సమీక్షలు ముఖ్యమైనవి</v>
      </c>
    </row>
    <row r="10">
      <c r="A10" s="4" t="s">
        <v>23</v>
      </c>
      <c r="B10" s="5" t="s">
        <v>24</v>
      </c>
      <c r="C10" s="6" t="str">
        <f>IFERROR(__xludf.DUMMYFUNCTION("GOOGLETRANSLATE(B10, ""en"", ""ta"")"),"தெரிவுநிலை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f>
        <v>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v>
      </c>
      <c r="D10" s="6" t="str">
        <f>IFERROR(__xludf.DUMMYFUNCTION("GOOGLETRANSLATE(B10, ""en"", ""hi"")"),"ग्राहकों से अच्छी समीक्षाएँ प्राप्त करने का प्रयास करें, इससे दृश्यता और प्रतिबद्धता बढ़ सकती है। ग्राहक आपके व्यवहार, शुल्क और वाहन की स्वच्छता का मूल्यांकन करेंगे।")</f>
        <v>ग्राहकों से अच्छी समीक्षाएँ प्राप्त करने का प्रयास करें, इससे दृश्यता और प्रतिबद्धता बढ़ सकती है। ग्राहक आपके व्यवहार, शुल्क और वाहन की स्वच्छता का मूल्यांकन करेंगे।</v>
      </c>
      <c r="E10" s="6" t="str">
        <f>IFERROR(__xludf.DUMMYFUNCTION("GOOGLETRANSLATE(B10, ""en"", ""kn"")"),"ಗ್ರಾಹಕರಿಂದ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f>
        <v>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v>
      </c>
      <c r="F10" s="7" t="str">
        <f>IFERROR(__xludf.DUMMYFUNCTION("GOOGLETRANSLATE(B10, ""en"", ""ml"")"),"ദൃശ്യപരതയും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f>
        <v>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v>
      </c>
      <c r="G10" s="7" t="str">
        <f>IFERROR(__xludf.DUMMYFUNCTION("GOOGLETRANSLATE(B10, ""en"", ""te"")"),"దృశ్యమానత మరియు నిబద్ధతను పెంచగల కస్టమర్ నుండి మంచి సమీక్షలను పొందడానికి ప్రయత్నించండి. కస్టమర్ మీ ప్రవర్తన, సుంకం మరియు వాహనం యొక్క శుభ్రతను అంచనా వేస్తారు.")</f>
        <v>దృశ్యమానత మరియు నిబద్ధతను పెంచగల కస్టమర్ నుండి మంచి సమీక్షలను పొందడానికి ప్రయత్నించండి. కస్టమర్ మీ ప్రవర్తన, సుంకం మరియు వాహనం యొక్క శుభ్రతను అంచనా వేస్తారు.</v>
      </c>
    </row>
    <row r="11">
      <c r="A11" s="4" t="s">
        <v>25</v>
      </c>
      <c r="B11" s="5" t="s">
        <v>26</v>
      </c>
      <c r="C11" s="6" t="str">
        <f>IFERROR(__xludf.DUMMYFUNCTION("GOOGLETRANSLATE(B11, ""en"", ""ta"")"),"எங்கள் வாடிக்கையாளர்கள் அழைக்கும்போது அவர்களை அடையாளம் கண்டு, அவர்களுடன் பணிவாகப் பேசுங்கள்.")</f>
        <v>எங்கள் வாடிக்கையாளர்கள் அழைக்கும்போது அவர்களை அடையாளம் கண்டு, அவர்களுடன் பணிவாகப் பேசுங்கள்.</v>
      </c>
      <c r="D11" s="6" t="str">
        <f>IFERROR(__xludf.DUMMYFUNCTION("GOOGLETRANSLATE(B11, ""en"", ""hi"")"),"हमारे ग्राहकों की पहचान करें जब वे कॉल करें और उनसे विनम्रतापूर्वक बात करें")</f>
        <v>हमारे ग्राहकों की पहचान करें जब वे कॉल करें और उनसे विनम्रतापूर्वक बात करें</v>
      </c>
      <c r="E11" s="6" t="str">
        <f>IFERROR(__xludf.DUMMYFUNCTION("GOOGLETRANSLATE(B11, ""en"", ""kn"")"),"ನಮ್ಮ ಗ್ರಾಹಕರು ಕರೆ ಮಾಡುವಾಗ ಅವರನ್ನು ಗುರುತಿಸಿ ಮತ್ತು ಅವರೊಂದಿಗೆ ಸೌಜನ್ಯದಿಂದ ಮಾತನಾಡಿ.")</f>
        <v>ನಮ್ಮ ಗ್ರಾಹಕರು ಕರೆ ಮಾಡುವಾಗ ಅವರನ್ನು ಗುರುತಿಸಿ ಮತ್ತು ಅವರೊಂದಿಗೆ ಸೌಜನ್ಯದಿಂದ ಮಾತನಾಡಿ.</v>
      </c>
      <c r="F11" s="7" t="str">
        <f>IFERROR(__xludf.DUMMYFUNCTION("GOOGLETRANSLATE(B11, ""en"", ""ml"")"),"ഞങ്ങളുടെ ഉപഭോക്താക്കൾ വിളിക്കുമ്പോൾ അവരെ തിരിച്ചറിയുകയും അവരോട് മാന്യമായി സംസാരിക്കുകയും ചെയ്യുക.")</f>
        <v>ഞങ്ങളുടെ ഉപഭോക്താക്കൾ വിളിക്കുമ്പോൾ അവരെ തിരിച്ചറിയുകയും അവരോട് മാന്യമായി സംസാരിക്കുകയും ചെയ്യുക.</v>
      </c>
      <c r="G11" s="7" t="str">
        <f>IFERROR(__xludf.DUMMYFUNCTION("GOOGLETRANSLATE(B11, ""en"", ""te"")"),"మా కస్టమర్లు కాల్ చేసినప్పుడు వారిని గుర్తించండి మరియు వారితో మర్యాదగా మాట్లాడండి.")</f>
        <v>మా కస్టమర్లు కాల్ చేసినప్పుడు వారిని గుర్తించండి మరియు వారితో మర్యాదగా మాట్లాడండి.</v>
      </c>
    </row>
    <row r="12">
      <c r="A12" s="4" t="s">
        <v>27</v>
      </c>
      <c r="B12" s="5" t="s">
        <v>28</v>
      </c>
      <c r="C12" s="6" t="str">
        <f>IFERROR(__xludf.DUMMYFUNCTION("GOOGLETRANSLATE(B12, ""en"", ""ta"")"),"பயணத்தைத் தொடங்குவதற்கு அல்லது ரத்து செய்வதற்கு முன் வாடிக்கையாளரை அழைக்கவும்.")</f>
        <v>பயணத்தைத் தொடங்குவதற்கு அல்லது ரத்து செய்வதற்கு முன் வாடிக்கையாளரை அழைக்கவும்.</v>
      </c>
      <c r="D12" s="6" t="str">
        <f>IFERROR(__xludf.DUMMYFUNCTION("GOOGLETRANSLATE(B12, ""en"", ""hi"")"),"यात्रा शुरू करने या रद्द करने से पहले ग्राहक को कॉल करें")</f>
        <v>यात्रा शुरू करने या रद्द करने से पहले ग्राहक को कॉल करें</v>
      </c>
      <c r="E12" s="6" t="str">
        <f>IFERROR(__xludf.DUMMYFUNCTION("GOOGLETRANSLATE(B12, ""en"", ""kn"")"),"ಪ್ರಯಾಣವನ್ನು ಪ್ರಾರಂಭಿಸುವ ಅಥವಾ ರದ್ದುಗೊಳಿಸುವ ಮೊದಲು ಗ್ರಾಹಕರಿಗೆ ಕರೆ ಮಾಡಿ")</f>
        <v>ಪ್ರಯಾಣವನ್ನು ಪ್ರಾರಂಭಿಸುವ ಅಥವಾ ರದ್ದುಗೊಳಿಸುವ ಮೊದಲು ಗ್ರಾಹಕರಿಗೆ ಕರೆ ಮಾಡಿ</v>
      </c>
      <c r="F12" s="7" t="str">
        <f>IFERROR(__xludf.DUMMYFUNCTION("GOOGLETRANSLATE(B12, ""en"", ""ml"")"),"യാത്ര ആരംഭിക്കുന്നതിനോ റദ്ദാക്കുന്നതിനോ മുമ്പ് ഉപഭോക്താവിനെ വിളിക്കുക.")</f>
        <v>യാത്ര ആരംഭിക്കുന്നതിനോ റദ്ദാക്കുന്നതിനോ മുമ്പ് ഉപഭോക്താവിനെ വിളിക്കുക.</v>
      </c>
      <c r="G12" s="7" t="str">
        <f>IFERROR(__xludf.DUMMYFUNCTION("GOOGLETRANSLATE(B12, ""en"", ""te"")"),"ట్రిప్ ప్రారంభించడానికి లేదా రద్దు చేయడానికి ముందు కస్టమర్‌కు కాల్ చేయండి")</f>
        <v>ట్రిప్ ప్రారంభించడానికి లేదా రద్దు చేయడానికి ముందు కస్టమర్‌కు కాల్ చేయండి</v>
      </c>
    </row>
    <row r="13">
      <c r="A13" s="4" t="s">
        <v>29</v>
      </c>
      <c r="B13" s="5" t="s">
        <v>30</v>
      </c>
      <c r="C13" s="6" t="str">
        <f>IFERROR(__xludf.DUMMYFUNCTION("GOOGLETRANSLATE(B13, ""en"", ""ta"")"),"பயணத்திற்கான நியாயமான விலையைக் கேட்டு, உங்கள் வாடிக்கையாளர்களுக்கு விருப்பமான ஓட்டுநராகுங்கள், விருப்பமான ஓட்டுநருக்கு மற்றவர்களை விட அதிக முன்னுரிமை உண்டு.")</f>
        <v>பயணத்திற்கான நியாயமான விலையைக் கேட்டு, உங்கள் வாடிக்கையாளர்களுக்கு விருப்பமான ஓட்டுநராகுங்கள், விருப்பமான ஓட்டுநருக்கு மற்றவர்களை விட அதிக முன்னுரிமை உண்டு.</v>
      </c>
      <c r="D13" s="6" t="str">
        <f>IFERROR(__xludf.DUMMYFUNCTION("GOOGLETRANSLATE(B13, ""en"", ""hi"")"),"यात्रा के लिए उचित मूल्य पूछें और अपने ग्राहकों के पसंदीदा ड्राइवर बनें। पसंदीदा ड्राइवर को अन्य ड्राइवरों की तुलना में अधिक प्राथमिकता मिलती है।")</f>
        <v>यात्रा के लिए उचित मूल्य पूछें और अपने ग्राहकों के पसंदीदा ड्राइवर बनें। पसंदीदा ड्राइवर को अन्य ड्राइवरों की तुलना में अधिक प्राथमिकता मिलती है।</v>
      </c>
      <c r="E13" s="6" t="str">
        <f>IFERROR(__xludf.DUMMYFUNCTION("GOOGLETRANSLATE(B13, ""en"", ""kn"")"),"ಪ್ರಯಾಣಕ್ಕೆ ಸಮಂಜಸವಾದ ಬೆಲೆಯನ್ನು ಕೇಳಿ ಮತ್ತು ನಿಮ್ಮ ಗ್ರಾಹಕರಿಗೆ ಆದ್ಯತೆಯ ಚಾಲಕರಾಗಿ, ಆದ್ಯತೆಯ ಚಾಲಕರು ಇತರರಿಗಿಂತ ಹೆಚ್ಚಿನ ಆದ್ಯತೆಯನ್ನು ಹೊಂದಿರುತ್ತಾರೆ.")</f>
        <v>ಪ್ರಯಾಣಕ್ಕೆ ಸಮಂಜಸವಾದ ಬೆಲೆಯನ್ನು ಕೇಳಿ ಮತ್ತು ನಿಮ್ಮ ಗ್ರಾಹಕರಿಗೆ ಆದ್ಯತೆಯ ಚಾಲಕರಾಗಿ, ಆದ್ಯತೆಯ ಚಾಲಕರು ಇತರರಿಗಿಂತ ಹೆಚ್ಚಿನ ಆದ್ಯತೆಯನ್ನು ಹೊಂದಿರುತ್ತಾರೆ.</v>
      </c>
      <c r="F13" s="7" t="str">
        <f>IFERROR(__xludf.DUMMYFUNCTION("GOOGLETRANSLATE(B13, ""en"", ""ml"")"),"യാത്രയ്ക്ക് ന്യായമായ വില ചോദിച്ച് നിങ്ങളുടെ ഉപഭോക്താക്കൾക്ക് ഇഷ്ടപ്പെട്ട ഡ്രൈവർ ആകുക, ഇഷ്ടപ്പെട്ട ഡ്രൈവർമാർക്ക് മറ്റുള്ളവരേക്കാൾ മുൻഗണന ലഭിക്കും.")</f>
        <v>യാത്രയ്ക്ക് ന്യായമായ വില ചോദിച്ച് നിങ്ങളുടെ ഉപഭോക്താക്കൾക്ക് ഇഷ്ടപ്പെട്ട ഡ്രൈവർ ആകുക, ഇഷ്ടപ്പെട്ട ഡ്രൈവർമാർക്ക് മറ്റുള്ളവരേക്കാൾ മുൻഗണന ലഭിക്കും.</v>
      </c>
      <c r="G13" s="7" t="str">
        <f>IFERROR(__xludf.DUMMYFUNCTION("GOOGLETRANSLATE(B13, ""en"", ""te"")"),"ట్రిప్ కి సరసమైన ధర అడగండి మరియు మీ కస్టమర్లకు ఇష్టపడే డ్రైవర్ అవ్వండి, ఇష్టపడే డ్రైవర్ కు ఇతరులకన్నా ఎక్కువ ప్రాధాన్యత ఉంటుంది.")</f>
        <v>ట్రిప్ కి సరసమైన ధర అడగండి మరియు మీ కస్టమర్లకు ఇష్టపడే డ్రైవర్ అవ్వండి, ఇష్టపడే డ్రైవర్ కు ఇతరులకన్నా ఎక్కువ ప్రాధాన్యత ఉంటుంది.</v>
      </c>
    </row>
    <row r="14">
      <c r="A14" s="4" t="s">
        <v>31</v>
      </c>
      <c r="B14" s="5" t="s">
        <v>32</v>
      </c>
      <c r="C14" s="6" t="str">
        <f>IFERROR(__xludf.DUMMYFUNCTION("GOOGLETRANSLATE(B14, ""en"", ""ta"")"),"மதிப்பீடுகள் அதிக அர்ப்பணிப்புக்கு முக்கியமாகும். நல்ல மதிப்பீட்டைப் பெறுவதை உறுதிப்படுத்திக் கொள்ளுங்கள்.")</f>
        <v>மதிப்பீடுகள் அதிக அர்ப்பணிப்புக்கு முக்கியமாகும். நல்ல மதிப்பீட்டைப் பெறுவதை உறுதிப்படுத்திக் கொள்ளுங்கள்.</v>
      </c>
      <c r="D14" s="6" t="str">
        <f>IFERROR(__xludf.DUMMYFUNCTION("GOOGLETRANSLATE(B14, ""en"", ""hi"")"),"रेटिंग ही प्रतिबद्धता बढ़ाने की कुंजी है। सुनिश्चित करें कि आपको अच्छी रेटिंग मिले।")</f>
        <v>रेटिंग ही प्रतिबद्धता बढ़ाने की कुंजी है। सुनिश्चित करें कि आपको अच्छी रेटिंग मिले।</v>
      </c>
      <c r="E14" s="6" t="str">
        <f>IFERROR(__xludf.DUMMYFUNCTION("GOOGLETRANSLATE(B14, ""en"", ""kn"")"),"ಹೆಚ್ಚಿನ ಬದ್ಧತೆಗೆ ರೇಟಿಂಗ್‌ಗಳು ಪ್ರಮುಖವಾಗಿವೆ. ನೀವು ಉತ್ತಮ ರೇಟಿಂಗ್ ಪಡೆಯುವುದನ್ನು ಖಚಿತಪಡಿಸಿಕೊಳ್ಳಿ.")</f>
        <v>ಹೆಚ್ಚಿನ ಬದ್ಧತೆಗೆ ರೇಟಿಂಗ್‌ಗಳು ಪ್ರಮುಖವಾಗಿವೆ. ನೀವು ಉತ್ತಮ ರೇಟಿಂಗ್ ಪಡೆಯುವುದನ್ನು ಖಚಿತಪಡಿಸಿಕೊಳ್ಳಿ.</v>
      </c>
      <c r="F14" s="7" t="str">
        <f>IFERROR(__xludf.DUMMYFUNCTION("GOOGLETRANSLATE(B14, ""en"", ""ml"")"),"കൂടുതൽ പ്രതിബദ്ധതയ്ക്കുള്ള താക്കോലാണ് റേറ്റിംഗുകൾ. നിങ്ങൾക്ക് നല്ല റേറ്റിംഗ് ലഭിക്കുന്നുണ്ടെന്ന് ഉറപ്പാക്കുക.")</f>
        <v>കൂടുതൽ പ്രതിബദ്ധതയ്ക്കുള്ള താക്കോലാണ് റേറ്റിംഗുകൾ. നിങ്ങൾക്ക് നല്ല റേറ്റിംഗ് ലഭിക്കുന്നുണ്ടെന്ന് ഉറപ്പാക്കുക.</v>
      </c>
      <c r="G14" s="7" t="str">
        <f>IFERROR(__xludf.DUMMYFUNCTION("GOOGLETRANSLATE(B14, ""en"", ""te"")"),"మరింత నిబద్ధతకు రేటింగ్‌లు కీలకం. మీరు మంచి రేటింగ్ పొందారని నిర్ధారించుకోండి.")</f>
        <v>మరింత నిబద్ధతకు రేటింగ్‌లు కీలకం. మీరు మంచి రేటింగ్ పొందారని నిర్ధారించుకోండి.</v>
      </c>
    </row>
    <row r="15">
      <c r="A15" s="4" t="s">
        <v>33</v>
      </c>
      <c r="B15" s="5" t="s">
        <v>34</v>
      </c>
      <c r="C15" s="6" t="str">
        <f>IFERROR(__xludf.DUMMYFUNCTION("GOOGLETRANSLATE(B15, ""en"", ""ta"")"),"தெரிந்து கொள்ள வேண்டிய விஷயங்கள்")</f>
        <v>தெரிந்து கொள்ள வேண்டிய விஷயங்கள்</v>
      </c>
      <c r="D15" s="6" t="str">
        <f>IFERROR(__xludf.DUMMYFUNCTION("GOOGLETRANSLATE(B15, ""en"", ""hi"")"),"जानने योग्य बातें")</f>
        <v>जानने योग्य बातें</v>
      </c>
      <c r="E15" s="6" t="str">
        <f>IFERROR(__xludf.DUMMYFUNCTION("GOOGLETRANSLATE(B15, ""en"", ""kn"")"),"ತಿಳಿದುಕೊಳ್ಳಬೇಕಾದ ವಿಷಯಗಳು")</f>
        <v>ತಿಳಿದುಕೊಳ್ಳಬೇಕಾದ ವಿಷಯಗಳು</v>
      </c>
      <c r="F15" s="7" t="str">
        <f>IFERROR(__xludf.DUMMYFUNCTION("GOOGLETRANSLATE(B15, ""en"", ""ml"")"),"അറിയേണ്ട കാര്യങ്ങൾ")</f>
        <v>അറിയേണ്ട കാര്യങ്ങൾ</v>
      </c>
      <c r="G15" s="7" t="str">
        <f>IFERROR(__xludf.DUMMYFUNCTION("GOOGLETRANSLATE(B15, ""en"", ""te"")"),"తెలుసుకోవలసిన విషయాలు")</f>
        <v>తెలుసుకోవలసిన విషయాలు</v>
      </c>
    </row>
    <row r="16">
      <c r="A16" s="4" t="s">
        <v>35</v>
      </c>
      <c r="B16" s="5" t="s">
        <v>36</v>
      </c>
      <c r="C16" s="6" t="str">
        <f>IFERROR(__xludf.DUMMYFUNCTION("GOOGLETRANSLATE(B16, ""en"", ""ta"")"),"கீழே தொடங்கு என்பதைத் தட்டுவதன் மூலம், நம்ம ஊரு டாக்ஸியை நீங்கள் ஒப்புக்கொள்வீர்கள்.")</f>
        <v>கீழே தொடங்கு என்பதைத் தட்டுவதன் மூலம், நம்ம ஊரு டாக்ஸியை நீங்கள் ஒப்புக்கொள்வீர்கள்.</v>
      </c>
      <c r="D16" s="6" t="str">
        <f>IFERROR(__xludf.DUMMYFUNCTION("GOOGLETRANSLATE(B16, ""en"", ""hi"")"),"नीचे दिए गए ""शुरू करें"" पर टैप करके, आप Namma Ooru Taxi से जुड़ने के लिए सहमत होंगे।")</f>
        <v>नीचे दिए गए "शुरू करें" पर टैप करके, आप Namma Ooru Taxi से जुड़ने के लिए सहमत होंगे।</v>
      </c>
      <c r="E16" s="6" t="str">
        <f>IFERROR(__xludf.DUMMYFUNCTION("GOOGLETRANSLATE(B16, ""en"", ""kn"")"),"ಕೆಳಗೆ ಪ್ರಾರಂಭಿಸಿ ಟ್ಯಾಪ್ ಮಾಡುವ ಮೂಲಕ, ನೀವು ನಮ್ಮ ಊರು ಟ್ಯಾಕ್ಸಿಗೆ ಒಪ್ಪುತ್ತೀರಿ.")</f>
        <v>ಕೆಳಗೆ ಪ್ರಾರಂಭಿಸಿ ಟ್ಯಾಪ್ ಮಾಡುವ ಮೂಲಕ, ನೀವು ನಮ್ಮ ಊರು ಟ್ಯಾಕ್ಸಿಗೆ ಒಪ್ಪುತ್ತೀರಿ.</v>
      </c>
      <c r="F16" s="7" t="str">
        <f>IFERROR(__xludf.DUMMYFUNCTION("GOOGLETRANSLATE(B16, ""en"", ""ml"")"),"താഴെ 'ആരംഭിക്കുക' ടാപ്പ് ചെയ്യുന്നതിലൂടെ, നമ്മ ഊരു ടാക്സി നിങ്ങൾക്ക് സ്വീകാര്യമാകും.")</f>
        <v>താഴെ 'ആരംഭിക്കുക' ടാപ്പ് ചെയ്യുന്നതിലൂടെ, നമ്മ ഊരു ടാക്സി നിങ്ങൾക്ക് സ്വീകാര്യമാകും.</v>
      </c>
      <c r="G16" s="7" t="str">
        <f>IFERROR(__xludf.DUMMYFUNCTION("GOOGLETRANSLATE(B16, ""en"", ""te"")"),"కింద ప్రారంభించండి నొక్కడం ద్వారా, మీరు నమ్మ ఊరు టాక్సీకి అంగీకరిస్తారు.")</f>
        <v>కింద ప్రారంభించండి నొక్కడం ద్వారా, మీరు నమ్మ ఊరు టాక్సీకి అంగీకరిస్తారు.</v>
      </c>
    </row>
    <row r="17">
      <c r="A17" s="4" t="s">
        <v>37</v>
      </c>
      <c r="B17" s="5" t="s">
        <v>38</v>
      </c>
      <c r="C17" s="6" t="str">
        <f>IFERROR(__xludf.DUMMYFUNCTION("GOOGLETRANSLATE(B17, ""en"", ""ta"")"),"தனியுரிமைக் கொள்கை &amp; பொறுப்புத் துறப்பு")</f>
        <v>தனியுரிமைக் கொள்கை &amp; பொறுப்புத் துறப்பு</v>
      </c>
      <c r="D17" s="6" t="str">
        <f>IFERROR(__xludf.DUMMYFUNCTION("GOOGLETRANSLATE(B17, ""en"", ""hi"")"),"गोपनीयता नीति एवं अस्वीकरण")</f>
        <v>गोपनीयता नीति एवं अस्वीकरण</v>
      </c>
      <c r="E17" s="6" t="str">
        <f>IFERROR(__xludf.DUMMYFUNCTION("GOOGLETRANSLATE(B17, ""en"", ""kn"")"),"ಗೌಪ್ಯತಾ ನೀತಿ ಮತ್ತು ಹಕ್ಕು ನಿರಾಕರಣೆ")</f>
        <v>ಗೌಪ್ಯತಾ ನೀತಿ ಮತ್ತು ಹಕ್ಕು ನಿರಾಕರಣೆ</v>
      </c>
      <c r="F17" s="7" t="str">
        <f>IFERROR(__xludf.DUMMYFUNCTION("GOOGLETRANSLATE(B17, ""en"", ""ml"")"),"സ്വകാര്യതാ നയവും നിരാകരണവും")</f>
        <v>സ്വകാര്യതാ നയവും നിരാകരണവും</v>
      </c>
      <c r="G17" s="7" t="str">
        <f>IFERROR(__xludf.DUMMYFUNCTION("GOOGLETRANSLATE(B17, ""en"", ""te"")"),"గోప్యతా విధానం &amp; నిరాకరణ")</f>
        <v>గోప్యతా విధానం &amp; నిరాకరణ</v>
      </c>
    </row>
    <row r="18">
      <c r="A18" s="4" t="s">
        <v>39</v>
      </c>
      <c r="B18" s="5" t="s">
        <v>40</v>
      </c>
      <c r="C18" s="6" t="str">
        <f>IFERROR(__xludf.DUMMYFUNCTION("GOOGLETRANSLATE(B18, ""en"", ""ta"")"),"விதிமுறைகள் மற்றும் நிபந்தனைகளை ஏற்றுக்கொள்ளுங்கள்.")</f>
        <v>விதிமுறைகள் மற்றும் நிபந்தனைகளை ஏற்றுக்கொள்ளுங்கள்.</v>
      </c>
      <c r="D18" s="6" t="str">
        <f>IFERROR(__xludf.DUMMYFUNCTION("GOOGLETRANSLATE(B18, ""en"", ""hi"")"),"कृपया नियम और शर्तें स्वीकार करें")</f>
        <v>कृपया नियम और शर्तें स्वीकार करें</v>
      </c>
      <c r="E18" s="6" t="str">
        <f>IFERROR(__xludf.DUMMYFUNCTION("GOOGLETRANSLATE(B18, ""en"", ""kn"")"),"ದಯವಿಟ್ಟು ನಿಯಮಗಳು ಮತ್ತು ಷರತ್ತುಗಳನ್ನು ಒಪ್ಪಿಕೊಳ್ಳಿ.")</f>
        <v>ದಯವಿಟ್ಟು ನಿಯಮಗಳು ಮತ್ತು ಷರತ್ತುಗಳನ್ನು ಒಪ್ಪಿಕೊಳ್ಳಿ.</v>
      </c>
      <c r="F18" s="7" t="str">
        <f>IFERROR(__xludf.DUMMYFUNCTION("GOOGLETRANSLATE(B18, ""en"", ""ml"")"),"ദയവായി നിബന്ധനകളും വ്യവസ്ഥകളും അംഗീകരിക്കുക.")</f>
        <v>ദയവായി നിബന്ധനകളും വ്യവസ്ഥകളും അംഗീകരിക്കുക.</v>
      </c>
      <c r="G18" s="7" t="str">
        <f>IFERROR(__xludf.DUMMYFUNCTION("GOOGLETRANSLATE(B18, ""en"", ""te"")"),"దయచేసి నిబంధనలు మరియు షరతులను అంగీకరించండి.")</f>
        <v>దయచేసి నిబంధనలు మరియు షరతులను అంగీకరించండి.</v>
      </c>
    </row>
    <row r="19">
      <c r="A19" s="4" t="s">
        <v>41</v>
      </c>
      <c r="B19" s="5" t="s">
        <v>42</v>
      </c>
      <c r="C19" s="6" t="str">
        <f>IFERROR(__xludf.DUMMYFUNCTION("GOOGLETRANSLATE(B19, ""en"", ""ta"")"),"பெயரை உள்ளிடவும்")</f>
        <v>பெயரை உள்ளிடவும்</v>
      </c>
      <c r="D19" s="6" t="str">
        <f>IFERROR(__xludf.DUMMYFUNCTION("GOOGLETRANSLATE(B19, ""en"", ""hi"")"),"कृपया नाम दर्ज करें")</f>
        <v>कृपया नाम दर्ज करें</v>
      </c>
      <c r="E19" s="6" t="str">
        <f>IFERROR(__xludf.DUMMYFUNCTION("GOOGLETRANSLATE(B19, ""en"", ""kn"")"),"ದಯವಿಟ್ಟು ಹೆಸರನ್ನು ನಮೂದಿಸಿ")</f>
        <v>ದಯವಿಟ್ಟು ಹೆಸರನ್ನು ನಮೂದಿಸಿ</v>
      </c>
      <c r="F19" s="7" t="str">
        <f>IFERROR(__xludf.DUMMYFUNCTION("GOOGLETRANSLATE(B19, ""en"", ""ml"")"),"ദയവായി പേര് നൽകുക")</f>
        <v>ദയവായി പേര് നൽകുക</v>
      </c>
      <c r="G19" s="7" t="str">
        <f>IFERROR(__xludf.DUMMYFUNCTION("GOOGLETRANSLATE(B19, ""en"", ""te"")"),"దయచేసి పేరు నమోదు చేయండి")</f>
        <v>దయచేసి పేరు నమోదు చేయండి</v>
      </c>
    </row>
    <row r="20">
      <c r="A20" s="4" t="s">
        <v>43</v>
      </c>
      <c r="B20" s="5" t="s">
        <v>44</v>
      </c>
      <c r="C20" s="6" t="str">
        <f>IFERROR(__xludf.DUMMYFUNCTION("GOOGLETRANSLATE(B20, ""en"", ""ta"")"),"தொலைபேசி எண்ணை உள்ளிடவும்")</f>
        <v>தொலைபேசி எண்ணை உள்ளிடவும்</v>
      </c>
      <c r="D20" s="6" t="str">
        <f>IFERROR(__xludf.DUMMYFUNCTION("GOOGLETRANSLATE(B20, ""en"", ""hi"")"),"कृपया फ़ोन नंबर दर्ज करें")</f>
        <v>कृपया फ़ोन नंबर दर्ज करें</v>
      </c>
      <c r="E20" s="6" t="str">
        <f>IFERROR(__xludf.DUMMYFUNCTION("GOOGLETRANSLATE(B20, ""en"", ""kn"")"),"ದಯವಿಟ್ಟು ಫೋನ್ ನಮೂದಿಸಿ")</f>
        <v>ದಯವಿಟ್ಟು ಫೋನ್ ನಮೂದಿಸಿ</v>
      </c>
      <c r="F20" s="7" t="str">
        <f>IFERROR(__xludf.DUMMYFUNCTION("GOOGLETRANSLATE(B20, ""en"", ""ml"")"),"ദയവായി ഫോൺ നമ്പർ നൽകുക")</f>
        <v>ദയവായി ഫോൺ നമ്പർ നൽകുക</v>
      </c>
      <c r="G20" s="7" t="str">
        <f>IFERROR(__xludf.DUMMYFUNCTION("GOOGLETRANSLATE(B20, ""en"", ""te"")"),"దయచేసి ఫోన్ నంబర్ నమోదు చేయండి")</f>
        <v>దయచేసి ఫోన్ నంబర్ నమోదు చేయండి</v>
      </c>
    </row>
    <row r="21">
      <c r="A21" s="4" t="s">
        <v>45</v>
      </c>
      <c r="B21" s="5" t="s">
        <v>46</v>
      </c>
      <c r="C21" s="6" t="str">
        <f>IFERROR(__xludf.DUMMYFUNCTION("GOOGLETRANSLATE(B21, ""en"", ""ta"")"),"தொலைபேசி எண் 10 இலக்கங்களாக இருக்க வேண்டும்.")</f>
        <v>தொலைபேசி எண் 10 இலக்கங்களாக இருக்க வேண்டும்.</v>
      </c>
      <c r="D21" s="6" t="str">
        <f>IFERROR(__xludf.DUMMYFUNCTION("GOOGLETRANSLATE(B21, ""en"", ""hi"")"),"फ़ोन नंबर 10 अंकों का होना चाहिए")</f>
        <v>फ़ोन नंबर 10 अंकों का होना चाहिए</v>
      </c>
      <c r="E21" s="6" t="str">
        <f>IFERROR(__xludf.DUMMYFUNCTION("GOOGLETRANSLATE(B21, ""en"", ""kn"")"),"ಫೋನ್ ಸಂಖ್ಯೆ 10 ಅಂಕೆಗಳಾಗಿರಬೇಕು.")</f>
        <v>ಫೋನ್ ಸಂಖ್ಯೆ 10 ಅಂಕೆಗಳಾಗಿರಬೇಕು.</v>
      </c>
      <c r="F21" s="7" t="str">
        <f>IFERROR(__xludf.DUMMYFUNCTION("GOOGLETRANSLATE(B21, ""en"", ""ml"")"),"ഫോൺ നമ്പർ 10 അക്കങ്ങൾ ആയിരിക്കണം.")</f>
        <v>ഫോൺ നമ്പർ 10 അക്കങ്ങൾ ആയിരിക്കണം.</v>
      </c>
      <c r="G21" s="7" t="str">
        <f>IFERROR(__xludf.DUMMYFUNCTION("GOOGLETRANSLATE(B21, ""en"", ""te"")"),"ఫోన్ నంబర్ తప్పనిసరిగా 10 అంకెలు ఉండాలి")</f>
        <v>ఫోన్ నంబర్ తప్పనిసరిగా 10 అంకెలు ఉండాలి</v>
      </c>
    </row>
    <row r="22">
      <c r="A22" s="4" t="s">
        <v>47</v>
      </c>
      <c r="B22" s="5" t="s">
        <v>48</v>
      </c>
      <c r="C22" s="6" t="str">
        <f>IFERROR(__xludf.DUMMYFUNCTION("GOOGLETRANSLATE(B22, ""en"", ""ta"")"),"தயவுசெய்து ஆதார் எண்ணை உள்ளிடவும்.")</f>
        <v>தயவுசெய்து ஆதார் எண்ணை உள்ளிடவும்.</v>
      </c>
      <c r="D22" s="6" t="str">
        <f>IFERROR(__xludf.DUMMYFUNCTION("GOOGLETRANSLATE(B22, ""en"", ""hi"")"),"कृपया आधार नंबर दर्ज करें")</f>
        <v>कृपया आधार नंबर दर्ज करें</v>
      </c>
      <c r="E22" s="6" t="str">
        <f>IFERROR(__xludf.DUMMYFUNCTION("GOOGLETRANSLATE(B22, ""en"", ""kn"")"),"ದಯವಿಟ್ಟು ಆಧಾರ್ ಸಂಖ್ಯೆಯನ್ನು ನಮೂದಿಸಿ.")</f>
        <v>ದಯವಿಟ್ಟು ಆಧಾರ್ ಸಂಖ್ಯೆಯನ್ನು ನಮೂದಿಸಿ.</v>
      </c>
      <c r="F22" s="7" t="str">
        <f>IFERROR(__xludf.DUMMYFUNCTION("GOOGLETRANSLATE(B22, ""en"", ""ml"")"),"ദയവായി ആധാർ നമ്പർ നൽകുക")</f>
        <v>ദയവായി ആധാർ നമ്പർ നൽകുക</v>
      </c>
      <c r="G22" s="7" t="str">
        <f>IFERROR(__xludf.DUMMYFUNCTION("GOOGLETRANSLATE(B22, ""en"", ""te"")"),"దయచేసి ఆధార్ నంబర్ నమోదు చేయండి")</f>
        <v>దయచేసి ఆధార్ నంబర్ నమోదు చేయండి</v>
      </c>
    </row>
    <row r="23">
      <c r="A23" s="4" t="s">
        <v>49</v>
      </c>
      <c r="B23" s="5" t="s">
        <v>50</v>
      </c>
      <c r="C23" s="6" t="str">
        <f>IFERROR(__xludf.DUMMYFUNCTION("GOOGLETRANSLATE(B23, ""en"", ""ta"")"),"தயவுசெய்து செல்லுபடியாகும் ஆதாரை உள்ளிடவும்.")</f>
        <v>தயவுசெய்து செல்லுபடியாகும் ஆதாரை உள்ளிடவும்.</v>
      </c>
      <c r="D23" s="6" t="str">
        <f>IFERROR(__xludf.DUMMYFUNCTION("GOOGLETRANSLATE(B23, ""en"", ""hi"")"),"कृपया वैध आधार कार्ड दर्ज करें")</f>
        <v>कृपया वैध आधार कार्ड दर्ज करें</v>
      </c>
      <c r="E23" s="6" t="str">
        <f>IFERROR(__xludf.DUMMYFUNCTION("GOOGLETRANSLATE(B23, ""en"", ""kn"")"),"ದಯವಿಟ್ಟು ಮಾನ್ಯವಾದ ಆಧಾರ್ ಅನ್ನು ನಮೂದಿಸಿ.")</f>
        <v>ದಯವಿಟ್ಟು ಮಾನ್ಯವಾದ ಆಧಾರ್ ಅನ್ನು ನಮೂದಿಸಿ.</v>
      </c>
      <c r="F23" s="7" t="str">
        <f>IFERROR(__xludf.DUMMYFUNCTION("GOOGLETRANSLATE(B23, ""en"", ""ml"")"),"ദയവായി സാധുവായ ഒരു ആധാർ നൽകുക.")</f>
        <v>ദയവായി സാധുവായ ഒരു ആധാർ നൽകുക.</v>
      </c>
      <c r="G23" s="7" t="str">
        <f>IFERROR(__xludf.DUMMYFUNCTION("GOOGLETRANSLATE(B23, ""en"", ""te"")"),"దయచేసి చెల్లుబాటు అయ్యే ఆధార్‌ను నమోదు చేయండి.")</f>
        <v>దయచేసి చెల్లుబాటు అయ్యే ఆధార్‌ను నమోదు చేయండి.</v>
      </c>
    </row>
    <row r="24">
      <c r="A24" s="4" t="s">
        <v>51</v>
      </c>
      <c r="B24" s="5" t="s">
        <v>52</v>
      </c>
      <c r="C24" s="6" t="str">
        <f>IFERROR(__xludf.DUMMYFUNCTION("GOOGLETRANSLATE(B24, ""en"", ""ta"")"),"தயவுசெய்து PAN எண்ணை உள்ளிடவும்.")</f>
        <v>தயவுசெய்து PAN எண்ணை உள்ளிடவும்.</v>
      </c>
      <c r="D24" s="6" t="str">
        <f>IFERROR(__xludf.DUMMYFUNCTION("GOOGLETRANSLATE(B24, ""en"", ""hi"")"),"कृपया पैन नंबर दर्ज करें")</f>
        <v>कृपया पैन नंबर दर्ज करें</v>
      </c>
      <c r="E24" s="6" t="str">
        <f>IFERROR(__xludf.DUMMYFUNCTION("GOOGLETRANSLATE(B24, ""en"", ""kn"")"),"ದಯವಿಟ್ಟು ಪ್ಯಾನ್ ಸಂಖ್ಯೆಯನ್ನು ನಮೂದಿಸಿ")</f>
        <v>ದಯವಿಟ್ಟು ಪ್ಯಾನ್ ಸಂಖ್ಯೆಯನ್ನು ನಮೂದಿಸಿ</v>
      </c>
      <c r="F24" s="7" t="str">
        <f>IFERROR(__xludf.DUMMYFUNCTION("GOOGLETRANSLATE(B24, ""en"", ""ml"")"),"ദയവായി പാൻ നമ്പർ നൽകുക")</f>
        <v>ദയവായി പാൻ നമ്പർ നൽകുക</v>
      </c>
      <c r="G24" s="7" t="str">
        <f>IFERROR(__xludf.DUMMYFUNCTION("GOOGLETRANSLATE(B24, ""en"", ""te"")"),"దయచేసి పాన్ నంబర్ నమోదు చేయండి")</f>
        <v>దయచేసి పాన్ నంబర్ నమోదు చేయండి</v>
      </c>
    </row>
    <row r="25">
      <c r="A25" s="4" t="s">
        <v>53</v>
      </c>
      <c r="B25" s="5" t="s">
        <v>54</v>
      </c>
      <c r="C25" s="6" t="str">
        <f>IFERROR(__xludf.DUMMYFUNCTION("GOOGLETRANSLATE(B25, ""en"", ""ta"")"),"தயவுசெய்து செல்லுபடியாகும் PAN எண்ணை உள்ளிடவும்.")</f>
        <v>தயவுசெய்து செல்லுபடியாகும் PAN எண்ணை உள்ளிடவும்.</v>
      </c>
      <c r="D25" s="6" t="str">
        <f>IFERROR(__xludf.DUMMYFUNCTION("GOOGLETRANSLATE(B25, ""en"", ""hi"")"),"कृपया वैध पैन नंबर दर्ज करें")</f>
        <v>कृपया वैध पैन नंबर दर्ज करें</v>
      </c>
      <c r="E25" s="6" t="str">
        <f>IFERROR(__xludf.DUMMYFUNCTION("GOOGLETRANSLATE(B25, ""en"", ""kn"")"),"ದಯವಿಟ್ಟು ಮಾನ್ಯವಾದ ಪ್ಯಾನ್ ಸಂಖ್ಯೆಯನ್ನು ನಮೂದಿಸಿ.")</f>
        <v>ದಯವಿಟ್ಟು ಮಾನ್ಯವಾದ ಪ್ಯಾನ್ ಸಂಖ್ಯೆಯನ್ನು ನಮೂದಿಸಿ.</v>
      </c>
      <c r="F25" s="7" t="str">
        <f>IFERROR(__xludf.DUMMYFUNCTION("GOOGLETRANSLATE(B25, ""en"", ""ml"")"),"ദയവായി സാധുവായ ഒരു പാൻ നമ്പർ നൽകുക.")</f>
        <v>ദയവായി സാധുവായ ഒരു പാൻ നമ്പർ നൽകുക.</v>
      </c>
      <c r="G25" s="7" t="str">
        <f>IFERROR(__xludf.DUMMYFUNCTION("GOOGLETRANSLATE(B25, ""en"", ""te"")"),"దయచేసి చెల్లుబాటు అయ్యే PAN నంబర్‌ను నమోదు చేయండి.")</f>
        <v>దయచేసి చెల్లుబాటు అయ్యే PAN నంబర్‌ను నమోదు చేయండి.</v>
      </c>
    </row>
    <row r="26">
      <c r="A26" s="4" t="s">
        <v>55</v>
      </c>
      <c r="B26" s="5" t="s">
        <v>56</v>
      </c>
      <c r="C26" s="6" t="str">
        <f>IFERROR(__xludf.DUMMYFUNCTION("GOOGLETRANSLATE(B26, ""en"", ""ta"")"),"உரிம எண்ணை உள்ளிடவும்.")</f>
        <v>உரிம எண்ணை உள்ளிடவும்.</v>
      </c>
      <c r="D26" s="6" t="str">
        <f>IFERROR(__xludf.DUMMYFUNCTION("GOOGLETRANSLATE(B26, ""en"", ""hi"")"),"कृपया लाइसेंस नंबर दर्ज करें")</f>
        <v>कृपया लाइसेंस नंबर दर्ज करें</v>
      </c>
      <c r="E26" s="6" t="str">
        <f>IFERROR(__xludf.DUMMYFUNCTION("GOOGLETRANSLATE(B26, ""en"", ""kn"")"),"ದಯವಿಟ್ಟು ಪರವಾನಗಿ ಸಂಖ್ಯೆಯನ್ನು ನಮೂದಿಸಿ")</f>
        <v>ದಯವಿಟ್ಟು ಪರವಾನಗಿ ಸಂಖ್ಯೆಯನ್ನು ನಮೂದಿಸಿ</v>
      </c>
      <c r="F26" s="7" t="str">
        <f>IFERROR(__xludf.DUMMYFUNCTION("GOOGLETRANSLATE(B26, ""en"", ""ml"")"),"ദയവായി ലൈസൻസ് നമ്പർ നൽകുക")</f>
        <v>ദയവായി ലൈസൻസ് നമ്പർ നൽകുക</v>
      </c>
      <c r="G26" s="7" t="str">
        <f>IFERROR(__xludf.DUMMYFUNCTION("GOOGLETRANSLATE(B26, ""en"", ""te"")"),"దయచేసి లైసెన్స్ నంబర్‌ను నమోదు చేయండి.")</f>
        <v>దయచేసి లైసెన్స్ నంబర్‌ను నమోదు చేయండి.</v>
      </c>
    </row>
    <row r="27">
      <c r="A27" s="4" t="s">
        <v>57</v>
      </c>
      <c r="B27" s="5" t="s">
        <v>58</v>
      </c>
      <c r="C27" s="6" t="str">
        <f>IFERROR(__xludf.DUMMYFUNCTION("GOOGLETRANSLATE(B27, ""en"", ""ta"")"),"தயவுசெய்து செல்லுபடியாகும் உரிம எண்ணை உள்ளிடவும் (TN01 20110012345)")</f>
        <v>தயவுசெய்து செல்லுபடியாகும் உரிம எண்ணை உள்ளிடவும் (TN01 20110012345)</v>
      </c>
      <c r="D27" s="6" t="str">
        <f>IFERROR(__xludf.DUMMYFUNCTION("GOOGLETRANSLATE(B27, ""en"", ""hi"")"),"कृपया वैध लाइसेंस नंबर दर्ज करें (TN01 20110012345)")</f>
        <v>कृपया वैध लाइसेंस नंबर दर्ज करें (TN01 20110012345)</v>
      </c>
      <c r="E27" s="6" t="str">
        <f>IFERROR(__xludf.DUMMYFUNCTION("GOOGLETRANSLATE(B27, ""en"", ""kn"")"),"ದಯವಿಟ್ಟು ಮಾನ್ಯವಾದ ಪರವಾನಗಿ ಸಂಖ್ಯೆಯನ್ನು ನಮೂದಿಸಿ (TN01 20110012345)")</f>
        <v>ದಯವಿಟ್ಟು ಮಾನ್ಯವಾದ ಪರವಾನಗಿ ಸಂಖ್ಯೆಯನ್ನು ನಮೂದಿಸಿ (TN01 20110012345)</v>
      </c>
      <c r="F27" s="7" t="str">
        <f>IFERROR(__xludf.DUMMYFUNCTION("GOOGLETRANSLATE(B27, ""en"", ""ml"")"),"ദയവായി സാധുവായ ഒരു ലൈസൻസ് നമ്പർ നൽകുക (TN01 20110012345)")</f>
        <v>ദയവായി സാധുവായ ഒരു ലൈസൻസ് നമ്പർ നൽകുക (TN01 20110012345)</v>
      </c>
      <c r="G27" s="7" t="str">
        <f>IFERROR(__xludf.DUMMYFUNCTION("GOOGLETRANSLATE(B27, ""en"", ""te"")"),"దయచేసి చెల్లుబాటు అయ్యే లైసెన్స్ నంబర్ (TN01 20110012345) నమోదు చేయండి.")</f>
        <v>దయచేసి చెల్లుబాటు అయ్యే లైసెన్స్ నంబర్ (TN01 20110012345) నమోదు చేయండి.</v>
      </c>
    </row>
    <row r="28">
      <c r="A28" s="4" t="s">
        <v>59</v>
      </c>
      <c r="B28" s="5" t="s">
        <v>60</v>
      </c>
      <c r="C28" s="6" t="str">
        <f>IFERROR(__xludf.DUMMYFUNCTION("GOOGLETRANSLATE(B28, ""en"", ""ta"")"),"தயவுசெய்து டிரைவர் இருப்பிடத்தை உள்ளிடவும்.")</f>
        <v>தயவுசெய்து டிரைவர் இருப்பிடத்தை உள்ளிடவும்.</v>
      </c>
      <c r="D28" s="6" t="str">
        <f>IFERROR(__xludf.DUMMYFUNCTION("GOOGLETRANSLATE(B28, ""en"", ""hi"")"),"कृपया ड्राइवर का स्थान दर्ज करें")</f>
        <v>कृपया ड्राइवर का स्थान दर्ज करें</v>
      </c>
      <c r="E28" s="6" t="str">
        <f>IFERROR(__xludf.DUMMYFUNCTION("GOOGLETRANSLATE(B28, ""en"", ""kn"")"),"ದಯವಿಟ್ಟು ಚಾಲಕ ಸ್ಥಳವನ್ನು ನಮೂದಿಸಿ")</f>
        <v>ದಯವಿಟ್ಟು ಚಾಲಕ ಸ್ಥಳವನ್ನು ನಮೂದಿಸಿ</v>
      </c>
      <c r="F28" s="7" t="str">
        <f>IFERROR(__xludf.DUMMYFUNCTION("GOOGLETRANSLATE(B28, ""en"", ""ml"")"),"ദയവായി ഡ്രൈവർ ലൊക്കേഷൻ നൽകുക")</f>
        <v>ദയവായി ഡ്രൈവർ ലൊക്കേഷൻ നൽകുക</v>
      </c>
      <c r="G28" s="7" t="str">
        <f>IFERROR(__xludf.DUMMYFUNCTION("GOOGLETRANSLATE(B28, ""en"", ""te"")"),"దయచేసి డ్రైవర్ స్థానాన్ని నమోదు చేయండి")</f>
        <v>దయచేసి డ్రైవర్ స్థానాన్ని నమోదు చేయండి</v>
      </c>
    </row>
    <row r="29">
      <c r="A29" s="4" t="s">
        <v>61</v>
      </c>
      <c r="B29" s="5" t="s">
        <v>62</v>
      </c>
      <c r="C29" s="6" t="str">
        <f>IFERROR(__xludf.DUMMYFUNCTION("GOOGLETRANSLATE(B29, ""en"", ""ta"")"),"இருப்பிட அனுமதி மறுக்கப்பட்டது")</f>
        <v>இருப்பிட அனுமதி மறுக்கப்பட்டது</v>
      </c>
      <c r="D29" s="6" t="str">
        <f>IFERROR(__xludf.DUMMYFUNCTION("GOOGLETRANSLATE(B29, ""en"", ""hi"")"),"स्थान की अनुमति अस्वीकृत")</f>
        <v>स्थान की अनुमति अस्वीकृत</v>
      </c>
      <c r="E29" s="6" t="str">
        <f>IFERROR(__xludf.DUMMYFUNCTION("GOOGLETRANSLATE(B29, ""en"", ""kn"")"),"ಸ್ಥಳ ಅನುಮತಿ ನಿರಾಕರಿಸಲಾಗಿದೆ")</f>
        <v>ಸ್ಥಳ ಅನುಮತಿ ನಿರಾಕರಿಸಲಾಗಿದೆ</v>
      </c>
      <c r="F29" s="7" t="str">
        <f>IFERROR(__xludf.DUMMYFUNCTION("GOOGLETRANSLATE(B29, ""en"", ""ml"")"),"ലൊക്കേഷൻ അനുമതി നിരസിച്ചു")</f>
        <v>ലൊക്കേഷൻ അനുമതി നിരസിച്ചു</v>
      </c>
      <c r="G29" s="7" t="str">
        <f>IFERROR(__xludf.DUMMYFUNCTION("GOOGLETRANSLATE(B29, ""en"", ""te"")"),"స్థాన అనుమతి నిరాకరించబడింది")</f>
        <v>స్థాన అనుమతి నిరాకరించబడింది</v>
      </c>
    </row>
    <row r="30">
      <c r="A30" s="4" t="s">
        <v>63</v>
      </c>
      <c r="B30" s="5" t="s">
        <v>64</v>
      </c>
      <c r="C30" s="6" t="str">
        <f>IFERROR(__xludf.DUMMYFUNCTION("GOOGLETRANSLATE(B30, ""en"", ""ta"")"),"இருப்பிட அனுமதியை வழங்கு")</f>
        <v>இருப்பிட அனுமதியை வழங்கு</v>
      </c>
      <c r="D30" s="6" t="str">
        <f>IFERROR(__xludf.DUMMYFUNCTION("GOOGLETRANSLATE(B30, ""en"", ""hi"")"),"स्थान की अनुमति प्रदान करें")</f>
        <v>स्थान की अनुमति प्रदान करें</v>
      </c>
      <c r="E30" s="6" t="str">
        <f>IFERROR(__xludf.DUMMYFUNCTION("GOOGLETRANSLATE(B30, ""en"", ""kn"")"),"ಸ್ಥಳ ಅನುಮತಿ ನೀಡಿ")</f>
        <v>ಸ್ಥಳ ಅನುಮತಿ ನೀಡಿ</v>
      </c>
      <c r="F30" s="7" t="str">
        <f>IFERROR(__xludf.DUMMYFUNCTION("GOOGLETRANSLATE(B30, ""en"", ""ml"")"),"ലൊക്കേഷൻ അനുമതി നൽകുക")</f>
        <v>ലൊക്കേഷൻ അനുമതി നൽകുക</v>
      </c>
      <c r="G30" s="7" t="str">
        <f>IFERROR(__xludf.DUMMYFUNCTION("GOOGLETRANSLATE(B30, ""en"", ""te"")"),"స్థాన అనుమతిని మంజూరు చేయండి")</f>
        <v>స్థాన అనుమతిని మంజూరు చేయండి</v>
      </c>
    </row>
    <row r="31">
      <c r="A31" s="4" t="s">
        <v>65</v>
      </c>
      <c r="B31" s="5" t="s">
        <v>66</v>
      </c>
      <c r="C31" s="6" t="str">
        <f>IFERROR(__xludf.DUMMYFUNCTION("GOOGLETRANSLATE(B31, ""en"", ""ta"")"),"அனுமதி")</f>
        <v>அனுமதி</v>
      </c>
      <c r="D31" s="6" t="str">
        <f>IFERROR(__xludf.DUMMYFUNCTION("GOOGLETRANSLATE(B31, ""en"", ""hi"")"),"अनुमति दें")</f>
        <v>अनुमति दें</v>
      </c>
      <c r="E31" s="6" t="str">
        <f>IFERROR(__xludf.DUMMYFUNCTION("GOOGLETRANSLATE(B31, ""en"", ""kn"")"),"ಅನುಮತಿಸಿ")</f>
        <v>ಅನುಮತಿಸಿ</v>
      </c>
      <c r="F31" s="7" t="str">
        <f>IFERROR(__xludf.DUMMYFUNCTION("GOOGLETRANSLATE(B31, ""en"", ""ml"")"),"അനുവദിക്കുക")</f>
        <v>അനുവദിക്കുക</v>
      </c>
      <c r="G31" s="7" t="str">
        <f>IFERROR(__xludf.DUMMYFUNCTION("GOOGLETRANSLATE(B31, ""en"", ""te"")"),"అనుమతించు")</f>
        <v>అనుమతించు</v>
      </c>
    </row>
    <row r="32">
      <c r="A32" s="4" t="s">
        <v>67</v>
      </c>
      <c r="B32" s="5" t="s">
        <v>68</v>
      </c>
      <c r="C32" s="6" t="str">
        <f>IFERROR(__xludf.DUMMYFUNCTION("GOOGLETRANSLATE(B32, ""en"", ""ta"")"),"ரத்துசெய்")</f>
        <v>ரத்துசெய்</v>
      </c>
      <c r="D32" s="6" t="str">
        <f>IFERROR(__xludf.DUMMYFUNCTION("GOOGLETRANSLATE(B32, ""en"", ""hi"")"),"रद्द करना")</f>
        <v>रद्द करना</v>
      </c>
      <c r="E32" s="6" t="str">
        <f>IFERROR(__xludf.DUMMYFUNCTION("GOOGLETRANSLATE(B32, ""en"", ""kn"")"),"ರದ್ದುಮಾಡಿ")</f>
        <v>ರದ್ದುಮಾಡಿ</v>
      </c>
      <c r="F32" s="7" t="str">
        <f>IFERROR(__xludf.DUMMYFUNCTION("GOOGLETRANSLATE(B32, ""en"", ""ml"")"),"റദ്ദാക്കുക")</f>
        <v>റദ്ദാക്കുക</v>
      </c>
      <c r="G32" s="7" t="str">
        <f>IFERROR(__xludf.DUMMYFUNCTION("GOOGLETRANSLATE(B32, ""en"", ""te"")"),"రద్దు చేయి")</f>
        <v>రద్దు చేయి</v>
      </c>
    </row>
    <row r="33">
      <c r="A33" s="4" t="s">
        <v>69</v>
      </c>
      <c r="B33" s="5" t="s">
        <v>70</v>
      </c>
      <c r="C33" s="6" t="str">
        <f>IFERROR(__xludf.DUMMYFUNCTION("GOOGLETRANSLATE(B33, ""en"", ""ta"")"),"இருப்பிட அணுகலைத் தொடர அனுமதிக்கவும்.
உங்கள் இருப்பிடம் தொடர எங்களுக்குத் தேவை.")</f>
        <v>இருப்பிட அணுகலைத் தொடர அனுமதிக்கவும்.
உங்கள் இருப்பிடம் தொடர எங்களுக்குத் தேவை.</v>
      </c>
      <c r="D33" s="6" t="str">
        <f>IFERROR(__xludf.DUMMYFUNCTION("GOOGLETRANSLATE(B33, ""en"", ""hi"")"),"कृपया स्थान की अनुमति दें ताकि प्रक्रिया जारी रह सके।
हमें प्रक्रिया जारी रखने के लिए आपके स्थान की आवश्यकता है।")</f>
        <v>कृपया स्थान की अनुमति दें ताकि प्रक्रिया जारी रह सके।
हमें प्रक्रिया जारी रखने के लिए आपके स्थान की आवश्यकता है।</v>
      </c>
      <c r="E33" s="6" t="str">
        <f>IFERROR(__xludf.DUMMYFUNCTION("GOOGLETRANSLATE(B33, ""en"", ""kn"")"),"ದಯವಿಟ್ಟು ಸ್ಥಳ ಪ್ರವೇಶವನ್ನು ಮುಂದುವರಿಸಲು ಅನುಮತಿಸಿ.
ಮುಂದುವರಿಯಲು ನಮಗೆ ನಿಮ್ಮ ಸ್ಥಳದ ಅಗತ್ಯವಿದೆ.")</f>
        <v>ದಯವಿಟ್ಟು ಸ್ಥಳ ಪ್ರವೇಶವನ್ನು ಮುಂದುವರಿಸಲು ಅನುಮತಿಸಿ.
ಮುಂದುವರಿಯಲು ನಮಗೆ ನಿಮ್ಮ ಸ್ಥಳದ ಅಗತ್ಯವಿದೆ.</v>
      </c>
      <c r="F33" s="7" t="str">
        <f>IFERROR(__xludf.DUMMYFUNCTION("GOOGLETRANSLATE(B33, ""en"", ""ml"")"),"ദയവായി ലൊക്കേഷൻ ആക്‌സസ് തുടരാൻ അനുവദിക്കുക.
തുടരാൻ ഞങ്ങൾക്ക് നിങ്ങളുടെ ലൊക്കേഷൻ ആവശ്യമാണ്.")</f>
        <v>ദയവായി ലൊക്കേഷൻ ആക്‌സസ് തുടരാൻ അനുവദിക്കുക.
തുടരാൻ ഞങ്ങൾക്ക് നിങ്ങളുടെ ലൊക്കേഷൻ ആവശ്യമാണ്.</v>
      </c>
      <c r="G33" s="7" t="str">
        <f>IFERROR(__xludf.DUMMYFUNCTION("GOOGLETRANSLATE(B33, ""en"", ""te"")"),"దయచేసి స్థాన ప్రాప్యతను కొనసాగించడానికి అనుమతించండి.
మాకు మీ స్థానం కొనసాగడం అవసరం.")</f>
        <v>దయచేసి స్థాన ప్రాప్యతను కొనసాగించడానికి అనుమతించండి.
మాకు మీ స్థానం కొనసాగడం అవసరం.</v>
      </c>
    </row>
    <row r="34">
      <c r="A34" s="4" t="s">
        <v>71</v>
      </c>
      <c r="B34" s="5" t="s">
        <v>72</v>
      </c>
      <c r="C34" s="6" t="str">
        <f>IFERROR(__xludf.DUMMYFUNCTION("GOOGLETRANSLATE(B34, ""en"", ""ta"")"),"விருப்பமான பணியிடம்")</f>
        <v>விருப்பமான பணியிடம்</v>
      </c>
      <c r="D34" s="6" t="str">
        <f>IFERROR(__xludf.DUMMYFUNCTION("GOOGLETRANSLATE(B34, ""en"", ""hi"")"),"पसंदीदा कार्य स्थान")</f>
        <v>पसंदीदा कार्य स्थान</v>
      </c>
      <c r="E34" s="6" t="str">
        <f>IFERROR(__xludf.DUMMYFUNCTION("GOOGLETRANSLATE(B34, ""en"", ""kn"")"),"ಆದ್ಯತೆಯ ಕೆಲಸದ ಸ್ಥಳ")</f>
        <v>ಆದ್ಯತೆಯ ಕೆಲಸದ ಸ್ಥಳ</v>
      </c>
      <c r="F34" s="7" t="str">
        <f>IFERROR(__xludf.DUMMYFUNCTION("GOOGLETRANSLATE(B34, ""en"", ""ml"")"),"ഇഷ്ടപ്പെട്ട ജോലി സ്ഥലം")</f>
        <v>ഇഷ്ടപ്പെട്ട ജോലി സ്ഥലം</v>
      </c>
      <c r="G34" s="7" t="str">
        <f>IFERROR(__xludf.DUMMYFUNCTION("GOOGLETRANSLATE(B34, ""en"", ""te"")"),"ఇష్టపడే పని స్థానం")</f>
        <v>ఇష్టపడే పని స్థానం</v>
      </c>
    </row>
    <row r="35">
      <c r="A35" s="4" t="s">
        <v>73</v>
      </c>
      <c r="B35" s="5" t="s">
        <v>74</v>
      </c>
      <c r="C35" s="6" t="str">
        <f>IFERROR(__xludf.DUMMYFUNCTION("GOOGLETRANSLATE(B35, ""en"", ""ta"")"),"முழு பெயர்")</f>
        <v>முழு பெயர்</v>
      </c>
      <c r="D35" s="6" t="str">
        <f>IFERROR(__xludf.DUMMYFUNCTION("GOOGLETRANSLATE(B35, ""en"", ""hi"")"),"पूरा नाम")</f>
        <v>पूरा नाम</v>
      </c>
      <c r="E35" s="6" t="str">
        <f>IFERROR(__xludf.DUMMYFUNCTION("GOOGLETRANSLATE(B35, ""en"", ""kn"")"),"ಪೂರ್ಣ ಹೆಸರು")</f>
        <v>ಪೂರ್ಣ ಹೆಸರು</v>
      </c>
      <c r="F35" s="7" t="str">
        <f>IFERROR(__xludf.DUMMYFUNCTION("GOOGLETRANSLATE(B35, ""en"", ""ml"")"),"പൂർണ്ണമായ പേര്")</f>
        <v>പൂർണ്ണമായ പേര്</v>
      </c>
      <c r="G35" s="7" t="str">
        <f>IFERROR(__xludf.DUMMYFUNCTION("GOOGLETRANSLATE(B35, ""en"", ""te"")"),"పూర్తి పేరు")</f>
        <v>పూర్తి పేరు</v>
      </c>
    </row>
    <row r="36">
      <c r="A36" s="4" t="s">
        <v>75</v>
      </c>
      <c r="B36" s="5" t="s">
        <v>76</v>
      </c>
      <c r="C36" s="6" t="str">
        <f>IFERROR(__xludf.DUMMYFUNCTION("GOOGLETRANSLATE(B36, ""en"", ""ta"")"),"தொலைபேசி எண்")</f>
        <v>தொலைபேசி எண்</v>
      </c>
      <c r="D36" s="6" t="str">
        <f>IFERROR(__xludf.DUMMYFUNCTION("GOOGLETRANSLATE(B36, ""en"", ""hi"")"),"फ़ोन नंबर")</f>
        <v>फ़ोन नंबर</v>
      </c>
      <c r="E36" s="6" t="str">
        <f>IFERROR(__xludf.DUMMYFUNCTION("GOOGLETRANSLATE(B36, ""en"", ""kn"")"),"ದೂರವಾಣಿ ಸಂಖ್ಯೆ")</f>
        <v>ದೂರವಾಣಿ ಸಂಖ್ಯೆ</v>
      </c>
      <c r="F36" s="7" t="str">
        <f>IFERROR(__xludf.DUMMYFUNCTION("GOOGLETRANSLATE(B36, ""en"", ""ml"")"),"ഫോൺ നമ്പർ")</f>
        <v>ഫോൺ നമ്പർ</v>
      </c>
      <c r="G36" s="7" t="str">
        <f>IFERROR(__xludf.DUMMYFUNCTION("GOOGLETRANSLATE(B36, ""en"", ""te"")"),"ఫోన్ నంబర్")</f>
        <v>ఫోన్ నంబర్</v>
      </c>
    </row>
    <row r="37">
      <c r="A37" s="4" t="s">
        <v>77</v>
      </c>
      <c r="B37" s="5" t="s">
        <v>78</v>
      </c>
      <c r="C37" s="6" t="str">
        <f>IFERROR(__xludf.DUMMYFUNCTION("GOOGLETRANSLATE(B37, ""en"", ""ta"")"),"ஆதார் எண்")</f>
        <v>ஆதார் எண்</v>
      </c>
      <c r="D37" s="6" t="str">
        <f>IFERROR(__xludf.DUMMYFUNCTION("GOOGLETRANSLATE(B37, ""en"", ""hi"")"),"आधार संख्या")</f>
        <v>आधार संख्या</v>
      </c>
      <c r="E37" s="6" t="str">
        <f>IFERROR(__xludf.DUMMYFUNCTION("GOOGLETRANSLATE(B37, ""en"", ""kn"")"),"ಆಧಾರ್ ಸಂಖ್ಯೆ")</f>
        <v>ಆಧಾರ್ ಸಂಖ್ಯೆ</v>
      </c>
      <c r="F37" s="7" t="str">
        <f>IFERROR(__xludf.DUMMYFUNCTION("GOOGLETRANSLATE(B37, ""en"", ""ml"")"),"ആധാർ നമ്പർ")</f>
        <v>ആധാർ നമ്പർ</v>
      </c>
      <c r="G37" s="7" t="str">
        <f>IFERROR(__xludf.DUMMYFUNCTION("GOOGLETRANSLATE(B37, ""en"", ""te"")"),"ఆధార్ నంబర్")</f>
        <v>ఆధార్ నంబర్</v>
      </c>
    </row>
    <row r="38">
      <c r="A38" s="4" t="s">
        <v>79</v>
      </c>
      <c r="B38" s="5" t="s">
        <v>80</v>
      </c>
      <c r="C38" s="6" t="str">
        <f>IFERROR(__xludf.DUMMYFUNCTION("GOOGLETRANSLATE(B38, ""en"", ""ta"")"),"பான் எண்")</f>
        <v>பான் எண்</v>
      </c>
      <c r="D38" s="6" t="str">
        <f>IFERROR(__xludf.DUMMYFUNCTION("GOOGLETRANSLATE(B38, ""en"", ""hi"")"),"पैन नंबर")</f>
        <v>पैन नंबर</v>
      </c>
      <c r="E38" s="6" t="str">
        <f>IFERROR(__xludf.DUMMYFUNCTION("GOOGLETRANSLATE(B38, ""en"", ""kn"")"),"ಪ್ಯಾನ್ ಸಂಖ್ಯೆ")</f>
        <v>ಪ್ಯಾನ್ ಸಂಖ್ಯೆ</v>
      </c>
      <c r="F38" s="7" t="str">
        <f>IFERROR(__xludf.DUMMYFUNCTION("GOOGLETRANSLATE(B38, ""en"", ""ml"")"),"പാൻ നമ്പർ")</f>
        <v>പാൻ നമ്പർ</v>
      </c>
      <c r="G38" s="7" t="str">
        <f>IFERROR(__xludf.DUMMYFUNCTION("GOOGLETRANSLATE(B38, ""en"", ""te"")"),"పాన్ నంబర్")</f>
        <v>పాన్ నంబర్</v>
      </c>
    </row>
    <row r="39">
      <c r="A39" s="4" t="s">
        <v>81</v>
      </c>
      <c r="B39" s="5" t="s">
        <v>82</v>
      </c>
      <c r="C39" s="6" t="str">
        <f>IFERROR(__xludf.DUMMYFUNCTION("GOOGLETRANSLATE(B39, ""en"", ""ta"")"),"உரிம எண்")</f>
        <v>உரிம எண்</v>
      </c>
      <c r="D39" s="6" t="str">
        <f>IFERROR(__xludf.DUMMYFUNCTION("GOOGLETRANSLATE(B39, ""en"", ""hi"")"),"लाइसेंस संख्या")</f>
        <v>लाइसेंस संख्या</v>
      </c>
      <c r="E39" s="6" t="str">
        <f>IFERROR(__xludf.DUMMYFUNCTION("GOOGLETRANSLATE(B39, ""en"", ""kn"")"),"ಪರವಾನಗಿ ಸಂಖ್ಯೆ")</f>
        <v>ಪರವಾನಗಿ ಸಂಖ್ಯೆ</v>
      </c>
      <c r="F39" s="7" t="str">
        <f>IFERROR(__xludf.DUMMYFUNCTION("GOOGLETRANSLATE(B39, ""en"", ""ml"")"),"ലൈസൻസ് നമ്പർ")</f>
        <v>ലൈസൻസ് നമ്പർ</v>
      </c>
      <c r="G39" s="7" t="str">
        <f>IFERROR(__xludf.DUMMYFUNCTION("GOOGLETRANSLATE(B39, ""en"", ""te"")"),"లైసెన్స్ నంబర్")</f>
        <v>లైసెన్స్ నంబర్</v>
      </c>
    </row>
    <row r="40">
      <c r="A40" s="4" t="s">
        <v>83</v>
      </c>
      <c r="B40" s="5" t="s">
        <v>84</v>
      </c>
      <c r="C40" s="6" t="str">
        <f>IFERROR(__xludf.DUMMYFUNCTION("GOOGLETRANSLATE(B40, ""en"", ""ta"")"),"தயவுசெய்து ஒரு செல்லுபடியாகும் ஆண்டை உள்ளிடவும்.")</f>
        <v>தயவுசெய்து ஒரு செல்லுபடியாகும் ஆண்டை உள்ளிடவும்.</v>
      </c>
      <c r="D40" s="6" t="str">
        <f>IFERROR(__xludf.DUMMYFUNCTION("GOOGLETRANSLATE(B40, ""en"", ""hi"")"),"कृपया एक मान्य वर्ष दर्ज करें")</f>
        <v>कृपया एक मान्य वर्ष दर्ज करें</v>
      </c>
      <c r="E40" s="6" t="str">
        <f>IFERROR(__xludf.DUMMYFUNCTION("GOOGLETRANSLATE(B40, ""en"", ""kn"")"),"ದಯವಿಟ್ಟು ಮಾನ್ಯವಾದ ವರ್ಷವನ್ನು ನಮೂದಿಸಿ.")</f>
        <v>ದಯವಿಟ್ಟು ಮಾನ್ಯವಾದ ವರ್ಷವನ್ನು ನಮೂದಿಸಿ.</v>
      </c>
      <c r="F40" s="7" t="str">
        <f>IFERROR(__xludf.DUMMYFUNCTION("GOOGLETRANSLATE(B40, ""en"", ""ml"")"),"ദയവായി സാധുവായ ഒരു വർഷം നൽകുക.")</f>
        <v>ദയവായി സാധുവായ ഒരു വർഷം നൽകുക.</v>
      </c>
      <c r="G40" s="7" t="str">
        <f>IFERROR(__xludf.DUMMYFUNCTION("GOOGLETRANSLATE(B40, ""en"", ""te"")"),"దయచేసి చెల్లుబాటు అయ్యే సంవత్సరాన్ని నమోదు చేయండి.")</f>
        <v>దయచేసి చెల్లుబాటు అయ్యే సంవత్సరాన్ని నమోదు చేయండి.</v>
      </c>
    </row>
    <row r="41">
      <c r="A41" s="4" t="s">
        <v>85</v>
      </c>
      <c r="B41" s="5" t="s">
        <v>86</v>
      </c>
      <c r="C41" s="6" t="str">
        <f>IFERROR(__xludf.DUMMYFUNCTION("GOOGLETRANSLATE(B41, ""en"", ""ta"")"),"ஆண்டு 1900 மற்றும் 2024 க்கு இடையில் இருக்க வேண்டும்.")</f>
        <v>ஆண்டு 1900 மற்றும் 2024 க்கு இடையில் இருக்க வேண்டும்.</v>
      </c>
      <c r="D41" s="6" t="str">
        <f>IFERROR(__xludf.DUMMYFUNCTION("GOOGLETRANSLATE(B41, ""en"", ""hi"")"),"वर्ष 1900 और 2024 के बीच होना चाहिए।")</f>
        <v>वर्ष 1900 और 2024 के बीच होना चाहिए।</v>
      </c>
      <c r="E41" s="6" t="str">
        <f>IFERROR(__xludf.DUMMYFUNCTION("GOOGLETRANSLATE(B41, ""en"", ""kn"")"),"ವರ್ಷವು 1900 ಮತ್ತು 2024 ರ ನಡುವೆ ಇರಬೇಕು.")</f>
        <v>ವರ್ಷವು 1900 ಮತ್ತು 2024 ರ ನಡುವೆ ಇರಬೇಕು.</v>
      </c>
      <c r="F41" s="7" t="str">
        <f>IFERROR(__xludf.DUMMYFUNCTION("GOOGLETRANSLATE(B41, ""en"", ""ml"")"),"വർഷം 1900 നും 2024 നും ഇടയിലായിരിക്കണം.")</f>
        <v>വർഷം 1900 നും 2024 നും ഇടയിലായിരിക്കണം.</v>
      </c>
      <c r="G41" s="7" t="str">
        <f>IFERROR(__xludf.DUMMYFUNCTION("GOOGLETRANSLATE(B41, ""en"", ""te"")"),"సంవత్సరం 1900 మరియు 2024 మధ్య ఉండాలి.")</f>
        <v>సంవత్సరం 1900 మరియు 2024 మధ్య ఉండాలి.</v>
      </c>
    </row>
    <row r="42">
      <c r="A42" s="4" t="s">
        <v>87</v>
      </c>
      <c r="B42" s="5" t="s">
        <v>88</v>
      </c>
      <c r="C42" s="6" t="str">
        <f>IFERROR(__xludf.DUMMYFUNCTION("GOOGLETRANSLATE(B42, ""en"", ""ta"")"),"பதிவு எண்ணை உள்ளிடவும்.")</f>
        <v>பதிவு எண்ணை உள்ளிடவும்.</v>
      </c>
      <c r="D42" s="6" t="str">
        <f>IFERROR(__xludf.DUMMYFUNCTION("GOOGLETRANSLATE(B42, ""en"", ""hi"")"),"कृपया पंजीकरण संख्या दर्ज करें")</f>
        <v>कृपया पंजीकरण संख्या दर्ज करें</v>
      </c>
      <c r="E42" s="6" t="str">
        <f>IFERROR(__xludf.DUMMYFUNCTION("GOOGLETRANSLATE(B42, ""en"", ""kn"")"),"ದಯವಿಟ್ಟು ನೋಂದಣಿ ಸಂಖ್ಯೆಯನ್ನು ನಮೂದಿಸಿ")</f>
        <v>ದಯವಿಟ್ಟು ನೋಂದಣಿ ಸಂಖ್ಯೆಯನ್ನು ನಮೂದಿಸಿ</v>
      </c>
      <c r="F42" s="7" t="str">
        <f>IFERROR(__xludf.DUMMYFUNCTION("GOOGLETRANSLATE(B42, ""en"", ""ml"")"),"ദയവായി രജിസ്ട്രേഷൻ നമ്പർ നൽകുക")</f>
        <v>ദയവായി രജിസ്ട്രേഷൻ നമ്പർ നൽകുക</v>
      </c>
      <c r="G42" s="7" t="str">
        <f>IFERROR(__xludf.DUMMYFUNCTION("GOOGLETRANSLATE(B42, ""en"", ""te"")"),"దయచేసి రిజిస్ట్రేషన్ నంబర్ నమోదు చేయండి")</f>
        <v>దయచేసి రిజిస్ట్రేషన్ నంబర్ నమోదు చేయండి</v>
      </c>
    </row>
    <row r="43">
      <c r="A43" s="4" t="s">
        <v>89</v>
      </c>
      <c r="B43" s="5" t="s">
        <v>90</v>
      </c>
      <c r="C43" s="6" t="str">
        <f>IFERROR(__xludf.DUMMYFUNCTION("GOOGLETRANSLATE(B43, ""en"", ""ta"")"),"தயவுசெய்து செல்லுபடியாகும் வாகனப் பதிவு எண்ணை உள்ளிடவும்.")</f>
        <v>தயவுசெய்து செல்லுபடியாகும் வாகனப் பதிவு எண்ணை உள்ளிடவும்.</v>
      </c>
      <c r="D43" s="6" t="str">
        <f>IFERROR(__xludf.DUMMYFUNCTION("GOOGLETRANSLATE(B43, ""en"", ""hi"")"),"कृपया वैध वाहन पंजीकरण संख्या दर्ज करें")</f>
        <v>कृपया वैध वाहन पंजीकरण संख्या दर्ज करें</v>
      </c>
      <c r="E43" s="6" t="str">
        <f>IFERROR(__xludf.DUMMYFUNCTION("GOOGLETRANSLATE(B43, ""en"", ""kn"")"),"ದಯವಿಟ್ಟು ಮಾನ್ಯವಾದ ವಾಹನ ನೋಂದಣಿ ಸಂಖ್ಯೆಯನ್ನು ನಮೂದಿಸಿ.")</f>
        <v>ದಯವಿಟ್ಟು ಮಾನ್ಯವಾದ ವಾಹನ ನೋಂದಣಿ ಸಂಖ್ಯೆಯನ್ನು ನಮೂದಿಸಿ.</v>
      </c>
      <c r="F43" s="7" t="str">
        <f>IFERROR(__xludf.DUMMYFUNCTION("GOOGLETRANSLATE(B43, ""en"", ""ml"")"),"ദയവായി സാധുവായ ഒരു വാഹന രജിസ്ട്രേഷൻ നമ്പർ നൽകുക.")</f>
        <v>ദയവായി സാധുവായ ഒരു വാഹന രജിസ്ട്രേഷൻ നമ്പർ നൽകുക.</v>
      </c>
      <c r="G43" s="7" t="str">
        <f>IFERROR(__xludf.DUMMYFUNCTION("GOOGLETRANSLATE(B43, ""en"", ""te"")"),"దయచేసి చెల్లుబాటు అయ్యే వాహన రిజిస్ట్రేషన్ నంబర్‌ను నమోదు చేయండి.")</f>
        <v>దయచేసి చెల్లుబాటు అయ్యే వాహన రిజిస్ట్రేషన్ నంబర్‌ను నమోదు చేయండి.</v>
      </c>
    </row>
    <row r="44">
      <c r="A44" s="4" t="s">
        <v>91</v>
      </c>
      <c r="B44" s="5" t="s">
        <v>92</v>
      </c>
      <c r="C44" s="6" t="str">
        <f>IFERROR(__xludf.DUMMYFUNCTION("GOOGLETRANSLATE(B44, ""en"", ""ta"")"),"வாகன பிராண்டை உள்ளிடவும்.")</f>
        <v>வாகன பிராண்டை உள்ளிடவும்.</v>
      </c>
      <c r="D44" s="6" t="str">
        <f>IFERROR(__xludf.DUMMYFUNCTION("GOOGLETRANSLATE(B44, ""en"", ""hi"")"),"कृपया वाहन का ब्रांड दर्ज करें")</f>
        <v>कृपया वाहन का ब्रांड दर्ज करें</v>
      </c>
      <c r="E44" s="6" t="str">
        <f>IFERROR(__xludf.DUMMYFUNCTION("GOOGLETRANSLATE(B44, ""en"", ""kn"")"),"ದಯವಿಟ್ಟು ವಾಹನ ಬ್ರ್ಯಾಂಡ್ ನಮೂದಿಸಿ")</f>
        <v>ದಯವಿಟ್ಟು ವಾಹನ ಬ್ರ್ಯಾಂಡ್ ನಮೂದಿಸಿ</v>
      </c>
      <c r="F44" s="7" t="str">
        <f>IFERROR(__xludf.DUMMYFUNCTION("GOOGLETRANSLATE(B44, ""en"", ""ml"")"),"വാഹന ബ്രാൻഡ് നൽകുക")</f>
        <v>വാഹന ബ്രാൻഡ് നൽകുക</v>
      </c>
      <c r="G44" s="7" t="str">
        <f>IFERROR(__xludf.DUMMYFUNCTION("GOOGLETRANSLATE(B44, ""en"", ""te"")"),"దయచేసి వాహన బ్రాండ్‌ను నమోదు చేయండి")</f>
        <v>దయచేసి వాహన బ్రాండ్‌ను నమోదు చేయండి</v>
      </c>
    </row>
    <row r="45">
      <c r="A45" s="4" t="s">
        <v>93</v>
      </c>
      <c r="B45" s="5" t="s">
        <v>94</v>
      </c>
      <c r="C45" s="6" t="str">
        <f>IFERROR(__xludf.DUMMYFUNCTION("GOOGLETRANSLATE(B45, ""en"", ""ta"")"),"வாகன மாதிரியை உள்ளிடவும்.")</f>
        <v>வாகன மாதிரியை உள்ளிடவும்.</v>
      </c>
      <c r="D45" s="6" t="str">
        <f>IFERROR(__xludf.DUMMYFUNCTION("GOOGLETRANSLATE(B45, ""en"", ""hi"")"),"कृपया वाहन मॉडल दर्ज करें")</f>
        <v>कृपया वाहन मॉडल दर्ज करें</v>
      </c>
      <c r="E45" s="6" t="str">
        <f>IFERROR(__xludf.DUMMYFUNCTION("GOOGLETRANSLATE(B45, ""en"", ""kn"")"),"ದಯವಿಟ್ಟು ವಾಹನ ಮಾದರಿಯನ್ನು ನಮೂದಿಸಿ.")</f>
        <v>ದಯವಿಟ್ಟು ವಾಹನ ಮಾದರಿಯನ್ನು ನಮೂದಿಸಿ.</v>
      </c>
      <c r="F45" s="7" t="str">
        <f>IFERROR(__xludf.DUMMYFUNCTION("GOOGLETRANSLATE(B45, ""en"", ""ml"")"),"ദയവായി വാഹന മോഡൽ നൽകുക.")</f>
        <v>ദയവായി വാഹന മോഡൽ നൽകുക.</v>
      </c>
      <c r="G45" s="7" t="str">
        <f>IFERROR(__xludf.DUMMYFUNCTION("GOOGLETRANSLATE(B45, ""en"", ""te"")"),"దయచేసి వాహన నమూనాను నమోదు చేయండి.")</f>
        <v>దయచేసి వాహన నమూనాను నమోదు చేయండి.</v>
      </c>
    </row>
    <row r="46">
      <c r="A46" s="4" t="s">
        <v>95</v>
      </c>
      <c r="B46" s="5" t="s">
        <v>96</v>
      </c>
      <c r="C46" s="6" t="str">
        <f>IFERROR(__xludf.DUMMYFUNCTION("GOOGLETRANSLATE(B46, ""en"", ""ta"")"),"தயவுசெய்து உற்பத்தி ஆண்டை உள்ளிடவும்.")</f>
        <v>தயவுசெய்து உற்பத்தி ஆண்டை உள்ளிடவும்.</v>
      </c>
      <c r="D46" s="6" t="str">
        <f>IFERROR(__xludf.DUMMYFUNCTION("GOOGLETRANSLATE(B46, ""en"", ""hi"")"),"कृपया निर्माण वर्ष दर्ज करें")</f>
        <v>कृपया निर्माण वर्ष दर्ज करें</v>
      </c>
      <c r="E46" s="6" t="str">
        <f>IFERROR(__xludf.DUMMYFUNCTION("GOOGLETRANSLATE(B46, ""en"", ""kn"")"),"ದಯವಿಟ್ಟು ತಯಾರಿಕಾ ವರ್ಷವನ್ನು ನಮೂದಿಸಿ.")</f>
        <v>ದಯವಿಟ್ಟು ತಯಾರಿಕಾ ವರ್ಷವನ್ನು ನಮೂದಿಸಿ.</v>
      </c>
      <c r="F46" s="7" t="str">
        <f>IFERROR(__xludf.DUMMYFUNCTION("GOOGLETRANSLATE(B46, ""en"", ""ml"")"),"നിർമ്മാണ വർഷം നൽകുക")</f>
        <v>നിർമ്മാണ വർഷം നൽകുക</v>
      </c>
      <c r="G46" s="7" t="str">
        <f>IFERROR(__xludf.DUMMYFUNCTION("GOOGLETRANSLATE(B46, ""en"", ""te"")"),"దయచేసి తయారీ సంవత్సరాన్ని నమోదు చేయండి")</f>
        <v>దయచేసి తయారీ సంవత్సరాన్ని నమోదు చేయండి</v>
      </c>
    </row>
    <row r="47">
      <c r="A47" s="4" t="s">
        <v>97</v>
      </c>
      <c r="B47" s="5" t="s">
        <v>98</v>
      </c>
      <c r="C47" s="6" t="str">
        <f>IFERROR(__xludf.DUMMYFUNCTION("GOOGLETRANSLATE(B47, ""en"", ""ta"")"),"வாகன நிறத்தை உள்ளிடவும்.")</f>
        <v>வாகன நிறத்தை உள்ளிடவும்.</v>
      </c>
      <c r="D47" s="6" t="str">
        <f>IFERROR(__xludf.DUMMYFUNCTION("GOOGLETRANSLATE(B47, ""en"", ""hi"")"),"कृपया वाहन का रंग दर्ज करें")</f>
        <v>कृपया वाहन का रंग दर्ज करें</v>
      </c>
      <c r="E47" s="6" t="str">
        <f>IFERROR(__xludf.DUMMYFUNCTION("GOOGLETRANSLATE(B47, ""en"", ""kn"")"),"ದಯವಿಟ್ಟು ವಾಹನದ ಬಣ್ಣವನ್ನು ನಮೂದಿಸಿ.")</f>
        <v>ದಯವಿಟ್ಟು ವಾಹನದ ಬಣ್ಣವನ್ನು ನಮೂದಿಸಿ.</v>
      </c>
      <c r="F47" s="7" t="str">
        <f>IFERROR(__xludf.DUMMYFUNCTION("GOOGLETRANSLATE(B47, ""en"", ""ml"")"),"വാഹനത്തിന്റെ നിറം നൽകുക.")</f>
        <v>വാഹനത്തിന്റെ നിറം നൽകുക.</v>
      </c>
      <c r="G47" s="7" t="str">
        <f>IFERROR(__xludf.DUMMYFUNCTION("GOOGLETRANSLATE(B47, ""en"", ""te"")"),"దయచేసి వాహనం రంగును నమోదు చేయండి.")</f>
        <v>దయచేసి వాహనం రంగును నమోదు చేయండి.</v>
      </c>
    </row>
    <row r="48">
      <c r="A48" s="4" t="s">
        <v>99</v>
      </c>
      <c r="B48" s="5" t="s">
        <v>100</v>
      </c>
      <c r="C48" s="6" t="str">
        <f>IFERROR(__xludf.DUMMYFUNCTION("GOOGLETRANSLATE(B48, ""en"", ""ta"")"),"எரிபொருள் வகையைத் தேர்ந்தெடுக்கவும்.")</f>
        <v>எரிபொருள் வகையைத் தேர்ந்தெடுக்கவும்.</v>
      </c>
      <c r="D48" s="6" t="str">
        <f>IFERROR(__xludf.DUMMYFUNCTION("GOOGLETRANSLATE(B48, ""en"", ""hi"")"),"कृपया ईंधन का प्रकार चुनें")</f>
        <v>कृपया ईंधन का प्रकार चुनें</v>
      </c>
      <c r="E48" s="6" t="str">
        <f>IFERROR(__xludf.DUMMYFUNCTION("GOOGLETRANSLATE(B48, ""en"", ""kn"")"),"ದಯವಿಟ್ಟು ಇಂಧನ ಪ್ರಕಾರವನ್ನು ಆಯ್ಕೆಮಾಡಿ")</f>
        <v>ದಯವಿಟ್ಟು ಇಂಧನ ಪ್ರಕಾರವನ್ನು ಆಯ್ಕೆಮಾಡಿ</v>
      </c>
      <c r="F48" s="7" t="str">
        <f>IFERROR(__xludf.DUMMYFUNCTION("GOOGLETRANSLATE(B48, ""en"", ""ml"")"),"ദയവായി ഇന്ധന തരം തിരഞ്ഞെടുക്കുക.")</f>
        <v>ദയവായി ഇന്ധന തരം തിരഞ്ഞെടുക്കുക.</v>
      </c>
      <c r="G48" s="7" t="str">
        <f>IFERROR(__xludf.DUMMYFUNCTION("GOOGLETRANSLATE(B48, ""en"", ""te"")"),"దయచేసి ఇంధన రకాన్ని ఎంచుకోండి.")</f>
        <v>దయచేసి ఇంధన రకాన్ని ఎంచుకోండి.</v>
      </c>
    </row>
    <row r="49">
      <c r="A49" s="4" t="s">
        <v>101</v>
      </c>
      <c r="B49" s="5" t="s">
        <v>102</v>
      </c>
      <c r="C49" s="6" t="str">
        <f>IFERROR(__xludf.DUMMYFUNCTION("GOOGLETRANSLATE(B49, ""en"", ""ta"")"),"முதலில் வாகன பிராண்டைத் தேர்ந்தெடுக்கவும்.")</f>
        <v>முதலில் வாகன பிராண்டைத் தேர்ந்தெடுக்கவும்.</v>
      </c>
      <c r="D49" s="6" t="str">
        <f>IFERROR(__xludf.DUMMYFUNCTION("GOOGLETRANSLATE(B49, ""en"", ""hi"")"),"कृपया पहले वाहन का ब्रांड चुनें")</f>
        <v>कृपया पहले वाहन का ब्रांड चुनें</v>
      </c>
      <c r="E49" s="6" t="str">
        <f>IFERROR(__xludf.DUMMYFUNCTION("GOOGLETRANSLATE(B49, ""en"", ""kn"")"),"ದಯವಿಟ್ಟು ಮೊದಲು ವಾಹನ ಬ್ರ್ಯಾಂಡ್ ಆಯ್ಕೆಮಾಡಿ")</f>
        <v>ದಯವಿಟ್ಟು ಮೊದಲು ವಾಹನ ಬ್ರ್ಯಾಂಡ್ ಆಯ್ಕೆಮಾಡಿ</v>
      </c>
      <c r="F49" s="7" t="str">
        <f>IFERROR(__xludf.DUMMYFUNCTION("GOOGLETRANSLATE(B49, ""en"", ""ml"")"),"ആദ്യം വാഹന ബ്രാൻഡ് തിരഞ്ഞെടുക്കുക.")</f>
        <v>ആദ്യം വാഹന ബ്രാൻഡ് തിരഞ്ഞെടുക്കുക.</v>
      </c>
      <c r="G49" s="7" t="str">
        <f>IFERROR(__xludf.DUMMYFUNCTION("GOOGLETRANSLATE(B49, ""en"", ""te"")"),"దయచేసి ముందుగా వాహన బ్రాండ్‌ను ఎంచుకోండి.")</f>
        <v>దయచేసి ముందుగా వాహన బ్రాండ్‌ను ఎంచుకోండి.</v>
      </c>
    </row>
    <row r="50">
      <c r="A50" s="4" t="s">
        <v>103</v>
      </c>
      <c r="B50" s="5" t="s">
        <v>104</v>
      </c>
      <c r="C50" s="6" t="str">
        <f>IFERROR(__xludf.DUMMYFUNCTION("GOOGLETRANSLATE(B50, ""en"", ""ta"")"),"வாகன வகை")</f>
        <v>வாகன வகை</v>
      </c>
      <c r="D50" s="6" t="str">
        <f>IFERROR(__xludf.DUMMYFUNCTION("GOOGLETRANSLATE(B50, ""en"", ""hi"")"),"वाहन का प्रकार")</f>
        <v>वाहन का प्रकार</v>
      </c>
      <c r="E50" s="6" t="str">
        <f>IFERROR(__xludf.DUMMYFUNCTION("GOOGLETRANSLATE(B50, ""en"", ""kn"")"),"ವಾಹನದ ಪ್ರಕಾರ")</f>
        <v>ವಾಹನದ ಪ್ರಕಾರ</v>
      </c>
      <c r="F50" s="7" t="str">
        <f>IFERROR(__xludf.DUMMYFUNCTION("GOOGLETRANSLATE(B50, ""en"", ""ml"")"),"വാഹന തരം")</f>
        <v>വാഹന തരം</v>
      </c>
      <c r="G50" s="7" t="str">
        <f>IFERROR(__xludf.DUMMYFUNCTION("GOOGLETRANSLATE(B50, ""en"", ""te"")"),"వాహన రకం")</f>
        <v>వాహన రకం</v>
      </c>
    </row>
    <row r="51">
      <c r="A51" s="4" t="s">
        <v>105</v>
      </c>
      <c r="B51" s="5" t="s">
        <v>106</v>
      </c>
      <c r="C51" s="6" t="str">
        <f>IFERROR(__xludf.DUMMYFUNCTION("GOOGLETRANSLATE(B51, ""en"", ""ta"")"),"வாகனப் பதிவு எண்")</f>
        <v>வாகனப் பதிவு எண்</v>
      </c>
      <c r="D51" s="6" t="str">
        <f>IFERROR(__xludf.DUMMYFUNCTION("GOOGLETRANSLATE(B51, ""en"", ""hi"")"),"वाहन पंजीकरण संख्या")</f>
        <v>वाहन पंजीकरण संख्या</v>
      </c>
      <c r="E51" s="6" t="str">
        <f>IFERROR(__xludf.DUMMYFUNCTION("GOOGLETRANSLATE(B51, ""en"", ""kn"")"),"ವಾಹನ ನೋಂದಣಿ ಸಂಖ್ಯೆ")</f>
        <v>ವಾಹನ ನೋಂದಣಿ ಸಂಖ್ಯೆ</v>
      </c>
      <c r="F51" s="7" t="str">
        <f>IFERROR(__xludf.DUMMYFUNCTION("GOOGLETRANSLATE(B51, ""en"", ""ml"")"),"വാഹന രജിസ്ട്രേഷൻ നമ്പർ")</f>
        <v>വാഹന രജിസ്ട്രേഷൻ നമ്പർ</v>
      </c>
      <c r="G51" s="7" t="str">
        <f>IFERROR(__xludf.DUMMYFUNCTION("GOOGLETRANSLATE(B51, ""en"", ""te"")"),"వాహన రిజిస్ట్రేషన్ నంబర్")</f>
        <v>వాహన రిజిస్ట్రేషన్ నంబర్</v>
      </c>
    </row>
    <row r="52">
      <c r="A52" s="4" t="s">
        <v>107</v>
      </c>
      <c r="B52" s="5" t="s">
        <v>108</v>
      </c>
      <c r="C52" s="6" t="str">
        <f>IFERROR(__xludf.DUMMYFUNCTION("GOOGLETRANSLATE(B52, ""en"", ""ta"")"),"வாகன பிராண்ட்")</f>
        <v>வாகன பிராண்ட்</v>
      </c>
      <c r="D52" s="6" t="str">
        <f>IFERROR(__xludf.DUMMYFUNCTION("GOOGLETRANSLATE(B52, ""en"", ""hi"")"),"वाहन ब्रांड")</f>
        <v>वाहन ब्रांड</v>
      </c>
      <c r="E52" s="6" t="str">
        <f>IFERROR(__xludf.DUMMYFUNCTION("GOOGLETRANSLATE(B52, ""en"", ""kn"")"),"ವಾಹನ ಬ್ರಾಂಡ್")</f>
        <v>ವಾಹನ ಬ್ರಾಂಡ್</v>
      </c>
      <c r="F52" s="7" t="str">
        <f>IFERROR(__xludf.DUMMYFUNCTION("GOOGLETRANSLATE(B52, ""en"", ""ml"")"),"വാഹന ബ്രാൻഡ്")</f>
        <v>വാഹന ബ്രാൻഡ്</v>
      </c>
      <c r="G52" s="7" t="str">
        <f>IFERROR(__xludf.DUMMYFUNCTION("GOOGLETRANSLATE(B52, ""en"", ""te"")"),"వాహన బ్రాండ్")</f>
        <v>వాహన బ్రాండ్</v>
      </c>
    </row>
    <row r="53">
      <c r="A53" s="4" t="s">
        <v>109</v>
      </c>
      <c r="B53" s="5" t="s">
        <v>110</v>
      </c>
      <c r="C53" s="6" t="str">
        <f>IFERROR(__xludf.DUMMYFUNCTION("GOOGLETRANSLATE(B53, ""en"", ""ta"")"),"வாகன மாதிரி")</f>
        <v>வாகன மாதிரி</v>
      </c>
      <c r="D53" s="6" t="str">
        <f>IFERROR(__xludf.DUMMYFUNCTION("GOOGLETRANSLATE(B53, ""en"", ""hi"")"),"वाहन मॉडल")</f>
        <v>वाहन मॉडल</v>
      </c>
      <c r="E53" s="6" t="str">
        <f>IFERROR(__xludf.DUMMYFUNCTION("GOOGLETRANSLATE(B53, ""en"", ""kn"")"),"ವಾಹನ ಮಾದರಿ")</f>
        <v>ವಾಹನ ಮಾದರಿ</v>
      </c>
      <c r="F53" s="7" t="str">
        <f>IFERROR(__xludf.DUMMYFUNCTION("GOOGLETRANSLATE(B53, ""en"", ""ml"")"),"വാഹന മോഡൽ")</f>
        <v>വാഹന മോഡൽ</v>
      </c>
      <c r="G53" s="7" t="str">
        <f>IFERROR(__xludf.DUMMYFUNCTION("GOOGLETRANSLATE(B53, ""en"", ""te"")"),"వాహన నమూనా")</f>
        <v>వాహన నమూనా</v>
      </c>
    </row>
    <row r="54">
      <c r="A54" s="4" t="s">
        <v>111</v>
      </c>
      <c r="B54" s="5" t="s">
        <v>112</v>
      </c>
      <c r="C54" s="6" t="str">
        <f>IFERROR(__xludf.DUMMYFUNCTION("GOOGLETRANSLATE(B54, ""en"", ""ta"")"),"உற்பத்தி ஆண்டு")</f>
        <v>உற்பத்தி ஆண்டு</v>
      </c>
      <c r="D54" s="6" t="str">
        <f>IFERROR(__xludf.DUMMYFUNCTION("GOOGLETRANSLATE(B54, ""en"", ""hi"")"),"विनिर्माण वर्ष")</f>
        <v>विनिर्माण वर्ष</v>
      </c>
      <c r="E54" s="6" t="str">
        <f>IFERROR(__xludf.DUMMYFUNCTION("GOOGLETRANSLATE(B54, ""en"", ""kn"")"),"ಉತ್ಪಾದನಾ ವರ್ಷ")</f>
        <v>ಉತ್ಪಾದನಾ ವರ್ಷ</v>
      </c>
      <c r="F54" s="7" t="str">
        <f>IFERROR(__xludf.DUMMYFUNCTION("GOOGLETRANSLATE(B54, ""en"", ""ml"")"),"നിർമ്മാണ വർഷം")</f>
        <v>നിർമ്മാണ വർഷം</v>
      </c>
      <c r="G54" s="7" t="str">
        <f>IFERROR(__xludf.DUMMYFUNCTION("GOOGLETRANSLATE(B54, ""en"", ""te"")"),"తయారీ సంవత్సరం")</f>
        <v>తయారీ సంవత్సరం</v>
      </c>
    </row>
    <row r="55">
      <c r="A55" s="4" t="s">
        <v>113</v>
      </c>
      <c r="B55" s="5" t="s">
        <v>114</v>
      </c>
      <c r="C55" s="6" t="str">
        <f>IFERROR(__xludf.DUMMYFUNCTION("GOOGLETRANSLATE(B55, ""en"", ""ta"")"),"வாகன நிறம்")</f>
        <v>வாகன நிறம்</v>
      </c>
      <c r="D55" s="6" t="str">
        <f>IFERROR(__xludf.DUMMYFUNCTION("GOOGLETRANSLATE(B55, ""en"", ""hi"")"),"वाहन का रंग")</f>
        <v>वाहन का रंग</v>
      </c>
      <c r="E55" s="6" t="str">
        <f>IFERROR(__xludf.DUMMYFUNCTION("GOOGLETRANSLATE(B55, ""en"", ""kn"")"),"ವಾಹನದ ಬಣ್ಣ")</f>
        <v>ವಾಹನದ ಬಣ್ಣ</v>
      </c>
      <c r="F55" s="7" t="str">
        <f>IFERROR(__xludf.DUMMYFUNCTION("GOOGLETRANSLATE(B55, ""en"", ""ml"")"),"വാഹന നിറം")</f>
        <v>വാഹന നിറം</v>
      </c>
      <c r="G55" s="7" t="str">
        <f>IFERROR(__xludf.DUMMYFUNCTION("GOOGLETRANSLATE(B55, ""en"", ""te"")"),"వాహనం రంగు")</f>
        <v>వాహనం రంగు</v>
      </c>
    </row>
    <row r="56">
      <c r="A56" s="4" t="s">
        <v>115</v>
      </c>
      <c r="B56" s="5" t="s">
        <v>116</v>
      </c>
      <c r="C56" s="6" t="str">
        <f>IFERROR(__xludf.DUMMYFUNCTION("GOOGLETRANSLATE(B56, ""en"", ""ta"")"),"எரிபொருள் வகை")</f>
        <v>எரிபொருள் வகை</v>
      </c>
      <c r="D56" s="6" t="str">
        <f>IFERROR(__xludf.DUMMYFUNCTION("GOOGLETRANSLATE(B56, ""en"", ""hi"")"),"ईंधन प्रकार")</f>
        <v>ईंधन प्रकार</v>
      </c>
      <c r="E56" s="6" t="str">
        <f>IFERROR(__xludf.DUMMYFUNCTION("GOOGLETRANSLATE(B56, ""en"", ""kn"")"),"ಇಂಧನ ಪ್ರಕಾರ")</f>
        <v>ಇಂಧನ ಪ್ರಕಾರ</v>
      </c>
      <c r="F56" s="7" t="str">
        <f>IFERROR(__xludf.DUMMYFUNCTION("GOOGLETRANSLATE(B56, ""en"", ""ml"")"),"ഇന്ധന തരം")</f>
        <v>ഇന്ധന തരം</v>
      </c>
      <c r="G56" s="7" t="str">
        <f>IFERROR(__xludf.DUMMYFUNCTION("GOOGLETRANSLATE(B56, ""en"", ""te"")"),"ఇంధన రకం")</f>
        <v>ఇంధన రకం</v>
      </c>
    </row>
    <row r="57">
      <c r="A57" s="4" t="s">
        <v>117</v>
      </c>
      <c r="B57" s="5" t="s">
        <v>118</v>
      </c>
      <c r="C57" s="6" t="str">
        <f>IFERROR(__xludf.DUMMYFUNCTION("GOOGLETRANSLATE(B57, ""en"", ""ta"")"),"அனுமதி எண்")</f>
        <v>அனுமதி எண்</v>
      </c>
      <c r="D57" s="6" t="str">
        <f>IFERROR(__xludf.DUMMYFUNCTION("GOOGLETRANSLATE(B57, ""en"", ""hi"")"),"परमिट संख्या")</f>
        <v>परमिट संख्या</v>
      </c>
      <c r="E57" s="6" t="str">
        <f>IFERROR(__xludf.DUMMYFUNCTION("GOOGLETRANSLATE(B57, ""en"", ""kn"")"),"ಪರವಾನಗಿ ಸಂಖ್ಯೆ")</f>
        <v>ಪರವಾನಗಿ ಸಂಖ್ಯೆ</v>
      </c>
      <c r="F57" s="7" t="str">
        <f>IFERROR(__xludf.DUMMYFUNCTION("GOOGLETRANSLATE(B57, ""en"", ""ml"")"),"പെർമിറ്റ് നമ്പർ")</f>
        <v>പെർമിറ്റ് നമ്പർ</v>
      </c>
      <c r="G57" s="7" t="str">
        <f>IFERROR(__xludf.DUMMYFUNCTION("GOOGLETRANSLATE(B57, ""en"", ""te"")"),"పర్మిట్ నంబర్")</f>
        <v>పర్మిట్ నంబర్</v>
      </c>
    </row>
    <row r="58">
      <c r="A58" s="4" t="s">
        <v>119</v>
      </c>
      <c r="B58" s="5" t="s">
        <v>120</v>
      </c>
      <c r="C58" s="6" t="str">
        <f>IFERROR(__xludf.DUMMYFUNCTION("GOOGLETRANSLATE(B58, ""en"", ""ta"")"),"காப்பீட்டு காலாவதி")</f>
        <v>காப்பீட்டு காலாவதி</v>
      </c>
      <c r="D58" s="6" t="str">
        <f>IFERROR(__xludf.DUMMYFUNCTION("GOOGLETRANSLATE(B58, ""en"", ""hi"")"),"बीमा समाप्ति")</f>
        <v>बीमा समाप्ति</v>
      </c>
      <c r="E58" s="6" t="str">
        <f>IFERROR(__xludf.DUMMYFUNCTION("GOOGLETRANSLATE(B58, ""en"", ""kn"")"),"ವಿಮೆಯ ಅವಧಿ ಮುಕ್ತಾಯ")</f>
        <v>ವಿಮೆಯ ಅವಧಿ ಮುಕ್ತಾಯ</v>
      </c>
      <c r="F58" s="7" t="str">
        <f>IFERROR(__xludf.DUMMYFUNCTION("GOOGLETRANSLATE(B58, ""en"", ""ml"")"),"ഇൻഷുറൻസ് കാലാവധി")</f>
        <v>ഇൻഷുറൻസ് കാലാവധി</v>
      </c>
      <c r="G58" s="7" t="str">
        <f>IFERROR(__xludf.DUMMYFUNCTION("GOOGLETRANSLATE(B58, ""en"", ""te"")"),"బీమా గడువు")</f>
        <v>బీమా గడువు</v>
      </c>
    </row>
    <row r="59">
      <c r="A59" s="4" t="s">
        <v>121</v>
      </c>
      <c r="B59" s="5" t="s">
        <v>122</v>
      </c>
      <c r="C59" s="6" t="str">
        <f>IFERROR(__xludf.DUMMYFUNCTION("GOOGLETRANSLATE(B59, ""en"", ""ta"")"),"சாலை வரி காலாவதி")</f>
        <v>சாலை வரி காலாவதி</v>
      </c>
      <c r="D59" s="6" t="str">
        <f>IFERROR(__xludf.DUMMYFUNCTION("GOOGLETRANSLATE(B59, ""en"", ""hi"")"),"सड़क कर की समाप्ति")</f>
        <v>सड़क कर की समाप्ति</v>
      </c>
      <c r="E59" s="6" t="str">
        <f>IFERROR(__xludf.DUMMYFUNCTION("GOOGLETRANSLATE(B59, ""en"", ""kn"")"),"ರಸ್ತೆ ತೆರಿಗೆ ಅವಧಿ ಮುಕ್ತಾಯ")</f>
        <v>ರಸ್ತೆ ತೆರಿಗೆ ಅವಧಿ ಮುಕ್ತಾಯ</v>
      </c>
      <c r="F59" s="7" t="str">
        <f>IFERROR(__xludf.DUMMYFUNCTION("GOOGLETRANSLATE(B59, ""en"", ""ml"")"),"റോഡ് നികുതി കാലാവധി")</f>
        <v>റോഡ് നികുതി കാലാവധി</v>
      </c>
      <c r="G59" s="7" t="str">
        <f>IFERROR(__xludf.DUMMYFUNCTION("GOOGLETRANSLATE(B59, ""en"", ""te"")"),"రోడ్డు పన్ను గడువు ముగింపు")</f>
        <v>రోడ్డు పన్ను గడువు ముగింపు</v>
      </c>
    </row>
    <row r="60">
      <c r="A60" s="4" t="s">
        <v>123</v>
      </c>
      <c r="B60" s="5" t="s">
        <v>124</v>
      </c>
      <c r="C60" s="6" t="str">
        <f>IFERROR(__xludf.DUMMYFUNCTION("GOOGLETRANSLATE(B60, ""en"", ""ta"")"),"உடற்பயிற்சி காலாவதி")</f>
        <v>உடற்பயிற்சி காலாவதி</v>
      </c>
      <c r="D60" s="6" t="str">
        <f>IFERROR(__xludf.DUMMYFUNCTION("GOOGLETRANSLATE(B60, ""en"", ""hi"")"),"फिटनेस समाप्ति")</f>
        <v>फिटनेस समाप्ति</v>
      </c>
      <c r="E60" s="6" t="str">
        <f>IFERROR(__xludf.DUMMYFUNCTION("GOOGLETRANSLATE(B60, ""en"", ""kn"")"),"ಫಿಟ್‌ನೆಸ್ ಅವಧಿ")</f>
        <v>ಫಿಟ್‌ನೆಸ್ ಅವಧಿ</v>
      </c>
      <c r="F60" s="7" t="str">
        <f>IFERROR(__xludf.DUMMYFUNCTION("GOOGLETRANSLATE(B60, ""en"", ""ml"")"),"ഫിറ്റ്നസ് കാലാവധി")</f>
        <v>ഫിറ്റ്നസ് കാലാവധി</v>
      </c>
      <c r="G60" s="7" t="str">
        <f>IFERROR(__xludf.DUMMYFUNCTION("GOOGLETRANSLATE(B60, ""en"", ""te"")"),"ఫిట్‌నెస్ గడువు")</f>
        <v>ఫిట్‌నెస్ గడువు</v>
      </c>
    </row>
    <row r="61">
      <c r="A61" s="4" t="s">
        <v>125</v>
      </c>
      <c r="B61" s="5" t="s">
        <v>126</v>
      </c>
      <c r="C61" s="6" t="str">
        <f>IFERROR(__xludf.DUMMYFUNCTION("GOOGLETRANSLATE(B61, ""en"", ""ta"")"),"பி.யூ.சி காலாவதி")</f>
        <v>பி.யூ.சி காலாவதி</v>
      </c>
      <c r="D61" s="6" t="str">
        <f>IFERROR(__xludf.DUMMYFUNCTION("GOOGLETRANSLATE(B61, ""en"", ""hi"")"),"पीयूसी समाप्ति")</f>
        <v>पीयूसी समाप्ति</v>
      </c>
      <c r="E61" s="6" t="str">
        <f>IFERROR(__xludf.DUMMYFUNCTION("GOOGLETRANSLATE(B61, ""en"", ""kn"")"),"ಪಿಯುಸಿ ಅವಧಿ ಮುಗಿದಿದೆ")</f>
        <v>ಪಿಯುಸಿ ಅವಧಿ ಮುಗಿದಿದೆ</v>
      </c>
      <c r="F61" s="7" t="str">
        <f>IFERROR(__xludf.DUMMYFUNCTION("GOOGLETRANSLATE(B61, ""en"", ""ml"")"),"പി.യു.സി. കാലാവധി")</f>
        <v>പി.യു.സി. കാലാവധി</v>
      </c>
      <c r="G61" s="7" t="str">
        <f>IFERROR(__xludf.DUMMYFUNCTION("GOOGLETRANSLATE(B61, ""en"", ""te"")"),"పియుసి గడువు")</f>
        <v>పియుసి గడువు</v>
      </c>
    </row>
    <row r="62">
      <c r="A62" s="4" t="s">
        <v>127</v>
      </c>
      <c r="B62" s="5" t="s">
        <v>128</v>
      </c>
      <c r="C62" s="6" t="str">
        <f>IFERROR(__xludf.DUMMYFUNCTION("GOOGLETRANSLATE(B62, ""en"", ""ta"")"),"வாகன நிறத்தைத் தேர்ந்தெடுக்கவும்")</f>
        <v>வாகன நிறத்தைத் தேர்ந்தெடுக்கவும்</v>
      </c>
      <c r="D62" s="6" t="str">
        <f>IFERROR(__xludf.DUMMYFUNCTION("GOOGLETRANSLATE(B62, ""en"", ""hi"")"),"वाहन का रंग चुनें")</f>
        <v>वाहन का रंग चुनें</v>
      </c>
      <c r="E62" s="6" t="str">
        <f>IFERROR(__xludf.DUMMYFUNCTION("GOOGLETRANSLATE(B62, ""en"", ""kn"")"),"ವಾಹನದ ಬಣ್ಣವನ್ನು ಆಯ್ಕೆಮಾಡಿ")</f>
        <v>ವಾಹನದ ಬಣ್ಣವನ್ನು ಆಯ್ಕೆಮಾಡಿ</v>
      </c>
      <c r="F62" s="7" t="str">
        <f>IFERROR(__xludf.DUMMYFUNCTION("GOOGLETRANSLATE(B62, ""en"", ""ml"")"),"വാഹനത്തിന്റെ നിറം തിരഞ്ഞെടുക്കുക")</f>
        <v>വാഹനത്തിന്റെ നിറം തിരഞ്ഞെടുക്കുക</v>
      </c>
      <c r="G62" s="7" t="str">
        <f>IFERROR(__xludf.DUMMYFUNCTION("GOOGLETRANSLATE(B62, ""en"", ""te"")"),"వాహనం రంగును ఎంచుకోండి")</f>
        <v>వాహనం రంగును ఎంచుకోండి</v>
      </c>
    </row>
    <row r="63">
      <c r="A63" s="4" t="s">
        <v>129</v>
      </c>
      <c r="B63" s="5" t="s">
        <v>130</v>
      </c>
      <c r="C63" s="6" t="str">
        <f>IFERROR(__xludf.DUMMYFUNCTION("GOOGLETRANSLATE(B63, ""en"", ""ta"")"),"உற்பத்தி ஆண்டைத் தேர்ந்தெடுக்கவும்")</f>
        <v>உற்பத்தி ஆண்டைத் தேர்ந்தெடுக்கவும்</v>
      </c>
      <c r="D63" s="6" t="str">
        <f>IFERROR(__xludf.DUMMYFUNCTION("GOOGLETRANSLATE(B63, ""en"", ""hi"")"),"निर्माण वर्ष का चयन करें")</f>
        <v>निर्माण वर्ष का चयन करें</v>
      </c>
      <c r="E63" s="6" t="str">
        <f>IFERROR(__xludf.DUMMYFUNCTION("GOOGLETRANSLATE(B63, ""en"", ""kn"")"),"ಉತ್ಪಾದನಾ ವರ್ಷವನ್ನು ಆಯ್ಕೆಮಾಡಿ")</f>
        <v>ಉತ್ಪಾದನಾ ವರ್ಷವನ್ನು ಆಯ್ಕೆಮಾಡಿ</v>
      </c>
      <c r="F63" s="7" t="str">
        <f>IFERROR(__xludf.DUMMYFUNCTION("GOOGLETRANSLATE(B63, ""en"", ""ml"")"),"നിർമ്മാണ വർഷം തിരഞ്ഞെടുക്കുക")</f>
        <v>നിർമ്മാണ വർഷം തിരഞ്ഞെടുക്കുക</v>
      </c>
      <c r="G63" s="7" t="str">
        <f>IFERROR(__xludf.DUMMYFUNCTION("GOOGLETRANSLATE(B63, ""en"", ""te"")"),"తయారీ సంవత్సరాన్ని ఎంచుకోండి")</f>
        <v>తయారీ సంవత్సరాన్ని ఎంచుకోండి</v>
      </c>
    </row>
    <row r="64">
      <c r="A64" s="4" t="s">
        <v>131</v>
      </c>
      <c r="B64" s="5" t="s">
        <v>132</v>
      </c>
      <c r="C64" s="6" t="str">
        <f>IFERROR(__xludf.DUMMYFUNCTION("GOOGLETRANSLATE(B64, ""en"", ""ta"")"),"வாகன பிராண்டைத் தேர்ந்தெடுக்கவும்")</f>
        <v>வாகன பிராண்டைத் தேர்ந்தெடுக்கவும்</v>
      </c>
      <c r="D64" s="6" t="str">
        <f>IFERROR(__xludf.DUMMYFUNCTION("GOOGLETRANSLATE(B64, ""en"", ""hi"")"),"वाहन ब्रांड का चयन करें")</f>
        <v>वाहन ब्रांड का चयन करें</v>
      </c>
      <c r="E64" s="6" t="str">
        <f>IFERROR(__xludf.DUMMYFUNCTION("GOOGLETRANSLATE(B64, ""en"", ""kn"")"),"ವಾಹನ ಬ್ರಾಂಡ್ ಆಯ್ಕೆಮಾಡಿ")</f>
        <v>ವಾಹನ ಬ್ರಾಂಡ್ ಆಯ್ಕೆಮಾಡಿ</v>
      </c>
      <c r="F64" s="7" t="str">
        <f>IFERROR(__xludf.DUMMYFUNCTION("GOOGLETRANSLATE(B64, ""en"", ""ml"")"),"വാഹന ബ്രാൻഡ് തിരഞ്ഞെടുക്കുക")</f>
        <v>വാഹന ബ്രാൻഡ് തിരഞ്ഞെടുക്കുക</v>
      </c>
      <c r="G64" s="7" t="str">
        <f>IFERROR(__xludf.DUMMYFUNCTION("GOOGLETRANSLATE(B64, ""en"", ""te"")"),"వాహన బ్రాండ్‌ను ఎంచుకోండి")</f>
        <v>వాహన బ్రాండ్‌ను ఎంచుకోండి</v>
      </c>
    </row>
    <row r="65">
      <c r="A65" s="4" t="s">
        <v>133</v>
      </c>
      <c r="B65" s="5" t="s">
        <v>134</v>
      </c>
      <c r="C65" s="6" t="str">
        <f>IFERROR(__xludf.DUMMYFUNCTION("GOOGLETRANSLATE(B65, ""en"", ""ta"")"),"வாகன மாதிரியைத் தேர்ந்தெடுக்கவும்")</f>
        <v>வாகன மாதிரியைத் தேர்ந்தெடுக்கவும்</v>
      </c>
      <c r="D65" s="6" t="str">
        <f>IFERROR(__xludf.DUMMYFUNCTION("GOOGLETRANSLATE(B65, ""en"", ""hi"")"),"वाहन मॉडल का चयन करें")</f>
        <v>वाहन मॉडल का चयन करें</v>
      </c>
      <c r="E65" s="6" t="str">
        <f>IFERROR(__xludf.DUMMYFUNCTION("GOOGLETRANSLATE(B65, ""en"", ""kn"")"),"ವಾಹನ ಮಾದರಿಯನ್ನು ಆಯ್ಕೆಮಾಡಿ")</f>
        <v>ವಾಹನ ಮಾದರಿಯನ್ನು ಆಯ್ಕೆಮಾಡಿ</v>
      </c>
      <c r="F65" s="7" t="str">
        <f>IFERROR(__xludf.DUMMYFUNCTION("GOOGLETRANSLATE(B65, ""en"", ""ml"")"),"വാഹന മോഡൽ തിരഞ്ഞെടുക്കുക")</f>
        <v>വാഹന മോഡൽ തിരഞ്ഞെടുക്കുക</v>
      </c>
      <c r="G65" s="7" t="str">
        <f>IFERROR(__xludf.DUMMYFUNCTION("GOOGLETRANSLATE(B65, ""en"", ""te"")"),"వాహన నమూనాను ఎంచుకోండి")</f>
        <v>వాహన నమూనాను ఎంచుకోండి</v>
      </c>
    </row>
    <row r="66">
      <c r="A66" s="4" t="s">
        <v>135</v>
      </c>
      <c r="B66" s="5" t="s">
        <v>136</v>
      </c>
      <c r="C66" s="6" t="str">
        <f>IFERROR(__xludf.DUMMYFUNCTION("GOOGLETRANSLATE(B66, ""en"", ""ta"")"),"எரிபொருள் வகையைத் தேர்ந்தெடுக்கவும்")</f>
        <v>எரிபொருள் வகையைத் தேர்ந்தெடுக்கவும்</v>
      </c>
      <c r="D66" s="6" t="str">
        <f>IFERROR(__xludf.DUMMYFUNCTION("GOOGLETRANSLATE(B66, ""en"", ""hi"")"),"ईंधन का प्रकार चुनें")</f>
        <v>ईंधन का प्रकार चुनें</v>
      </c>
      <c r="E66" s="6" t="str">
        <f>IFERROR(__xludf.DUMMYFUNCTION("GOOGLETRANSLATE(B66, ""en"", ""kn"")"),"ಇಂಧನ ಪ್ರಕಾರವನ್ನು ಆಯ್ಕೆಮಾಡಿ")</f>
        <v>ಇಂಧನ ಪ್ರಕಾರವನ್ನು ಆಯ್ಕೆಮಾಡಿ</v>
      </c>
      <c r="F66" s="7" t="str">
        <f>IFERROR(__xludf.DUMMYFUNCTION("GOOGLETRANSLATE(B66, ""en"", ""ml"")"),"ഇന്ധന തരം തിരഞ്ഞെടുക്കുക")</f>
        <v>ഇന്ധന തരം തിരഞ്ഞെടുക്കുക</v>
      </c>
      <c r="G66" s="7" t="str">
        <f>IFERROR(__xludf.DUMMYFUNCTION("GOOGLETRANSLATE(B66, ""en"", ""te"")"),"ఇంధన రకాన్ని ఎంచుకోండి")</f>
        <v>ఇంధన రకాన్ని ఎంచుకోండి</v>
      </c>
    </row>
    <row r="67">
      <c r="A67" s="4" t="s">
        <v>137</v>
      </c>
      <c r="B67" s="5" t="s">
        <v>138</v>
      </c>
      <c r="C67" s="6" t="str">
        <f>IFERROR(__xludf.DUMMYFUNCTION("GOOGLETRANSLATE(B67, ""en"", ""ta"")"),"வாகன பிராண்டின் வகை...")</f>
        <v>வாகன பிராண்டின் வகை...</v>
      </c>
      <c r="D67" s="6" t="str">
        <f>IFERROR(__xludf.DUMMYFUNCTION("GOOGLETRANSLATE(B67, ""en"", ""hi"")"),"वाहन का प्रकार...")</f>
        <v>वाहन का प्रकार...</v>
      </c>
      <c r="E67" s="6" t="str">
        <f>IFERROR(__xludf.DUMMYFUNCTION("GOOGLETRANSLATE(B67, ""en"", ""kn"")"),"ವಾಹನ ಬ್ರಾಂಡ್ ಪ್ರಕಾರ...")</f>
        <v>ವಾಹನ ಬ್ರಾಂಡ್ ಪ್ರಕಾರ...</v>
      </c>
      <c r="F67" s="7" t="str">
        <f>IFERROR(__xludf.DUMMYFUNCTION("GOOGLETRANSLATE(B67, ""en"", ""ml"")"),"വാഹന ബ്രാൻഡ് തരം...")</f>
        <v>വാഹന ബ്രാൻഡ് തരം...</v>
      </c>
      <c r="G67" s="7" t="str">
        <f>IFERROR(__xludf.DUMMYFUNCTION("GOOGLETRANSLATE(B67, ""en"", ""te"")"),"వాహన బ్రాండ్ రకం...")</f>
        <v>వాహన బ్రాండ్ రకం...</v>
      </c>
    </row>
    <row r="68">
      <c r="A68" s="4" t="s">
        <v>139</v>
      </c>
      <c r="B68" s="5" t="s">
        <v>140</v>
      </c>
      <c r="C68" s="6" t="str">
        <f>IFERROR(__xludf.DUMMYFUNCTION("GOOGLETRANSLATE(B68, ""en"", ""ta"")"),"வாகன மாதிரி வகை...")</f>
        <v>வாகன மாதிரி வகை...</v>
      </c>
      <c r="D68" s="6" t="str">
        <f>IFERROR(__xludf.DUMMYFUNCTION("GOOGLETRANSLATE(B68, ""en"", ""hi"")"),"वाहन का प्रकार, मॉडल...")</f>
        <v>वाहन का प्रकार, मॉडल...</v>
      </c>
      <c r="E68" s="6" t="str">
        <f>IFERROR(__xludf.DUMMYFUNCTION("GOOGLETRANSLATE(B68, ""en"", ""kn"")"),"ವಾಹನ ಮಾದರಿಯ ಪ್ರಕಾರ...")</f>
        <v>ವಾಹನ ಮಾದರಿಯ ಪ್ರಕಾರ...</v>
      </c>
      <c r="F68" s="7" t="str">
        <f>IFERROR(__xludf.DUMMYFUNCTION("GOOGLETRANSLATE(B68, ""en"", ""ml"")"),"വാഹന മോഡൽ തരം...")</f>
        <v>വാഹന മോഡൽ തരം...</v>
      </c>
      <c r="G68" s="7" t="str">
        <f>IFERROR(__xludf.DUMMYFUNCTION("GOOGLETRANSLATE(B68, ""en"", ""te"")"),"వాహన నమూనా రకం...")</f>
        <v>వాహన నమూనా రకం...</v>
      </c>
    </row>
    <row r="69">
      <c r="A69" s="4" t="s">
        <v>141</v>
      </c>
      <c r="B69" s="5" t="s">
        <v>142</v>
      </c>
      <c r="C69" s="6" t="str">
        <f>IFERROR(__xludf.DUMMYFUNCTION("GOOGLETRANSLATE(B69, ""en"", ""ta"")"),"அடுத்து")</f>
        <v>அடுத்து</v>
      </c>
      <c r="D69" s="6" t="str">
        <f>IFERROR(__xludf.DUMMYFUNCTION("GOOGLETRANSLATE(B69, ""en"", ""hi"")"),"अगला")</f>
        <v>अगला</v>
      </c>
      <c r="E69" s="6" t="str">
        <f>IFERROR(__xludf.DUMMYFUNCTION("GOOGLETRANSLATE(B69, ""en"", ""kn"")"),"ಮುಂದೆ")</f>
        <v>ಮುಂದೆ</v>
      </c>
      <c r="F69" s="7" t="str">
        <f>IFERROR(__xludf.DUMMYFUNCTION("GOOGLETRANSLATE(B69, ""en"", ""ml"")"),"അടുത്തത്")</f>
        <v>അടുത്തത്</v>
      </c>
      <c r="G69" s="7" t="str">
        <f>IFERROR(__xludf.DUMMYFUNCTION("GOOGLETRANSLATE(B69, ""en"", ""te"")"),"తరువాతి")</f>
        <v>తరువాతి</v>
      </c>
    </row>
    <row r="70">
      <c r="A70" s="4" t="s">
        <v>143</v>
      </c>
      <c r="B70" s="5" t="s">
        <v>144</v>
      </c>
      <c r="C70" s="6" t="str">
        <f>IFERROR(__xludf.DUMMYFUNCTION("GOOGLETRANSLATE(B70, ""en"", ""ta"")"),"வண்ணத்தைத் தேர்ந்தெடுக்கவும்")</f>
        <v>வண்ணத்தைத் தேர்ந்தெடுக்கவும்</v>
      </c>
      <c r="D70" s="6" t="str">
        <f>IFERROR(__xludf.DUMMYFUNCTION("GOOGLETRANSLATE(B70, ""en"", ""hi"")"),"रंग चुनो")</f>
        <v>रंग चुनो</v>
      </c>
      <c r="E70" s="6" t="str">
        <f>IFERROR(__xludf.DUMMYFUNCTION("GOOGLETRANSLATE(B70, ""en"", ""kn"")"),"ಬಣ್ಣವನ್ನು ಆಯ್ಕೆಮಾಡಿ")</f>
        <v>ಬಣ್ಣವನ್ನು ಆಯ್ಕೆಮಾಡಿ</v>
      </c>
      <c r="F70" s="7" t="str">
        <f>IFERROR(__xludf.DUMMYFUNCTION("GOOGLETRANSLATE(B70, ""en"", ""ml"")"),"നിറം തിരഞ്ഞെടുക്കുക")</f>
        <v>നിറം തിരഞ്ഞെടുക്കുക</v>
      </c>
      <c r="G70" s="7" t="str">
        <f>IFERROR(__xludf.DUMMYFUNCTION("GOOGLETRANSLATE(B70, ""en"", ""te"")"),"రంగును ఎంచుకోండి")</f>
        <v>రంగును ఎంచుకోండి</v>
      </c>
    </row>
    <row r="71">
      <c r="A71" s="4" t="s">
        <v>145</v>
      </c>
      <c r="B71" s="5" t="s">
        <v>146</v>
      </c>
      <c r="C71" s="6" t="str">
        <f>IFERROR(__xludf.DUMMYFUNCTION("GOOGLETRANSLATE(B71, ""en"", ""ta"")"),"சிவப்பு")</f>
        <v>சிவப்பு</v>
      </c>
      <c r="D71" s="6" t="str">
        <f>IFERROR(__xludf.DUMMYFUNCTION("GOOGLETRANSLATE(B71, ""en"", ""hi"")"),"लाल")</f>
        <v>लाल</v>
      </c>
      <c r="E71" s="6" t="str">
        <f>IFERROR(__xludf.DUMMYFUNCTION("GOOGLETRANSLATE(B71, ""en"", ""kn"")"),"ಕೆಂಪು")</f>
        <v>ಕೆಂಪು</v>
      </c>
      <c r="F71" s="7" t="str">
        <f>IFERROR(__xludf.DUMMYFUNCTION("GOOGLETRANSLATE(B71, ""en"", ""ml"")"),"ചുവപ്പ്")</f>
        <v>ചുവപ്പ്</v>
      </c>
      <c r="G71" s="7" t="str">
        <f>IFERROR(__xludf.DUMMYFUNCTION("GOOGLETRANSLATE(B71, ""en"", ""te"")"),"ఎరుపు")</f>
        <v>ఎరుపు</v>
      </c>
    </row>
    <row r="72">
      <c r="A72" s="4" t="s">
        <v>147</v>
      </c>
      <c r="B72" s="5" t="s">
        <v>148</v>
      </c>
      <c r="C72" s="6" t="str">
        <f>IFERROR(__xludf.DUMMYFUNCTION("GOOGLETRANSLATE(B72, ""en"", ""ta"")"),"பச்சை")</f>
        <v>பச்சை</v>
      </c>
      <c r="D72" s="6" t="str">
        <f>IFERROR(__xludf.DUMMYFUNCTION("GOOGLETRANSLATE(B72, ""en"", ""hi"")"),"हरा")</f>
        <v>हरा</v>
      </c>
      <c r="E72" s="6" t="str">
        <f>IFERROR(__xludf.DUMMYFUNCTION("GOOGLETRANSLATE(B72, ""en"", ""kn"")"),"ಹಸಿರು")</f>
        <v>ಹಸಿರು</v>
      </c>
      <c r="F72" s="7" t="str">
        <f>IFERROR(__xludf.DUMMYFUNCTION("GOOGLETRANSLATE(B72, ""en"", ""ml"")"),"പച്ച")</f>
        <v>പച്ച</v>
      </c>
      <c r="G72" s="7" t="str">
        <f>IFERROR(__xludf.DUMMYFUNCTION("GOOGLETRANSLATE(B72, ""en"", ""te"")"),"ఆకుపచ్చ")</f>
        <v>ఆకుపచ్చ</v>
      </c>
    </row>
    <row r="73">
      <c r="A73" s="4" t="s">
        <v>149</v>
      </c>
      <c r="B73" s="5" t="s">
        <v>150</v>
      </c>
      <c r="C73" s="6" t="str">
        <f>IFERROR(__xludf.DUMMYFUNCTION("GOOGLETRANSLATE(B73, ""en"", ""ta"")"),"நீலம்")</f>
        <v>நீலம்</v>
      </c>
      <c r="D73" s="6" t="str">
        <f>IFERROR(__xludf.DUMMYFUNCTION("GOOGLETRANSLATE(B73, ""en"", ""hi"")"),"नीला")</f>
        <v>नीला</v>
      </c>
      <c r="E73" s="6" t="str">
        <f>IFERROR(__xludf.DUMMYFUNCTION("GOOGLETRANSLATE(B73, ""en"", ""kn"")"),"ನೀಲಿ")</f>
        <v>ನೀಲಿ</v>
      </c>
      <c r="F73" s="7" t="str">
        <f>IFERROR(__xludf.DUMMYFUNCTION("GOOGLETRANSLATE(B73, ""en"", ""ml"")"),"നീല")</f>
        <v>നീല</v>
      </c>
      <c r="G73" s="7" t="str">
        <f>IFERROR(__xludf.DUMMYFUNCTION("GOOGLETRANSLATE(B73, ""en"", ""te"")"),"నీలం")</f>
        <v>నీలం</v>
      </c>
    </row>
    <row r="74">
      <c r="A74" s="4" t="s">
        <v>151</v>
      </c>
      <c r="B74" s="5" t="s">
        <v>152</v>
      </c>
      <c r="C74" s="6" t="str">
        <f>IFERROR(__xludf.DUMMYFUNCTION("GOOGLETRANSLATE(B74, ""en"", ""ta"")"),"மஞ்சள்")</f>
        <v>மஞ்சள்</v>
      </c>
      <c r="D74" s="6" t="str">
        <f>IFERROR(__xludf.DUMMYFUNCTION("GOOGLETRANSLATE(B74, ""en"", ""hi"")"),"पीला")</f>
        <v>पीला</v>
      </c>
      <c r="E74" s="6" t="str">
        <f>IFERROR(__xludf.DUMMYFUNCTION("GOOGLETRANSLATE(B74, ""en"", ""kn"")"),"ಹಳದಿ")</f>
        <v>ಹಳದಿ</v>
      </c>
      <c r="F74" s="7" t="str">
        <f>IFERROR(__xludf.DUMMYFUNCTION("GOOGLETRANSLATE(B74, ""en"", ""ml"")"),"മഞ്ഞ")</f>
        <v>മഞ്ഞ</v>
      </c>
      <c r="G74" s="7" t="str">
        <f>IFERROR(__xludf.DUMMYFUNCTION("GOOGLETRANSLATE(B74, ""en"", ""te"")"),"పసుపు")</f>
        <v>పసుపు</v>
      </c>
    </row>
    <row r="75">
      <c r="A75" s="4" t="s">
        <v>153</v>
      </c>
      <c r="B75" s="5" t="s">
        <v>154</v>
      </c>
      <c r="C75" s="6" t="str">
        <f>IFERROR(__xludf.DUMMYFUNCTION("GOOGLETRANSLATE(B75, ""en"", ""ta"")"),"மெஜந்தா")</f>
        <v>மெஜந்தா</v>
      </c>
      <c r="D75" s="6" t="str">
        <f>IFERROR(__xludf.DUMMYFUNCTION("GOOGLETRANSLATE(B75, ""en"", ""hi"")"),"मैजेंटा")</f>
        <v>मैजेंटा</v>
      </c>
      <c r="E75" s="6" t="str">
        <f>IFERROR(__xludf.DUMMYFUNCTION("GOOGLETRANSLATE(B75, ""en"", ""kn"")"),"ಕೆನ್ನೇರಳೆ ಬಣ್ಣ")</f>
        <v>ಕೆನ್ನೇರಳೆ ಬಣ್ಣ</v>
      </c>
      <c r="F75" s="7" t="str">
        <f>IFERROR(__xludf.DUMMYFUNCTION("GOOGLETRANSLATE(B75, ""en"", ""ml"")"),"മജന്ത")</f>
        <v>മജന്ത</v>
      </c>
      <c r="G75" s="7" t="str">
        <f>IFERROR(__xludf.DUMMYFUNCTION("GOOGLETRANSLATE(B75, ""en"", ""te"")"),"మెజెంటా")</f>
        <v>మెజెంటా</v>
      </c>
    </row>
    <row r="76">
      <c r="A76" s="4" t="s">
        <v>155</v>
      </c>
      <c r="B76" s="5" t="s">
        <v>156</v>
      </c>
      <c r="C76" s="6" t="str">
        <f>IFERROR(__xludf.DUMMYFUNCTION("GOOGLETRANSLATE(B76, ""en"", ""ta"")"),"சியான்")</f>
        <v>சியான்</v>
      </c>
      <c r="D76" s="6" t="str">
        <f>IFERROR(__xludf.DUMMYFUNCTION("GOOGLETRANSLATE(B76, ""en"", ""hi"")"),"सियान")</f>
        <v>सियान</v>
      </c>
      <c r="E76" s="6" t="str">
        <f>IFERROR(__xludf.DUMMYFUNCTION("GOOGLETRANSLATE(B76, ""en"", ""kn"")"),"ನೀಲಿ")</f>
        <v>ನೀಲಿ</v>
      </c>
      <c r="F76" s="7" t="str">
        <f>IFERROR(__xludf.DUMMYFUNCTION("GOOGLETRANSLATE(B76, ""en"", ""ml"")"),"സിയാൻ")</f>
        <v>സിയാൻ</v>
      </c>
      <c r="G76" s="7" t="str">
        <f>IFERROR(__xludf.DUMMYFUNCTION("GOOGLETRANSLATE(B76, ""en"", ""te"")"),"నీలి నీలం")</f>
        <v>నీలి నీలం</v>
      </c>
    </row>
    <row r="77">
      <c r="A77" s="4" t="s">
        <v>157</v>
      </c>
      <c r="B77" s="5" t="s">
        <v>158</v>
      </c>
      <c r="C77" s="6" t="str">
        <f>IFERROR(__xludf.DUMMYFUNCTION("GOOGLETRANSLATE(B77, ""en"", ""ta"")"),"கருப்பு")</f>
        <v>கருப்பு</v>
      </c>
      <c r="D77" s="6" t="str">
        <f>IFERROR(__xludf.DUMMYFUNCTION("GOOGLETRANSLATE(B77, ""en"", ""hi"")"),"काला")</f>
        <v>काला</v>
      </c>
      <c r="E77" s="6" t="str">
        <f>IFERROR(__xludf.DUMMYFUNCTION("GOOGLETRANSLATE(B77, ""en"", ""kn"")"),"ಕಪ್ಪು")</f>
        <v>ಕಪ್ಪು</v>
      </c>
      <c r="F77" s="7" t="str">
        <f>IFERROR(__xludf.DUMMYFUNCTION("GOOGLETRANSLATE(B77, ""en"", ""ml"")"),"കറുപ്പ്")</f>
        <v>കറുപ്പ്</v>
      </c>
      <c r="G77" s="7" t="str">
        <f>IFERROR(__xludf.DUMMYFUNCTION("GOOGLETRANSLATE(B77, ""en"", ""te"")"),"నలుపు")</f>
        <v>నలుపు</v>
      </c>
    </row>
    <row r="78">
      <c r="A78" s="4" t="s">
        <v>159</v>
      </c>
      <c r="B78" s="5" t="s">
        <v>160</v>
      </c>
      <c r="C78" s="6" t="str">
        <f>IFERROR(__xludf.DUMMYFUNCTION("GOOGLETRANSLATE(B78, ""en"", ""ta"")"),"வெள்ளை")</f>
        <v>வெள்ளை</v>
      </c>
      <c r="D78" s="6" t="str">
        <f>IFERROR(__xludf.DUMMYFUNCTION("GOOGLETRANSLATE(B78, ""en"", ""hi"")"),"सफ़ेद")</f>
        <v>सफ़ेद</v>
      </c>
      <c r="E78" s="6" t="str">
        <f>IFERROR(__xludf.DUMMYFUNCTION("GOOGLETRANSLATE(B78, ""en"", ""kn"")"),"ಬಿಳಿ")</f>
        <v>ಬಿಳಿ</v>
      </c>
      <c r="F78" s="7" t="str">
        <f>IFERROR(__xludf.DUMMYFUNCTION("GOOGLETRANSLATE(B78, ""en"", ""ml"")"),"വെള്ള")</f>
        <v>വെള്ള</v>
      </c>
      <c r="G78" s="7" t="str">
        <f>IFERROR(__xludf.DUMMYFUNCTION("GOOGLETRANSLATE(B78, ""en"", ""te"")"),"తెలుపు")</f>
        <v>తెలుపు</v>
      </c>
    </row>
    <row r="79">
      <c r="A79" s="4" t="s">
        <v>161</v>
      </c>
      <c r="B79" s="5" t="s">
        <v>162</v>
      </c>
      <c r="C79" s="6" t="str">
        <f>IFERROR(__xludf.DUMMYFUNCTION("GOOGLETRANSLATE(B79, ""en"", ""ta"")"),"சாம்பல்")</f>
        <v>சாம்பல்</v>
      </c>
      <c r="D79" s="6" t="str">
        <f>IFERROR(__xludf.DUMMYFUNCTION("GOOGLETRANSLATE(B79, ""en"", ""hi"")"),"स्लेटी")</f>
        <v>स्लेटी</v>
      </c>
      <c r="E79" s="6" t="str">
        <f>IFERROR(__xludf.DUMMYFUNCTION("GOOGLETRANSLATE(B79, ""en"", ""kn"")"),"ಬೂದು")</f>
        <v>ಬೂದು</v>
      </c>
      <c r="F79" s="7" t="str">
        <f>IFERROR(__xludf.DUMMYFUNCTION("GOOGLETRANSLATE(B79, ""en"", ""ml"")"),"ചാരനിറം")</f>
        <v>ചാരനിറം</v>
      </c>
      <c r="G79" s="7" t="str">
        <f>IFERROR(__xludf.DUMMYFUNCTION("GOOGLETRANSLATE(B79, ""en"", ""te"")"),"బూడిద రంగు")</f>
        <v>బూడిద రంగు</v>
      </c>
    </row>
    <row r="80">
      <c r="A80" s="4" t="s">
        <v>163</v>
      </c>
      <c r="B80" s="5" t="s">
        <v>164</v>
      </c>
      <c r="C80" s="6" t="str">
        <f>IFERROR(__xludf.DUMMYFUNCTION("GOOGLETRANSLATE(B80, ""en"", ""ta"")"),"ஆரஞ்சு")</f>
        <v>ஆரஞ்சு</v>
      </c>
      <c r="D80" s="6" t="str">
        <f>IFERROR(__xludf.DUMMYFUNCTION("GOOGLETRANSLATE(B80, ""en"", ""hi"")"),"नारंगी")</f>
        <v>नारंगी</v>
      </c>
      <c r="E80" s="6" t="str">
        <f>IFERROR(__xludf.DUMMYFUNCTION("GOOGLETRANSLATE(B80, ""en"", ""kn"")"),"ಕಿತ್ತಳೆ")</f>
        <v>ಕಿತ್ತಳೆ</v>
      </c>
      <c r="F80" s="7" t="str">
        <f>IFERROR(__xludf.DUMMYFUNCTION("GOOGLETRANSLATE(B80, ""en"", ""ml"")"),"ഓറഞ്ച്")</f>
        <v>ഓറഞ്ച്</v>
      </c>
      <c r="G80" s="7" t="str">
        <f>IFERROR(__xludf.DUMMYFUNCTION("GOOGLETRANSLATE(B80, ""en"", ""te"")"),"నారింజ")</f>
        <v>నారింజ</v>
      </c>
    </row>
    <row r="81">
      <c r="A81" s="4" t="s">
        <v>165</v>
      </c>
      <c r="B81" s="5" t="s">
        <v>166</v>
      </c>
      <c r="C81" s="6" t="str">
        <f>IFERROR(__xludf.DUMMYFUNCTION("GOOGLETRANSLATE(B81, ""en"", ""ta"")"),"ஊதா")</f>
        <v>ஊதா</v>
      </c>
      <c r="D81" s="6" t="str">
        <f>IFERROR(__xludf.DUMMYFUNCTION("GOOGLETRANSLATE(B81, ""en"", ""hi"")"),"बैंगनी")</f>
        <v>बैंगनी</v>
      </c>
      <c r="E81" s="6" t="str">
        <f>IFERROR(__xludf.DUMMYFUNCTION("GOOGLETRANSLATE(B81, ""en"", ""kn"")"),"ನೇರಳೆ")</f>
        <v>ನೇರಳೆ</v>
      </c>
      <c r="F81" s="7" t="str">
        <f>IFERROR(__xludf.DUMMYFUNCTION("GOOGLETRANSLATE(B81, ""en"", ""ml"")"),"പർപ്പിൾ")</f>
        <v>പർപ്പിൾ</v>
      </c>
      <c r="G81" s="7" t="str">
        <f>IFERROR(__xludf.DUMMYFUNCTION("GOOGLETRANSLATE(B81, ""en"", ""te"")"),"ఊదా")</f>
        <v>ఊదా</v>
      </c>
    </row>
    <row r="82">
      <c r="A82" s="4" t="s">
        <v>167</v>
      </c>
      <c r="B82" s="5" t="s">
        <v>168</v>
      </c>
      <c r="C82" s="6" t="str">
        <f>IFERROR(__xludf.DUMMYFUNCTION("GOOGLETRANSLATE(B82, ""en"", ""ta"")"),"பழுப்பு")</f>
        <v>பழுப்பு</v>
      </c>
      <c r="D82" s="6" t="str">
        <f>IFERROR(__xludf.DUMMYFUNCTION("GOOGLETRANSLATE(B82, ""en"", ""hi"")"),"भूरा")</f>
        <v>भूरा</v>
      </c>
      <c r="E82" s="6" t="str">
        <f>IFERROR(__xludf.DUMMYFUNCTION("GOOGLETRANSLATE(B82, ""en"", ""kn"")"),"ಕಂದು")</f>
        <v>ಕಂದು</v>
      </c>
      <c r="F82" s="7" t="str">
        <f>IFERROR(__xludf.DUMMYFUNCTION("GOOGLETRANSLATE(B82, ""en"", ""ml"")"),"തവിട്ട്")</f>
        <v>തവിട്ട്</v>
      </c>
      <c r="G82" s="7" t="str">
        <f>IFERROR(__xludf.DUMMYFUNCTION("GOOGLETRANSLATE(B82, ""en"", ""te"")"),"గోధుమ రంగు")</f>
        <v>గోధుమ రంగు</v>
      </c>
    </row>
    <row r="83">
      <c r="A83" s="4" t="s">
        <v>169</v>
      </c>
      <c r="B83" s="5" t="s">
        <v>170</v>
      </c>
      <c r="C83" s="6" t="str">
        <f>IFERROR(__xludf.DUMMYFUNCTION("GOOGLETRANSLATE(B83, ""en"", ""ta"")"),"இளஞ்சிவப்பு")</f>
        <v>இளஞ்சிவப்பு</v>
      </c>
      <c r="D83" s="6" t="str">
        <f>IFERROR(__xludf.DUMMYFUNCTION("GOOGLETRANSLATE(B83, ""en"", ""hi"")"),"गुलाबी")</f>
        <v>गुलाबी</v>
      </c>
      <c r="E83" s="6" t="str">
        <f>IFERROR(__xludf.DUMMYFUNCTION("GOOGLETRANSLATE(B83, ""en"", ""kn"")"),"ಗುಲಾಬಿ")</f>
        <v>ಗುಲಾಬಿ</v>
      </c>
      <c r="F83" s="7" t="str">
        <f>IFERROR(__xludf.DUMMYFUNCTION("GOOGLETRANSLATE(B83, ""en"", ""ml"")"),"പിങ്ക്")</f>
        <v>പിങ്ക്</v>
      </c>
      <c r="G83" s="7" t="str">
        <f>IFERROR(__xludf.DUMMYFUNCTION("GOOGLETRANSLATE(B83, ""en"", ""te"")"),"పింక్")</f>
        <v>పింక్</v>
      </c>
    </row>
    <row r="84">
      <c r="A84" s="4" t="s">
        <v>171</v>
      </c>
      <c r="B84" s="5" t="s">
        <v>172</v>
      </c>
      <c r="C84" s="6" t="str">
        <f>IFERROR(__xludf.DUMMYFUNCTION("GOOGLETRANSLATE(B84, ""en"", ""ta"")"),"ஆலிவ்")</f>
        <v>ஆலிவ்</v>
      </c>
      <c r="D84" s="6" t="str">
        <f>IFERROR(__xludf.DUMMYFUNCTION("GOOGLETRANSLATE(B84, ""en"", ""hi"")"),"जैतून")</f>
        <v>जैतून</v>
      </c>
      <c r="E84" s="6" t="str">
        <f>IFERROR(__xludf.DUMMYFUNCTION("GOOGLETRANSLATE(B84, ""en"", ""kn"")"),"ಆಲಿವ್")</f>
        <v>ಆಲಿವ್</v>
      </c>
      <c r="F84" s="7" t="str">
        <f>IFERROR(__xludf.DUMMYFUNCTION("GOOGLETRANSLATE(B84, ""en"", ""ml"")"),"ഒലിവ്")</f>
        <v>ഒലിവ്</v>
      </c>
      <c r="G84" s="7" t="str">
        <f>IFERROR(__xludf.DUMMYFUNCTION("GOOGLETRANSLATE(B84, ""en"", ""te"")"),"ఆలివ్")</f>
        <v>ఆలివ్</v>
      </c>
    </row>
    <row r="85">
      <c r="A85" s="4" t="s">
        <v>173</v>
      </c>
      <c r="B85" s="5" t="s">
        <v>174</v>
      </c>
      <c r="C85" s="6" t="str">
        <f>IFERROR(__xludf.DUMMYFUNCTION("GOOGLETRANSLATE(B85, ""en"", ""ta"")"),"மெரூன்")</f>
        <v>மெரூன்</v>
      </c>
      <c r="D85" s="6" t="str">
        <f>IFERROR(__xludf.DUMMYFUNCTION("GOOGLETRANSLATE(B85, ""en"", ""hi"")"),"लाल रंग")</f>
        <v>लाल रंग</v>
      </c>
      <c r="E85" s="6" t="str">
        <f>IFERROR(__xludf.DUMMYFUNCTION("GOOGLETRANSLATE(B85, ""en"", ""kn"")"),"ಮರೂನ್")</f>
        <v>ಮರೂನ್</v>
      </c>
      <c r="F85" s="7" t="str">
        <f>IFERROR(__xludf.DUMMYFUNCTION("GOOGLETRANSLATE(B85, ""en"", ""ml"")"),"മറൂൺ")</f>
        <v>മറൂൺ</v>
      </c>
      <c r="G85" s="7" t="str">
        <f>IFERROR(__xludf.DUMMYFUNCTION("GOOGLETRANSLATE(B85, ""en"", ""te"")"),"మెరూన్")</f>
        <v>మెరూన్</v>
      </c>
    </row>
    <row r="86">
      <c r="A86" s="4" t="s">
        <v>175</v>
      </c>
      <c r="B86" s="5" t="s">
        <v>176</v>
      </c>
      <c r="C86" s="6" t="str">
        <f>IFERROR(__xludf.DUMMYFUNCTION("GOOGLETRANSLATE(B86, ""en"", ""ta"")"),"நீலம்")</f>
        <v>நீலம்</v>
      </c>
      <c r="D86" s="6" t="str">
        <f>IFERROR(__xludf.DUMMYFUNCTION("GOOGLETRANSLATE(B86, ""en"", ""hi"")"),"टील")</f>
        <v>टील</v>
      </c>
      <c r="E86" s="6" t="str">
        <f>IFERROR(__xludf.DUMMYFUNCTION("GOOGLETRANSLATE(B86, ""en"", ""kn"")"),"ಟೀಲ್")</f>
        <v>ಟೀಲ್</v>
      </c>
      <c r="F86" s="7" t="str">
        <f>IFERROR(__xludf.DUMMYFUNCTION("GOOGLETRANSLATE(B86, ""en"", ""ml"")"),"ടീൽ")</f>
        <v>ടീൽ</v>
      </c>
      <c r="G86" s="7" t="str">
        <f>IFERROR(__xludf.DUMMYFUNCTION("GOOGLETRANSLATE(B86, ""en"", ""te"")"),"టీల్")</f>
        <v>టీల్</v>
      </c>
    </row>
    <row r="87">
      <c r="A87" s="4" t="s">
        <v>177</v>
      </c>
      <c r="B87" s="5" t="s">
        <v>178</v>
      </c>
      <c r="C87" s="6" t="str">
        <f>IFERROR(__xludf.DUMMYFUNCTION("GOOGLETRANSLATE(B87, ""en"", ""ta"")"),"கடற்படை")</f>
        <v>கடற்படை</v>
      </c>
      <c r="D87" s="6" t="str">
        <f>IFERROR(__xludf.DUMMYFUNCTION("GOOGLETRANSLATE(B87, ""en"", ""hi"")"),"नौसेना")</f>
        <v>नौसेना</v>
      </c>
      <c r="E87" s="6" t="str">
        <f>IFERROR(__xludf.DUMMYFUNCTION("GOOGLETRANSLATE(B87, ""en"", ""kn"")"),"ನೌಕಾಪಡೆ")</f>
        <v>ನೌಕಾಪಡೆ</v>
      </c>
      <c r="F87" s="7" t="str">
        <f>IFERROR(__xludf.DUMMYFUNCTION("GOOGLETRANSLATE(B87, ""en"", ""ml"")"),"നാവികസേന")</f>
        <v>നാവികസേന</v>
      </c>
      <c r="G87" s="7" t="str">
        <f>IFERROR(__xludf.DUMMYFUNCTION("GOOGLETRANSLATE(B87, ""en"", ""te"")"),"నేవీ")</f>
        <v>నేవీ</v>
      </c>
    </row>
    <row r="88">
      <c r="A88" s="4" t="s">
        <v>179</v>
      </c>
      <c r="B88" s="5" t="s">
        <v>180</v>
      </c>
      <c r="C88" s="6" t="str">
        <f>IFERROR(__xludf.DUMMYFUNCTION("GOOGLETRANSLATE(B88, ""en"", ""ta"")"),"தனிப்பயன்")</f>
        <v>தனிப்பயன்</v>
      </c>
      <c r="D88" s="6" t="str">
        <f>IFERROR(__xludf.DUMMYFUNCTION("GOOGLETRANSLATE(B88, ""en"", ""hi"")"),"रिवाज़")</f>
        <v>रिवाज़</v>
      </c>
      <c r="E88" s="6" t="str">
        <f>IFERROR(__xludf.DUMMYFUNCTION("GOOGLETRANSLATE(B88, ""en"", ""kn"")"),"ಕಸ್ಟಮ್")</f>
        <v>ಕಸ್ಟಮ್</v>
      </c>
      <c r="F88" s="7" t="str">
        <f>IFERROR(__xludf.DUMMYFUNCTION("GOOGLETRANSLATE(B88, ""en"", ""ml"")"),"കസ്റ്റം")</f>
        <v>കസ്റ്റം</v>
      </c>
      <c r="G88" s="7" t="str">
        <f>IFERROR(__xludf.DUMMYFUNCTION("GOOGLETRANSLATE(B88, ""en"", ""te"")"),"కస్టమ్")</f>
        <v>కస్టమ్</v>
      </c>
    </row>
    <row r="89">
      <c r="A89" s="4" t="s">
        <v>181</v>
      </c>
      <c r="B89" s="5" t="s">
        <v>182</v>
      </c>
      <c r="C89" s="6" t="str">
        <f>IFERROR(__xludf.DUMMYFUNCTION("GOOGLETRANSLATE(B89, ""en"", ""ta"")"),"பெட்ரோல்")</f>
        <v>பெட்ரோல்</v>
      </c>
      <c r="D89" s="6" t="str">
        <f>IFERROR(__xludf.DUMMYFUNCTION("GOOGLETRANSLATE(B89, ""en"", ""hi"")"),"पेट्रोल")</f>
        <v>पेट्रोल</v>
      </c>
      <c r="E89" s="6" t="str">
        <f>IFERROR(__xludf.DUMMYFUNCTION("GOOGLETRANSLATE(B89, ""en"", ""kn"")"),"ಪೆಟ್ರೋಲ್")</f>
        <v>ಪೆಟ್ರೋಲ್</v>
      </c>
      <c r="F89" s="7" t="str">
        <f>IFERROR(__xludf.DUMMYFUNCTION("GOOGLETRANSLATE(B89, ""en"", ""ml"")"),"പെട്രോൾ")</f>
        <v>പെട്രോൾ</v>
      </c>
      <c r="G89" s="7" t="str">
        <f>IFERROR(__xludf.DUMMYFUNCTION("GOOGLETRANSLATE(B89, ""en"", ""te"")"),"పెట్రోల్")</f>
        <v>పెట్రోల్</v>
      </c>
    </row>
    <row r="90">
      <c r="A90" s="4" t="s">
        <v>183</v>
      </c>
      <c r="B90" s="5" t="s">
        <v>184</v>
      </c>
      <c r="C90" s="6" t="str">
        <f>IFERROR(__xludf.DUMMYFUNCTION("GOOGLETRANSLATE(B90, ""en"", ""ta"")"),"டீசல்")</f>
        <v>டீசல்</v>
      </c>
      <c r="D90" s="6" t="str">
        <f>IFERROR(__xludf.DUMMYFUNCTION("GOOGLETRANSLATE(B90, ""en"", ""hi"")"),"डीज़ल")</f>
        <v>डीज़ल</v>
      </c>
      <c r="E90" s="6" t="str">
        <f>IFERROR(__xludf.DUMMYFUNCTION("GOOGLETRANSLATE(B90, ""en"", ""kn"")"),"ಡೀಸೆಲ್")</f>
        <v>ಡೀಸೆಲ್</v>
      </c>
      <c r="F90" s="7" t="str">
        <f>IFERROR(__xludf.DUMMYFUNCTION("GOOGLETRANSLATE(B90, ""en"", ""ml"")"),"ഡീസൽ")</f>
        <v>ഡീസൽ</v>
      </c>
      <c r="G90" s="7" t="str">
        <f>IFERROR(__xludf.DUMMYFUNCTION("GOOGLETRANSLATE(B90, ""en"", ""te"")"),"డీజిల్")</f>
        <v>డీజిల్</v>
      </c>
    </row>
    <row r="91">
      <c r="A91" s="4" t="s">
        <v>185</v>
      </c>
      <c r="B91" s="5" t="s">
        <v>186</v>
      </c>
      <c r="C91" s="6" t="str">
        <f>IFERROR(__xludf.DUMMYFUNCTION("GOOGLETRANSLATE(B91, ""en"", ""ta"")"),"சி.என்.ஜி.")</f>
        <v>சி.என்.ஜி.</v>
      </c>
      <c r="D91" s="6" t="str">
        <f>IFERROR(__xludf.DUMMYFUNCTION("GOOGLETRANSLATE(B91, ""en"", ""hi"")"),"सीएनजी")</f>
        <v>सीएनजी</v>
      </c>
      <c r="E91" s="6" t="str">
        <f>IFERROR(__xludf.DUMMYFUNCTION("GOOGLETRANSLATE(B91, ""en"", ""kn"")"),"ಸಿಎನ್‌ಜಿ")</f>
        <v>ಸಿಎನ್‌ಜಿ</v>
      </c>
      <c r="F91" s="7" t="str">
        <f>IFERROR(__xludf.DUMMYFUNCTION("GOOGLETRANSLATE(B91, ""en"", ""ml"")"),"സിഎൻജി")</f>
        <v>സിഎൻജി</v>
      </c>
      <c r="G91" s="7" t="str">
        <f>IFERROR(__xludf.DUMMYFUNCTION("GOOGLETRANSLATE(B91, ""en"", ""te"")"),"సిఎన్‌జి")</f>
        <v>సిఎన్‌జి</v>
      </c>
    </row>
    <row r="92">
      <c r="A92" s="4" t="s">
        <v>187</v>
      </c>
      <c r="B92" s="5" t="s">
        <v>188</v>
      </c>
      <c r="C92" s="6" t="str">
        <f>IFERROR(__xludf.DUMMYFUNCTION("GOOGLETRANSLATE(B92, ""en"", ""ta"")"),"மின்சார வாகனம்")</f>
        <v>மின்சார வாகனம்</v>
      </c>
      <c r="D92" s="6" t="str">
        <f>IFERROR(__xludf.DUMMYFUNCTION("GOOGLETRANSLATE(B92, ""en"", ""hi"")"),"ईवी")</f>
        <v>ईवी</v>
      </c>
      <c r="E92" s="6" t="str">
        <f>IFERROR(__xludf.DUMMYFUNCTION("GOOGLETRANSLATE(B92, ""en"", ""kn"")"),"ಇವಿ")</f>
        <v>ಇವಿ</v>
      </c>
      <c r="F92" s="7" t="str">
        <f>IFERROR(__xludf.DUMMYFUNCTION("GOOGLETRANSLATE(B92, ""en"", ""ml"")"),"ഇ.വി.")</f>
        <v>ഇ.വി.</v>
      </c>
      <c r="G92" s="7" t="str">
        <f>IFERROR(__xludf.DUMMYFUNCTION("GOOGLETRANSLATE(B92, ""en"", ""te"")"),"ఇవి")</f>
        <v>ఇవి</v>
      </c>
    </row>
    <row r="93">
      <c r="A93" s="4" t="s">
        <v>189</v>
      </c>
      <c r="B93" s="5" t="s">
        <v>190</v>
      </c>
      <c r="C93" s="6" t="str">
        <f>IFERROR(__xludf.DUMMYFUNCTION("GOOGLETRANSLATE(B93, ""en"", ""ta"")"),"எல்பிஜி")</f>
        <v>எல்பிஜி</v>
      </c>
      <c r="D93" s="6" t="str">
        <f>IFERROR(__xludf.DUMMYFUNCTION("GOOGLETRANSLATE(B93, ""en"", ""hi"")"),"रसोई गैस")</f>
        <v>रसोई गैस</v>
      </c>
      <c r="E93" s="6" t="str">
        <f>IFERROR(__xludf.DUMMYFUNCTION("GOOGLETRANSLATE(B93, ""en"", ""kn"")"),"ಎಲ್‌ಪಿಜಿ")</f>
        <v>ಎಲ್‌ಪಿಜಿ</v>
      </c>
      <c r="F93" s="7" t="str">
        <f>IFERROR(__xludf.DUMMYFUNCTION("GOOGLETRANSLATE(B93, ""en"", ""ml"")"),"എൽപിജി")</f>
        <v>എൽപിജി</v>
      </c>
      <c r="G93" s="7" t="str">
        <f>IFERROR(__xludf.DUMMYFUNCTION("GOOGLETRANSLATE(B93, ""en"", ""te"")"),"ఎల్‌పిజి")</f>
        <v>ఎల్‌పిజి</v>
      </c>
    </row>
    <row r="94">
      <c r="A94" s="4" t="s">
        <v>191</v>
      </c>
      <c r="B94" s="5" t="s">
        <v>192</v>
      </c>
      <c r="C94" s="6" t="str">
        <f>IFERROR(__xludf.DUMMYFUNCTION("GOOGLETRANSLATE(B94, ""en"", ""ta"")"),"பெட்ரோல் + சிஎன்ஜி")</f>
        <v>பெட்ரோல் + சிஎன்ஜி</v>
      </c>
      <c r="D94" s="6" t="str">
        <f>IFERROR(__xludf.DUMMYFUNCTION("GOOGLETRANSLATE(B94, ""en"", ""hi"")"),"पेट्रोल + सीएनजी")</f>
        <v>पेट्रोल + सीएनजी</v>
      </c>
      <c r="E94" s="6" t="str">
        <f>IFERROR(__xludf.DUMMYFUNCTION("GOOGLETRANSLATE(B94, ""en"", ""kn"")"),"ಪೆಟ್ರೋಲ್ + ಸಿಎನ್‌ಜಿ")</f>
        <v>ಪೆಟ್ರೋಲ್ + ಸಿಎನ್‌ಜಿ</v>
      </c>
      <c r="F94" s="7" t="str">
        <f>IFERROR(__xludf.DUMMYFUNCTION("GOOGLETRANSLATE(B94, ""en"", ""ml"")"),"പെട്രോൾ + സിഎൻജി")</f>
        <v>പെട്രോൾ + സിഎൻജി</v>
      </c>
      <c r="G94" s="7" t="str">
        <f>IFERROR(__xludf.DUMMYFUNCTION("GOOGLETRANSLATE(B94, ""en"", ""te"")"),"పెట్రోల్ + సిఎన్‌జి")</f>
        <v>పెట్రోల్ + సిఎన్‌జి</v>
      </c>
    </row>
    <row r="95">
      <c r="A95" s="4" t="s">
        <v>193</v>
      </c>
      <c r="B95" s="5" t="s">
        <v>194</v>
      </c>
      <c r="C95" s="6" t="str">
        <f>IFERROR(__xludf.DUMMYFUNCTION("GOOGLETRANSLATE(B95, ""en"", ""ta"")"),"ஹைட்ரஜன்")</f>
        <v>ஹைட்ரஜன்</v>
      </c>
      <c r="D95" s="6" t="str">
        <f>IFERROR(__xludf.DUMMYFUNCTION("GOOGLETRANSLATE(B95, ""en"", ""hi"")"),"हाइड्रोजन")</f>
        <v>हाइड्रोजन</v>
      </c>
      <c r="E95" s="6" t="str">
        <f>IFERROR(__xludf.DUMMYFUNCTION("GOOGLETRANSLATE(B95, ""en"", ""kn"")"),"ಹೈಡ್ರೋಜನ್")</f>
        <v>ಹೈಡ್ರೋಜನ್</v>
      </c>
      <c r="F95" s="7" t="str">
        <f>IFERROR(__xludf.DUMMYFUNCTION("GOOGLETRANSLATE(B95, ""en"", ""ml"")"),"ഹൈഡ്രജൻ")</f>
        <v>ഹൈഡ്രജൻ</v>
      </c>
      <c r="G95" s="7" t="str">
        <f>IFERROR(__xludf.DUMMYFUNCTION("GOOGLETRANSLATE(B95, ""en"", ""te"")"),"హైడ్రోజన్")</f>
        <v>హైడ్రోజన్</v>
      </c>
    </row>
    <row r="96">
      <c r="A96" s="4" t="s">
        <v>195</v>
      </c>
      <c r="B96" s="5" t="s">
        <v>196</v>
      </c>
      <c r="C96" s="6" t="str">
        <f>IFERROR(__xludf.DUMMYFUNCTION("GOOGLETRANSLATE(B96, ""en"", ""ta"")"),"சேர்")</f>
        <v>சேர்</v>
      </c>
      <c r="D96" s="6" t="str">
        <f>IFERROR(__xludf.DUMMYFUNCTION("GOOGLETRANSLATE(B96, ""en"", ""hi"")"),"जोड़ना")</f>
        <v>जोड़ना</v>
      </c>
      <c r="E96" s="6" t="str">
        <f>IFERROR(__xludf.DUMMYFUNCTION("GOOGLETRANSLATE(B96, ""en"", ""kn"")"),"ಸೇರಿಸಿ")</f>
        <v>ಸೇರಿಸಿ</v>
      </c>
      <c r="F96" s="7" t="str">
        <f>IFERROR(__xludf.DUMMYFUNCTION("GOOGLETRANSLATE(B96, ""en"", ""ml"")"),"ചേർക്കുക")</f>
        <v>ചേർക്കുക</v>
      </c>
      <c r="G96" s="7" t="str">
        <f>IFERROR(__xludf.DUMMYFUNCTION("GOOGLETRANSLATE(B96, ""en"", ""te"")"),"జోడించు")</f>
        <v>జోడించు</v>
      </c>
    </row>
    <row r="97">
      <c r="A97" s="4" t="s">
        <v>197</v>
      </c>
      <c r="B97" s="5" t="s">
        <v>198</v>
      </c>
      <c r="C97" s="6" t="str">
        <f>IFERROR(__xludf.DUMMYFUNCTION("GOOGLETRANSLATE(B97, ""en"", ""ta"")"),"வாகன பிராண்டாக")</f>
        <v>வாகன பிராண்டாக</v>
      </c>
      <c r="D97" s="6" t="str">
        <f>IFERROR(__xludf.DUMMYFUNCTION("GOOGLETRANSLATE(B97, ""en"", ""hi"")"),"वाहन ब्रांड के रूप में")</f>
        <v>वाहन ब्रांड के रूप में</v>
      </c>
      <c r="E97" s="6" t="str">
        <f>IFERROR(__xludf.DUMMYFUNCTION("GOOGLETRANSLATE(B97, ""en"", ""kn"")"),"ವಾಹನ ಬ್ರಾಂಡ್ ಆಗಿ")</f>
        <v>ವಾಹನ ಬ್ರಾಂಡ್ ಆಗಿ</v>
      </c>
      <c r="F97" s="7" t="str">
        <f>IFERROR(__xludf.DUMMYFUNCTION("GOOGLETRANSLATE(B97, ""en"", ""ml"")"),"വാഹന ബ്രാൻഡായി")</f>
        <v>വാഹന ബ്രാൻഡായി</v>
      </c>
      <c r="G97" s="7" t="str">
        <f>IFERROR(__xludf.DUMMYFUNCTION("GOOGLETRANSLATE(B97, ""en"", ""te"")"),"వాహన బ్రాండ్‌గా")</f>
        <v>వాహన బ్రాండ్‌గా</v>
      </c>
    </row>
    <row r="98">
      <c r="A98" s="4" t="s">
        <v>199</v>
      </c>
      <c r="B98" s="5" t="s">
        <v>200</v>
      </c>
      <c r="C98" s="6" t="str">
        <f>IFERROR(__xludf.DUMMYFUNCTION("GOOGLETRANSLATE(B98, ""en"", ""ta"")"),"வாகன மாதிரியாக")</f>
        <v>வாகன மாதிரியாக</v>
      </c>
      <c r="D98" s="6" t="str">
        <f>IFERROR(__xludf.DUMMYFUNCTION("GOOGLETRANSLATE(B98, ""en"", ""hi"")"),"वाहन मॉडल के रूप में")</f>
        <v>वाहन मॉडल के रूप में</v>
      </c>
      <c r="E98" s="6" t="str">
        <f>IFERROR(__xludf.DUMMYFUNCTION("GOOGLETRANSLATE(B98, ""en"", ""kn"")"),"ವಾಹನ ಮಾದರಿಯಾಗಿ")</f>
        <v>ವಾಹನ ಮಾದರಿಯಾಗಿ</v>
      </c>
      <c r="F98" s="7" t="str">
        <f>IFERROR(__xludf.DUMMYFUNCTION("GOOGLETRANSLATE(B98, ""en"", ""ml"")"),"വാഹന മോഡലായി")</f>
        <v>വാഹന മോഡലായി</v>
      </c>
      <c r="G98" s="7" t="str">
        <f>IFERROR(__xludf.DUMMYFUNCTION("GOOGLETRANSLATE(B98, ""en"", ""te"")"),"వాహన నమూనాగా")</f>
        <v>వాహన నమూనాగా</v>
      </c>
    </row>
    <row r="99">
      <c r="A99" s="4" t="s">
        <v>201</v>
      </c>
      <c r="B99" s="5" t="s">
        <v>202</v>
      </c>
      <c r="C99" s="6" t="str">
        <f>IFERROR(__xludf.DUMMYFUNCTION("GOOGLETRANSLATE(B99, ""en"", ""ta"")"),"கணக்கு எண்ணை உள்ளிடவும்.")</f>
        <v>கணக்கு எண்ணை உள்ளிடவும்.</v>
      </c>
      <c r="D99" s="6" t="str">
        <f>IFERROR(__xludf.DUMMYFUNCTION("GOOGLETRANSLATE(B99, ""en"", ""hi"")"),"कृपया खाता संख्या दर्ज करें")</f>
        <v>कृपया खाता संख्या दर्ज करें</v>
      </c>
      <c r="E99" s="6" t="str">
        <f>IFERROR(__xludf.DUMMYFUNCTION("GOOGLETRANSLATE(B99, ""en"", ""kn"")"),"ದಯವಿಟ್ಟು ಖಾತೆ ಸಂಖ್ಯೆಯನ್ನು ನಮೂದಿಸಿ")</f>
        <v>ದಯವಿಟ್ಟು ಖಾತೆ ಸಂಖ್ಯೆಯನ್ನು ನಮೂದಿಸಿ</v>
      </c>
      <c r="F99" s="7" t="str">
        <f>IFERROR(__xludf.DUMMYFUNCTION("GOOGLETRANSLATE(B99, ""en"", ""ml"")"),"അക്കൗണ്ട് നമ്പർ നൽകുക")</f>
        <v>അക്കൗണ്ട് നമ്പർ നൽകുക</v>
      </c>
      <c r="G99" s="7" t="str">
        <f>IFERROR(__xludf.DUMMYFUNCTION("GOOGLETRANSLATE(B99, ""en"", ""te"")"),"దయచేసి ఖాతా నంబర్‌ను నమోదు చేయండి")</f>
        <v>దయచేసి ఖాతా నంబర్‌ను నమోదు చేయండి</v>
      </c>
    </row>
    <row r="100">
      <c r="A100" s="4" t="s">
        <v>203</v>
      </c>
      <c r="B100" s="5" t="s">
        <v>204</v>
      </c>
      <c r="C100" s="6" t="str">
        <f>IFERROR(__xludf.DUMMYFUNCTION("GOOGLETRANSLATE(B100, ""en"", ""ta"")"),"சரியான கணக்கு எண்ணை (9-18 இலக்கங்கள்) உள்ளிடவும்.")</f>
        <v>சரியான கணக்கு எண்ணை (9-18 இலக்கங்கள்) உள்ளிடவும்.</v>
      </c>
      <c r="D100" s="6" t="str">
        <f>IFERROR(__xludf.DUMMYFUNCTION("GOOGLETRANSLATE(B100, ""en"", ""hi"")"),"कृपया एक वैध खाता संख्या (9-18 अंक) दर्ज करें।")</f>
        <v>कृपया एक वैध खाता संख्या (9-18 अंक) दर्ज करें।</v>
      </c>
      <c r="E100" s="6" t="str">
        <f>IFERROR(__xludf.DUMMYFUNCTION("GOOGLETRANSLATE(B100, ""en"", ""kn"")"),"ದಯವಿಟ್ಟು ಮಾನ್ಯವಾದ ಖಾತೆ ಸಂಖ್ಯೆಯನ್ನು ನಮೂದಿಸಿ (9-18 ಅಂಕೆಗಳು)")</f>
        <v>ದಯವಿಟ್ಟು ಮಾನ್ಯವಾದ ಖಾತೆ ಸಂಖ್ಯೆಯನ್ನು ನಮೂದಿಸಿ (9-18 ಅಂಕೆಗಳು)</v>
      </c>
      <c r="F100" s="7" t="str">
        <f>IFERROR(__xludf.DUMMYFUNCTION("GOOGLETRANSLATE(B100, ""en"", ""ml"")"),"ദയവായി സാധുവായ ഒരു അക്കൗണ്ട് നമ്പർ നൽകുക (9-18 അക്കങ്ങൾ)")</f>
        <v>ദയവായി സാധുവായ ഒരു അക്കൗണ്ട് നമ്പർ നൽകുക (9-18 അക്കങ്ങൾ)</v>
      </c>
      <c r="G100" s="7" t="str">
        <f>IFERROR(__xludf.DUMMYFUNCTION("GOOGLETRANSLATE(B100, ""en"", ""te"")"),"దయచేసి చెల్లుబాటు అయ్యే ఖాతా నంబర్‌ను (9-18 అంకెలు) నమోదు చేయండి.")</f>
        <v>దయచేసి చెల్లుబాటు అయ్యే ఖాతా నంబర్‌ను (9-18 అంకెలు) నమోదు చేయండి.</v>
      </c>
    </row>
    <row r="101">
      <c r="A101" s="4" t="s">
        <v>205</v>
      </c>
      <c r="B101" s="5" t="s">
        <v>206</v>
      </c>
      <c r="C101" s="6" t="str">
        <f>IFERROR(__xludf.DUMMYFUNCTION("GOOGLETRANSLATE(B101, ""en"", ""ta"")"),"தயவுசெய்து IFSC குறியீட்டை உள்ளிடவும்.")</f>
        <v>தயவுசெய்து IFSC குறியீட்டை உள்ளிடவும்.</v>
      </c>
      <c r="D101" s="6" t="str">
        <f>IFERROR(__xludf.DUMMYFUNCTION("GOOGLETRANSLATE(B101, ""en"", ""hi"")"),"कृपया IFSC कोड दर्ज करें")</f>
        <v>कृपया IFSC कोड दर्ज करें</v>
      </c>
      <c r="E101" s="6" t="str">
        <f>IFERROR(__xludf.DUMMYFUNCTION("GOOGLETRANSLATE(B101, ""en"", ""kn"")"),"ದಯವಿಟ್ಟು IFSC ಕೋಡ್ ನಮೂದಿಸಿ.")</f>
        <v>ದಯವಿಟ್ಟು IFSC ಕೋಡ್ ನಮೂದಿಸಿ.</v>
      </c>
      <c r="F101" s="7" t="str">
        <f>IFERROR(__xludf.DUMMYFUNCTION("GOOGLETRANSLATE(B101, ""en"", ""ml"")"),"ദയവായി IFSC കോഡ് നൽകുക.")</f>
        <v>ദയവായി IFSC കോഡ് നൽകുക.</v>
      </c>
      <c r="G101" s="7" t="str">
        <f>IFERROR(__xludf.DUMMYFUNCTION("GOOGLETRANSLATE(B101, ""en"", ""te"")"),"దయచేసి IFSC కోడ్‌ను నమోదు చేయండి")</f>
        <v>దయచేసి IFSC కోడ్‌ను నమోదు చేయండి</v>
      </c>
    </row>
    <row r="102">
      <c r="A102" s="4" t="s">
        <v>207</v>
      </c>
      <c r="B102" s="5" t="s">
        <v>208</v>
      </c>
      <c r="C102" s="6" t="str">
        <f>IFERROR(__xludf.DUMMYFUNCTION("GOOGLETRANSLATE(B102, ""en"", ""ta"")"),"தயவுசெய்து செல்லுபடியாகும் IFSC குறியீட்டை உள்ளிடவும் (எ.கா., SBIN0001234)")</f>
        <v>தயவுசெய்து செல்லுபடியாகும் IFSC குறியீட்டை உள்ளிடவும் (எ.கா., SBIN0001234)</v>
      </c>
      <c r="D102" s="6" t="str">
        <f>IFERROR(__xludf.DUMMYFUNCTION("GOOGLETRANSLATE(B102, ""en"", ""hi"")"),"कृपया एक वैध IFSC कोड दर्ज करें (उदाहरण के लिए, SBIN0001234)")</f>
        <v>कृपया एक वैध IFSC कोड दर्ज करें (उदाहरण के लिए, SBIN0001234)</v>
      </c>
      <c r="E102" s="6" t="str">
        <f>IFERROR(__xludf.DUMMYFUNCTION("GOOGLETRANSLATE(B102, ""en"", ""kn"")"),"ದಯವಿಟ್ಟು ಮಾನ್ಯವಾದ IFSC ಕೋಡ್ ಅನ್ನು ನಮೂದಿಸಿ (ಉದಾ. SBIN0001234)")</f>
        <v>ದಯವಿಟ್ಟು ಮಾನ್ಯವಾದ IFSC ಕೋಡ್ ಅನ್ನು ನಮೂದಿಸಿ (ಉದಾ. SBIN0001234)</v>
      </c>
      <c r="F102" s="7" t="str">
        <f>IFERROR(__xludf.DUMMYFUNCTION("GOOGLETRANSLATE(B102, ""en"", ""ml"")"),"ദയവായി സാധുവായ ഒരു IFSC കോഡ് നൽകുക (ഉദാ. SBIN0001234)")</f>
        <v>ദയവായി സാധുവായ ഒരു IFSC കോഡ് നൽകുക (ഉദാ. SBIN0001234)</v>
      </c>
      <c r="G102" s="7" t="str">
        <f>IFERROR(__xludf.DUMMYFUNCTION("GOOGLETRANSLATE(B102, ""en"", ""te"")"),"దయచేసి చెల్లుబాటు అయ్యే IFSC కోడ్‌ను నమోదు చేయండి (ఉదా., SBIN0001234)")</f>
        <v>దయచేసి చెల్లుబాటు అయ్యే IFSC కోడ్‌ను నమోదు చేయండి (ఉదా., SBIN0001234)</v>
      </c>
    </row>
    <row r="103">
      <c r="A103" s="4" t="s">
        <v>209</v>
      </c>
      <c r="B103" s="5" t="s">
        <v>210</v>
      </c>
      <c r="C103" s="6" t="str">
        <f>IFERROR(__xludf.DUMMYFUNCTION("GOOGLETRANSLATE(B103, ""en"", ""ta"")"),"தயவுசெய்து வங்கி பாஸ்புக்கின் முதல் பக்கத்தைப் பதிவேற்றவும்.")</f>
        <v>தயவுசெய்து வங்கி பாஸ்புக்கின் முதல் பக்கத்தைப் பதிவேற்றவும்.</v>
      </c>
      <c r="D103" s="6" t="str">
        <f>IFERROR(__xludf.DUMMYFUNCTION("GOOGLETRANSLATE(B103, ""en"", ""hi"")"),"कृपया बैंक पासबुक का पहला पृष्ठ अपलोड करें")</f>
        <v>कृपया बैंक पासबुक का पहला पृष्ठ अपलोड करें</v>
      </c>
      <c r="E103" s="6" t="str">
        <f>IFERROR(__xludf.DUMMYFUNCTION("GOOGLETRANSLATE(B103, ""en"", ""kn"")"),"ದಯವಿಟ್ಟು ಬ್ಯಾಂಕ್ ಪಾಸ್‌ಬುಕ್‌ನ ಮುಖಪುಟವನ್ನು ಅಪ್‌ಲೋಡ್ ಮಾಡಿ.")</f>
        <v>ದಯವಿಟ್ಟು ಬ್ಯಾಂಕ್ ಪಾಸ್‌ಬುಕ್‌ನ ಮುಖಪುಟವನ್ನು ಅಪ್‌ಲೋಡ್ ಮಾಡಿ.</v>
      </c>
      <c r="F103" s="7" t="str">
        <f>IFERROR(__xludf.DUMMYFUNCTION("GOOGLETRANSLATE(B103, ""en"", ""ml"")"),"ദയവായി ബാങ്ക് പാസ്ബുക്കിന്റെ മുൻ പേജ് അപ്‌ലോഡ് ചെയ്യുക.")</f>
        <v>ദയവായി ബാങ്ക് പാസ്ബുക്കിന്റെ മുൻ പേജ് അപ്‌ലോഡ് ചെയ്യുക.</v>
      </c>
      <c r="G103" s="7" t="str">
        <f>IFERROR(__xludf.DUMMYFUNCTION("GOOGLETRANSLATE(B103, ""en"", ""te"")"),"దయచేసి బ్యాంక్ పాస్‌బుక్ మొదటి పేజీని అప్‌లోడ్ చేయండి.")</f>
        <v>దయచేసి బ్యాంక్ పాస్‌బుక్ మొదటి పేజీని అప్‌లోడ్ చేయండి.</v>
      </c>
    </row>
    <row r="104">
      <c r="A104" s="4" t="s">
        <v>211</v>
      </c>
      <c r="B104" s="5" t="s">
        <v>212</v>
      </c>
      <c r="C104" s="6" t="str">
        <f>IFERROR(__xludf.DUMMYFUNCTION("GOOGLETRANSLATE(B104, ""en"", ""ta"")"),"கணக்கு வைத்திருப்பவரின் பெயரை உள்ளிடவும்.")</f>
        <v>கணக்கு வைத்திருப்பவரின் பெயரை உள்ளிடவும்.</v>
      </c>
      <c r="D104" s="6" t="str">
        <f>IFERROR(__xludf.DUMMYFUNCTION("GOOGLETRANSLATE(B104, ""en"", ""hi"")"),"कृपया खाताधारक का नाम दर्ज करें")</f>
        <v>कृपया खाताधारक का नाम दर्ज करें</v>
      </c>
      <c r="E104" s="6" t="str">
        <f>IFERROR(__xludf.DUMMYFUNCTION("GOOGLETRANSLATE(B104, ""en"", ""kn"")"),"ದಯವಿಟ್ಟು ಖಾತೆದಾರರ ಹೆಸರನ್ನು ನಮೂದಿಸಿ.")</f>
        <v>ದಯವಿಟ್ಟು ಖಾತೆದಾರರ ಹೆಸರನ್ನು ನಮೂದಿಸಿ.</v>
      </c>
      <c r="F104" s="7" t="str">
        <f>IFERROR(__xludf.DUMMYFUNCTION("GOOGLETRANSLATE(B104, ""en"", ""ml"")"),"അക്കൗണ്ട് ഉടമയുടെ പേര് നൽകുക.")</f>
        <v>അക്കൗണ്ട് ഉടമയുടെ പേര് നൽകുക.</v>
      </c>
      <c r="G104" s="7" t="str">
        <f>IFERROR(__xludf.DUMMYFUNCTION("GOOGLETRANSLATE(B104, ""en"", ""te"")"),"దయచేసి ఖాతాదారు పేరును నమోదు చేయండి")</f>
        <v>దయచేసి ఖాతాదారు పేరును నమోదు చేయండి</v>
      </c>
    </row>
    <row r="105">
      <c r="A105" s="4" t="s">
        <v>213</v>
      </c>
      <c r="B105" s="5" t="s">
        <v>214</v>
      </c>
      <c r="C105" s="6" t="str">
        <f>IFERROR(__xludf.DUMMYFUNCTION("GOOGLETRANSLATE(B105, ""en"", ""ta"")"),"கணக்கு எண்ணை மீண்டும் உள்ளிடவும்.")</f>
        <v>கணக்கு எண்ணை மீண்டும் உள்ளிடவும்.</v>
      </c>
      <c r="D105" s="6" t="str">
        <f>IFERROR(__xludf.DUMMYFUNCTION("GOOGLETRANSLATE(B105, ""en"", ""hi"")"),"कृपया खाता संख्या पुनः दर्ज करें")</f>
        <v>कृपया खाता संख्या पुनः दर्ज करें</v>
      </c>
      <c r="E105" s="6" t="str">
        <f>IFERROR(__xludf.DUMMYFUNCTION("GOOGLETRANSLATE(B105, ""en"", ""kn"")"),"ದಯವಿಟ್ಟು ಖಾತೆ ಸಂಖ್ಯೆಯನ್ನು ಮರು ನಮೂದಿಸಿ.")</f>
        <v>ದಯವಿಟ್ಟು ಖಾತೆ ಸಂಖ್ಯೆಯನ್ನು ಮರು ನಮೂದಿಸಿ.</v>
      </c>
      <c r="F105" s="7" t="str">
        <f>IFERROR(__xludf.DUMMYFUNCTION("GOOGLETRANSLATE(B105, ""en"", ""ml"")"),"അക്കൗണ്ട് നമ്പർ വീണ്ടും നൽകുക.")</f>
        <v>അക്കൗണ്ട് നമ്പർ വീണ്ടും നൽകുക.</v>
      </c>
      <c r="G105" s="7" t="str">
        <f>IFERROR(__xludf.DUMMYFUNCTION("GOOGLETRANSLATE(B105, ""en"", ""te"")"),"దయచేసి ఖాతా నంబర్‌ను తిరిగి నమోదు చేయండి.")</f>
        <v>దయచేసి ఖాతా నంబర్‌ను తిరిగి నమోదు చేయండి.</v>
      </c>
    </row>
    <row r="106">
      <c r="A106" s="4" t="s">
        <v>215</v>
      </c>
      <c r="B106" s="5" t="s">
        <v>216</v>
      </c>
      <c r="C106" s="6" t="str">
        <f>IFERROR(__xludf.DUMMYFUNCTION("GOOGLETRANSLATE(B106, ""en"", ""ta"")"),"கணக்கு எண்கள் பொருந்தவில்லை.")</f>
        <v>கணக்கு எண்கள் பொருந்தவில்லை.</v>
      </c>
      <c r="D106" s="6" t="str">
        <f>IFERROR(__xludf.DUMMYFUNCTION("GOOGLETRANSLATE(B106, ""en"", ""hi"")"),"खाता संख्याएँ मेल नहीं खातीं")</f>
        <v>खाता संख्याएँ मेल नहीं खातीं</v>
      </c>
      <c r="E106" s="6" t="str">
        <f>IFERROR(__xludf.DUMMYFUNCTION("GOOGLETRANSLATE(B106, ""en"", ""kn"")"),"ಖಾತೆ ಸಂಖ್ಯೆಗಳು ಹೊಂದಿಕೆಯಾಗುತ್ತಿಲ್ಲ.")</f>
        <v>ಖಾತೆ ಸಂಖ್ಯೆಗಳು ಹೊಂದಿಕೆಯಾಗುತ್ತಿಲ್ಲ.</v>
      </c>
      <c r="F106" s="7" t="str">
        <f>IFERROR(__xludf.DUMMYFUNCTION("GOOGLETRANSLATE(B106, ""en"", ""ml"")"),"അക്കൗണ്ട് നമ്പറുകൾ പൊരുത്തപ്പെടുന്നില്ല.")</f>
        <v>അക്കൗണ്ട് നമ്പറുകൾ പൊരുത്തപ്പെടുന്നില്ല.</v>
      </c>
      <c r="G106" s="7" t="str">
        <f>IFERROR(__xludf.DUMMYFUNCTION("GOOGLETRANSLATE(B106, ""en"", ""te"")"),"ఖాతా నంబర్లు సరిపోలడం లేదు.")</f>
        <v>ఖాతా నంబర్లు సరిపోలడం లేదు.</v>
      </c>
    </row>
    <row r="107">
      <c r="A107" s="4" t="s">
        <v>217</v>
      </c>
      <c r="B107" s="5" t="s">
        <v>218</v>
      </c>
      <c r="C107" s="6" t="str">
        <f>IFERROR(__xludf.DUMMYFUNCTION("GOOGLETRANSLATE(B107, ""en"", ""ta"")"),"வங்கிப் பெயரை உள்ளிடவும்.")</f>
        <v>வங்கிப் பெயரை உள்ளிடவும்.</v>
      </c>
      <c r="D107" s="6" t="str">
        <f>IFERROR(__xludf.DUMMYFUNCTION("GOOGLETRANSLATE(B107, ""en"", ""hi"")"),"कृपया बैंक का नाम दर्ज करें")</f>
        <v>कृपया बैंक का नाम दर्ज करें</v>
      </c>
      <c r="E107" s="6" t="str">
        <f>IFERROR(__xludf.DUMMYFUNCTION("GOOGLETRANSLATE(B107, ""en"", ""kn"")"),"ದಯವಿಟ್ಟು ಬ್ಯಾಂಕ್ ಹೆಸರನ್ನು ನಮೂದಿಸಿ.")</f>
        <v>ದಯವಿಟ್ಟು ಬ್ಯಾಂಕ್ ಹೆಸರನ್ನು ನಮೂದಿಸಿ.</v>
      </c>
      <c r="F107" s="7" t="str">
        <f>IFERROR(__xludf.DUMMYFUNCTION("GOOGLETRANSLATE(B107, ""en"", ""ml"")"),"ദയവായി ബാങ്ക് നാമം നൽകുക.")</f>
        <v>ദയവായി ബാങ്ക് നാമം നൽകുക.</v>
      </c>
      <c r="G107" s="7" t="str">
        <f>IFERROR(__xludf.DUMMYFUNCTION("GOOGLETRANSLATE(B107, ""en"", ""te"")"),"దయచేసి బ్యాంక్ పేరు నమోదు చేయండి")</f>
        <v>దయచేసి బ్యాంక్ పేరు నమోదు చేయండి</v>
      </c>
    </row>
    <row r="108">
      <c r="A108" s="4" t="s">
        <v>219</v>
      </c>
      <c r="B108" s="5" t="s">
        <v>220</v>
      </c>
      <c r="C108" s="6" t="str">
        <f>IFERROR(__xludf.DUMMYFUNCTION("GOOGLETRANSLATE(B108, ""en"", ""ta"")"),"தயவுசெய்து கிளை பெயரை உள்ளிடவும்.")</f>
        <v>தயவுசெய்து கிளை பெயரை உள்ளிடவும்.</v>
      </c>
      <c r="D108" s="6" t="str">
        <f>IFERROR(__xludf.DUMMYFUNCTION("GOOGLETRANSLATE(B108, ""en"", ""hi"")"),"कृपया शाखा का नाम दर्ज करें")</f>
        <v>कृपया शाखा का नाम दर्ज करें</v>
      </c>
      <c r="E108" s="6" t="str">
        <f>IFERROR(__xludf.DUMMYFUNCTION("GOOGLETRANSLATE(B108, ""en"", ""kn"")"),"ದಯವಿಟ್ಟು ಶಾಖೆಯ ಹೆಸರನ್ನು ನಮೂದಿಸಿ")</f>
        <v>ದಯವಿಟ್ಟು ಶಾಖೆಯ ಹೆಸರನ್ನು ನಮೂದಿಸಿ</v>
      </c>
      <c r="F108" s="7" t="str">
        <f>IFERROR(__xludf.DUMMYFUNCTION("GOOGLETRANSLATE(B108, ""en"", ""ml"")"),"ദയവായി ശാഖയുടെ പേര് നൽകുക.")</f>
        <v>ദയവായി ശാഖയുടെ പേര് നൽകുക.</v>
      </c>
      <c r="G108" s="7" t="str">
        <f>IFERROR(__xludf.DUMMYFUNCTION("GOOGLETRANSLATE(B108, ""en"", ""te"")"),"దయచేసి బ్రాంచ్ పేరు నమోదు చేయండి")</f>
        <v>దయచేసి బ్రాంచ్ పేరు నమోదు చేయండి</v>
      </c>
    </row>
    <row r="109">
      <c r="A109" s="4" t="s">
        <v>221</v>
      </c>
      <c r="B109" s="5" t="s">
        <v>222</v>
      </c>
      <c r="C109" s="6" t="str">
        <f>IFERROR(__xludf.DUMMYFUNCTION("GOOGLETRANSLATE(B109, ""en"", ""ta"")"),"செல்லுபடியாகும் UPI ஐடியை உள்ளிடவும்.")</f>
        <v>செல்லுபடியாகும் UPI ஐடியை உள்ளிடவும்.</v>
      </c>
      <c r="D109" s="6" t="str">
        <f>IFERROR(__xludf.DUMMYFUNCTION("GOOGLETRANSLATE(B109, ""en"", ""hi"")"),"कृपया वैध यूपीआई आईडी दर्ज करें")</f>
        <v>कृपया वैध यूपीआई आईडी दर्ज करें</v>
      </c>
      <c r="E109" s="6" t="str">
        <f>IFERROR(__xludf.DUMMYFUNCTION("GOOGLETRANSLATE(B109, ""en"", ""kn"")"),"ದಯವಿಟ್ಟು ಮಾನ್ಯವಾದ UPI ಐಡಿಯನ್ನು ನಮೂದಿಸಿ.")</f>
        <v>ದಯವಿಟ್ಟು ಮಾನ್ಯವಾದ UPI ಐಡಿಯನ್ನು ನಮೂದಿಸಿ.</v>
      </c>
      <c r="F109" s="7" t="str">
        <f>IFERROR(__xludf.DUMMYFUNCTION("GOOGLETRANSLATE(B109, ""en"", ""ml"")"),"ദയവായി സാധുവായ UPI ഐഡി നൽകുക.")</f>
        <v>ദയവായി സാധുവായ UPI ഐഡി നൽകുക.</v>
      </c>
      <c r="G109" s="7" t="str">
        <f>IFERROR(__xludf.DUMMYFUNCTION("GOOGLETRANSLATE(B109, ""en"", ""te"")"),"దయచేసి చెల్లుబాటు అయ్యే UPI ID ని నమోదు చేయండి.")</f>
        <v>దయచేసి చెల్లుబాటు అయ్యే UPI ID ని నమోదు చేయండి.</v>
      </c>
    </row>
    <row r="110">
      <c r="A110" s="4" t="s">
        <v>223</v>
      </c>
      <c r="B110" s="5" t="s">
        <v>224</v>
      </c>
      <c r="C110" s="6" t="str">
        <f>IFERROR(__xludf.DUMMYFUNCTION("GOOGLETRANSLATE(B110, ""en"", ""ta"")"),"தயவுசெய்து செல்லுபடியாகும் UPI ஐடியை உள்ளிடவும் - 9999999999@upi")</f>
        <v>தயவுசெய்து செல்லுபடியாகும் UPI ஐடியை உள்ளிடவும் - 9999999999@upi</v>
      </c>
      <c r="D110" s="6" t="str">
        <f>IFERROR(__xludf.DUMMYFUNCTION("GOOGLETRANSLATE(B110, ""en"", ""hi"")"),"कृपया एक वैध यूपीआई आईडी दर्ज करें - 9999999999@upi")</f>
        <v>कृपया एक वैध यूपीआई आईडी दर्ज करें - 9999999999@upi</v>
      </c>
      <c r="E110" s="6" t="str">
        <f>IFERROR(__xludf.DUMMYFUNCTION("GOOGLETRANSLATE(B110, ""en"", ""kn"")"),"ದಯವಿಟ್ಟು ಮಾನ್ಯವಾದ UPI ಐಡಿಯನ್ನು ನಮೂದಿಸಿ - 9999999999@upi")</f>
        <v>ದಯವಿಟ್ಟು ಮಾನ್ಯವಾದ UPI ಐಡಿಯನ್ನು ನಮೂದಿಸಿ - 9999999999@upi</v>
      </c>
      <c r="F110" s="7" t="str">
        <f>IFERROR(__xludf.DUMMYFUNCTION("GOOGLETRANSLATE(B110, ""en"", ""ml"")"),"ദയവായി സാധുവായ ഒരു UPI ഐഡി നൽകുക - 9999999999@upi")</f>
        <v>ദയവായി സാധുവായ ഒരു UPI ഐഡി നൽകുക - 9999999999@upi</v>
      </c>
      <c r="G110" s="7" t="str">
        <f>IFERROR(__xludf.DUMMYFUNCTION("GOOGLETRANSLATE(B110, ""en"", ""te"")"),"దయచేసి చెల్లుబాటు అయ్యే UPI IDని నమోదు చేయండి - 99999999999@upi")</f>
        <v>దయచేసి చెల్లుబాటు అయ్యే UPI IDని నమోదు చేయండి - 99999999999@upi</v>
      </c>
    </row>
    <row r="111">
      <c r="A111" s="4" t="s">
        <v>225</v>
      </c>
      <c r="B111" s="5" t="s">
        <v>226</v>
      </c>
      <c r="C111" s="6" t="str">
        <f>IFERROR(__xludf.DUMMYFUNCTION("GOOGLETRANSLATE(B111, ""en"", ""ta"")"),"கணக்கு வைத்திருப்பவரின் பெயர்")</f>
        <v>கணக்கு வைத்திருப்பவரின் பெயர்</v>
      </c>
      <c r="D111" s="6" t="str">
        <f>IFERROR(__xludf.DUMMYFUNCTION("GOOGLETRANSLATE(B111, ""en"", ""hi"")"),"खाता धारक का नाम")</f>
        <v>खाता धारक का नाम</v>
      </c>
      <c r="E111" s="6" t="str">
        <f>IFERROR(__xludf.DUMMYFUNCTION("GOOGLETRANSLATE(B111, ""en"", ""kn"")"),"ಖಾತೆದಾರರ ಹೆಸರು")</f>
        <v>ಖಾತೆದಾರರ ಹೆಸರು</v>
      </c>
      <c r="F111" s="7" t="str">
        <f>IFERROR(__xludf.DUMMYFUNCTION("GOOGLETRANSLATE(B111, ""en"", ""ml"")"),"അക്കൗണ്ട് ഉടമയുടെ പേര്")</f>
        <v>അക്കൗണ്ട് ഉടമയുടെ പേര്</v>
      </c>
      <c r="G111" s="7" t="str">
        <f>IFERROR(__xludf.DUMMYFUNCTION("GOOGLETRANSLATE(B111, ""en"", ""te"")"),"ఖాతాదారుడి పేరు")</f>
        <v>ఖాతాదారుడి పేరు</v>
      </c>
    </row>
    <row r="112">
      <c r="A112" s="4" t="s">
        <v>227</v>
      </c>
      <c r="B112" s="5" t="s">
        <v>228</v>
      </c>
      <c r="C112" s="6" t="str">
        <f>IFERROR(__xludf.DUMMYFUNCTION("GOOGLETRANSLATE(B112, ""en"", ""ta"")"),"கணக்கு எண்")</f>
        <v>கணக்கு எண்</v>
      </c>
      <c r="D112" s="6" t="str">
        <f>IFERROR(__xludf.DUMMYFUNCTION("GOOGLETRANSLATE(B112, ""en"", ""hi"")"),"खाता संख्या")</f>
        <v>खाता संख्या</v>
      </c>
      <c r="E112" s="6" t="str">
        <f>IFERROR(__xludf.DUMMYFUNCTION("GOOGLETRANSLATE(B112, ""en"", ""kn"")"),"ಖಾತೆ ಸಂಖ್ಯೆ")</f>
        <v>ಖಾತೆ ಸಂಖ್ಯೆ</v>
      </c>
      <c r="F112" s="7" t="str">
        <f>IFERROR(__xludf.DUMMYFUNCTION("GOOGLETRANSLATE(B112, ""en"", ""ml"")"),"അക്കൗണ്ട് നമ്പർ")</f>
        <v>അക്കൗണ്ട് നമ്പർ</v>
      </c>
      <c r="G112" s="7" t="str">
        <f>IFERROR(__xludf.DUMMYFUNCTION("GOOGLETRANSLATE(B112, ""en"", ""te"")"),"ఖాతా సంఖ్య")</f>
        <v>ఖాతా సంఖ్య</v>
      </c>
    </row>
    <row r="113">
      <c r="A113" s="4" t="s">
        <v>229</v>
      </c>
      <c r="B113" s="5" t="s">
        <v>230</v>
      </c>
      <c r="C113" s="6" t="str">
        <f>IFERROR(__xludf.DUMMYFUNCTION("GOOGLETRANSLATE(B113, ""en"", ""ta"")"),"கணக்கு எண்ணை மீண்டும் உள்ளிடவும்")</f>
        <v>கணக்கு எண்ணை மீண்டும் உள்ளிடவும்</v>
      </c>
      <c r="D113" s="6" t="str">
        <f>IFERROR(__xludf.DUMMYFUNCTION("GOOGLETRANSLATE(B113, ""en"", ""hi"")"),"खाता संख्या फिर से एंटर करें")</f>
        <v>खाता संख्या फिर से एंटर करें</v>
      </c>
      <c r="E113" s="6" t="str">
        <f>IFERROR(__xludf.DUMMYFUNCTION("GOOGLETRANSLATE(B113, ""en"", ""kn"")"),"ಖಾತೆ ಸಂಖ್ಯೆಯನ್ನು ಮರು-ನಮೂದಿಸಿ")</f>
        <v>ಖಾತೆ ಸಂಖ್ಯೆಯನ್ನು ಮರು-ನಮೂದಿಸಿ</v>
      </c>
      <c r="F113" s="7" t="str">
        <f>IFERROR(__xludf.DUMMYFUNCTION("GOOGLETRANSLATE(B113, ""en"", ""ml"")"),"അക്കൗണ്ട് നമ്പർ വീണ്ടും നൽകുക")</f>
        <v>അക്കൗണ്ട് നമ്പർ വീണ്ടും നൽകുക</v>
      </c>
      <c r="G113" s="7" t="str">
        <f>IFERROR(__xludf.DUMMYFUNCTION("GOOGLETRANSLATE(B113, ""en"", ""te"")"),"ఖాతా నంబర్‌ను తిరిగి నమోదు చేయండి")</f>
        <v>ఖాతా నంబర్‌ను తిరిగి నమోదు చేయండి</v>
      </c>
    </row>
    <row r="114">
      <c r="A114" s="4" t="s">
        <v>231</v>
      </c>
      <c r="B114" s="5" t="s">
        <v>232</v>
      </c>
      <c r="C114" s="6" t="str">
        <f>IFERROR(__xludf.DUMMYFUNCTION("GOOGLETRANSLATE(B114, ""en"", ""ta"")"),"வங்கி பெயர்")</f>
        <v>வங்கி பெயர்</v>
      </c>
      <c r="D114" s="6" t="str">
        <f>IFERROR(__xludf.DUMMYFUNCTION("GOOGLETRANSLATE(B114, ""en"", ""hi"")"),"बैंक का नाम")</f>
        <v>बैंक का नाम</v>
      </c>
      <c r="E114" s="6" t="str">
        <f>IFERROR(__xludf.DUMMYFUNCTION("GOOGLETRANSLATE(B114, ""en"", ""kn"")"),"ಬ್ಯಾಂಕ್ ಹೆಸರು")</f>
        <v>ಬ್ಯಾಂಕ್ ಹೆಸರು</v>
      </c>
      <c r="F114" s="7" t="str">
        <f>IFERROR(__xludf.DUMMYFUNCTION("GOOGLETRANSLATE(B114, ""en"", ""ml"")"),"ബാങ്ക് പേര്")</f>
        <v>ബാങ്ക് പേര്</v>
      </c>
      <c r="G114" s="7" t="str">
        <f>IFERROR(__xludf.DUMMYFUNCTION("GOOGLETRANSLATE(B114, ""en"", ""te"")"),"బ్యాంక్ పేరు")</f>
        <v>బ్యాంక్ పేరు</v>
      </c>
    </row>
    <row r="115">
      <c r="A115" s="4" t="s">
        <v>233</v>
      </c>
      <c r="B115" s="5" t="s">
        <v>234</v>
      </c>
      <c r="C115" s="6" t="str">
        <f>IFERROR(__xludf.DUMMYFUNCTION("GOOGLETRANSLATE(B115, ""en"", ""ta"")"),"IFSC குறியீடு")</f>
        <v>IFSC குறியீடு</v>
      </c>
      <c r="D115" s="6" t="str">
        <f>IFERROR(__xludf.DUMMYFUNCTION("GOOGLETRANSLATE(B115, ""en"", ""hi"")"),"IFSC कोड")</f>
        <v>IFSC कोड</v>
      </c>
      <c r="E115" s="6" t="str">
        <f>IFERROR(__xludf.DUMMYFUNCTION("GOOGLETRANSLATE(B115, ""en"", ""kn"")"),"IFSC ಕೋಡ್")</f>
        <v>IFSC ಕೋಡ್</v>
      </c>
      <c r="F115" s="7" t="str">
        <f>IFERROR(__xludf.DUMMYFUNCTION("GOOGLETRANSLATE(B115, ""en"", ""ml"")"),"IFSC കോഡ്")</f>
        <v>IFSC കോഡ്</v>
      </c>
      <c r="G115" s="7" t="str">
        <f>IFERROR(__xludf.DUMMYFUNCTION("GOOGLETRANSLATE(B115, ""en"", ""te"")"),"IFSC కోడ్")</f>
        <v>IFSC కోడ్</v>
      </c>
    </row>
    <row r="116">
      <c r="A116" s="4" t="s">
        <v>235</v>
      </c>
      <c r="B116" s="5" t="s">
        <v>236</v>
      </c>
      <c r="C116" s="6" t="str">
        <f>IFERROR(__xludf.DUMMYFUNCTION("GOOGLETRANSLATE(B116, ""en"", ""ta"")"),"கிளை")</f>
        <v>கிளை</v>
      </c>
      <c r="D116" s="6" t="str">
        <f>IFERROR(__xludf.DUMMYFUNCTION("GOOGLETRANSLATE(B116, ""en"", ""hi"")"),"शाखा")</f>
        <v>शाखा</v>
      </c>
      <c r="E116" s="6" t="str">
        <f>IFERROR(__xludf.DUMMYFUNCTION("GOOGLETRANSLATE(B116, ""en"", ""kn"")"),"ಶಾಖೆ")</f>
        <v>ಶಾಖೆ</v>
      </c>
      <c r="F116" s="7" t="str">
        <f>IFERROR(__xludf.DUMMYFUNCTION("GOOGLETRANSLATE(B116, ""en"", ""ml"")"),"ശാഖ")</f>
        <v>ശാഖ</v>
      </c>
      <c r="G116" s="7" t="str">
        <f>IFERROR(__xludf.DUMMYFUNCTION("GOOGLETRANSLATE(B116, ""en"", ""te"")"),"బ్రాంచ్")</f>
        <v>బ్రాంచ్</v>
      </c>
    </row>
    <row r="117">
      <c r="A117" s="4" t="s">
        <v>237</v>
      </c>
      <c r="B117" s="5" t="s">
        <v>238</v>
      </c>
      <c r="C117" s="6" t="str">
        <f>IFERROR(__xludf.DUMMYFUNCTION("GOOGLETRANSLATE(B117, ""en"", ""ta"")"),"UPI ஐடி")</f>
        <v>UPI ஐடி</v>
      </c>
      <c r="D117" s="6" t="str">
        <f>IFERROR(__xludf.DUMMYFUNCTION("GOOGLETRANSLATE(B117, ""en"", ""hi"")"),"यूपीआई आईडी")</f>
        <v>यूपीआई आईडी</v>
      </c>
      <c r="E117" s="6" t="str">
        <f>IFERROR(__xludf.DUMMYFUNCTION("GOOGLETRANSLATE(B117, ""en"", ""kn"")"),"ಯುಪಿಐ ಐಡಿ")</f>
        <v>ಯುಪಿಐ ಐಡಿ</v>
      </c>
      <c r="F117" s="7" t="str">
        <f>IFERROR(__xludf.DUMMYFUNCTION("GOOGLETRANSLATE(B117, ""en"", ""ml"")"),"യുപിഐ ഐഡി")</f>
        <v>യുപിഐ ഐഡി</v>
      </c>
      <c r="G117" s="7" t="str">
        <f>IFERROR(__xludf.DUMMYFUNCTION("GOOGLETRANSLATE(B117, ""en"", ""te"")"),"UPI ఐడి")</f>
        <v>UPI ఐడి</v>
      </c>
    </row>
    <row r="118">
      <c r="A118" s="4" t="s">
        <v>239</v>
      </c>
      <c r="B118" s="5" t="s">
        <v>240</v>
      </c>
      <c r="C118" s="6" t="str">
        <f>IFERROR(__xludf.DUMMYFUNCTION("GOOGLETRANSLATE(B118, ""en"", ""ta"")"),"வங்கி பாஸ்புக்கை பதிவேற்றவும் (முதல் பக்கம்)")</f>
        <v>வங்கி பாஸ்புக்கை பதிவேற்றவும் (முதல் பக்கம்)</v>
      </c>
      <c r="D118" s="6" t="str">
        <f>IFERROR(__xludf.DUMMYFUNCTION("GOOGLETRANSLATE(B118, ""en"", ""hi"")"),"अपलोड करें
बैंक पासबुक (पहला पृष्ठ)")</f>
        <v>अपलोड करें
बैंक पासबुक (पहला पृष्ठ)</v>
      </c>
      <c r="E118" s="6" t="str">
        <f>IFERROR(__xludf.DUMMYFUNCTION("GOOGLETRANSLATE(B118, ""en"", ""kn"")"),"
ಬ್ಯಾಂಕ್ ಪಾಸ್‌ಬುಕ್ (ಮುಂದಿನ ಪುಟ) ಅಪ್‌ಲೋಡ್ ಮಾಡಿ")</f>
        <v>
ಬ್ಯಾಂಕ್ ಪಾಸ್‌ಬುಕ್ (ಮುಂದಿನ ಪುಟ) ಅಪ್‌ಲೋಡ್ ಮಾಡಿ</v>
      </c>
      <c r="F118" s="7" t="str">
        <f>IFERROR(__xludf.DUMMYFUNCTION("GOOGLETRANSLATE(B118, ""en"", ""ml"")"),"ബാങ്ക് പാസ്ബുക്ക് (മുൻ പേജ്) അപ്‌ലോഡ് ചെയ്യുക.")</f>
        <v>ബാങ്ക് പാസ്ബുക്ക് (മുൻ പേജ്) അപ്‌ലോഡ് ചെയ്യുക.</v>
      </c>
      <c r="G118" s="7" t="str">
        <f>IFERROR(__xludf.DUMMYFUNCTION("GOOGLETRANSLATE(B118, ""en"", ""te"")"),"అప్‌లోడ్ చేయండి 
బ్యాంక్ పాస్‌బుక్ (ముందు పేజీ)")</f>
        <v>అప్‌లోడ్ చేయండి 
బ్యాంక్ పాస్‌బుక్ (ముందు పేజీ)</v>
      </c>
    </row>
    <row r="119">
      <c r="A119" s="4" t="s">
        <v>241</v>
      </c>
      <c r="B119" s="5" t="s">
        <v>242</v>
      </c>
      <c r="C119" s="6" t="str">
        <f>IFERROR(__xludf.DUMMYFUNCTION("GOOGLETRANSLATE(B119, ""en"", ""ta"")"),"உலவ")</f>
        <v>உலவ</v>
      </c>
      <c r="D119" s="6" t="str">
        <f>IFERROR(__xludf.DUMMYFUNCTION("GOOGLETRANSLATE(B119, ""en"", ""hi"")"),"ब्राउज़")</f>
        <v>ब्राउज़</v>
      </c>
      <c r="E119" s="6" t="str">
        <f>IFERROR(__xludf.DUMMYFUNCTION("GOOGLETRANSLATE(B119, ""en"", ""kn"")"),"ಬ್ರೌಸ್ ಮಾಡಿ")</f>
        <v>ಬ್ರೌಸ್ ಮಾಡಿ</v>
      </c>
      <c r="F119" s="7" t="str">
        <f>IFERROR(__xludf.DUMMYFUNCTION("GOOGLETRANSLATE(B119, ""en"", ""ml"")"),"ബ്രൗസ് ചെയ്യുക")</f>
        <v>ബ്രൗസ് ചെയ്യുക</v>
      </c>
      <c r="G119" s="7" t="str">
        <f>IFERROR(__xludf.DUMMYFUNCTION("GOOGLETRANSLATE(B119, ""en"", ""te"")"),"బ్రౌజ్ చేయండి")</f>
        <v>బ్రౌజ్ చేయండి</v>
      </c>
    </row>
    <row r="120">
      <c r="A120" s="4" t="s">
        <v>243</v>
      </c>
      <c r="B120" s="5" t="s">
        <v>244</v>
      </c>
      <c r="C120" s="6" t="str">
        <f>IFERROR(__xludf.DUMMYFUNCTION("GOOGLETRANSLATE(B120, ""en"", ""ta"")"),"கேமரா")</f>
        <v>கேமரா</v>
      </c>
      <c r="D120" s="6" t="str">
        <f>IFERROR(__xludf.DUMMYFUNCTION("GOOGLETRANSLATE(B120, ""en"", ""hi"")"),"कैमरा")</f>
        <v>कैमरा</v>
      </c>
      <c r="E120" s="6" t="str">
        <f>IFERROR(__xludf.DUMMYFUNCTION("GOOGLETRANSLATE(B120, ""en"", ""kn"")"),"ಕ್ಯಾಮೆರಾ")</f>
        <v>ಕ್ಯಾಮೆರಾ</v>
      </c>
      <c r="F120" s="7" t="str">
        <f>IFERROR(__xludf.DUMMYFUNCTION("GOOGLETRANSLATE(B120, ""en"", ""ml"")"),"ക്യാമറ")</f>
        <v>ക്യാമറ</v>
      </c>
      <c r="G120" s="7" t="str">
        <f>IFERROR(__xludf.DUMMYFUNCTION("GOOGLETRANSLATE(B120, ""en"", ""te"")"),"కెమెరా")</f>
        <v>కెమెరా</v>
      </c>
    </row>
    <row r="121">
      <c r="A121" s="8" t="s">
        <v>245</v>
      </c>
      <c r="B121" s="9" t="s">
        <v>246</v>
      </c>
      <c r="C121" s="6" t="str">
        <f>IFERROR(__xludf.DUMMYFUNCTION("GOOGLETRANSLATE(B121, ""en"", ""ta"")"),"ஆதார் அட்டை")</f>
        <v>ஆதார் அட்டை</v>
      </c>
      <c r="D121" s="6" t="str">
        <f>IFERROR(__xludf.DUMMYFUNCTION("GOOGLETRANSLATE(B121, ""en"", ""hi"")"),"आधार कार्ड")</f>
        <v>आधार कार्ड</v>
      </c>
      <c r="E121" s="6" t="str">
        <f>IFERROR(__xludf.DUMMYFUNCTION("GOOGLETRANSLATE(B121, ""en"", ""kn"")"),"ಆಧಾರ್ ಕಾರ್ಡ್")</f>
        <v>ಆಧಾರ್ ಕಾರ್ಡ್</v>
      </c>
      <c r="F121" s="7" t="str">
        <f>IFERROR(__xludf.DUMMYFUNCTION("GOOGLETRANSLATE(B121, ""en"", ""ml"")"),"ആധാർ കാർഡ്")</f>
        <v>ആധാർ കാർഡ്</v>
      </c>
      <c r="G121" s="7" t="str">
        <f>IFERROR(__xludf.DUMMYFUNCTION("GOOGLETRANSLATE(B121, ""en"", ""te"")"),"ఆధార్ కార్డు")</f>
        <v>ఆధార్ కార్డు</v>
      </c>
    </row>
    <row r="122">
      <c r="A122" s="8" t="s">
        <v>247</v>
      </c>
      <c r="B122" s="6" t="s">
        <v>248</v>
      </c>
      <c r="C122" s="6" t="str">
        <f>IFERROR(__xludf.DUMMYFUNCTION("GOOGLETRANSLATE(B122, ""en"", ""ta"")"),"பான் கார்டு")</f>
        <v>பான் கார்டு</v>
      </c>
      <c r="D122" s="6" t="str">
        <f>IFERROR(__xludf.DUMMYFUNCTION("GOOGLETRANSLATE(B122, ""en"", ""hi"")"),"पैन कार्ड")</f>
        <v>पैन कार्ड</v>
      </c>
      <c r="E122" s="6" t="str">
        <f>IFERROR(__xludf.DUMMYFUNCTION("GOOGLETRANSLATE(B122, ""en"", ""kn"")"),"ಪ್ಯಾನ್ ಕಾರ್ಡ್")</f>
        <v>ಪ್ಯಾನ್ ಕಾರ್ಡ್</v>
      </c>
      <c r="F122" s="7" t="str">
        <f>IFERROR(__xludf.DUMMYFUNCTION("GOOGLETRANSLATE(B122, ""en"", ""ml"")"),"പാൻ കാർഡ്")</f>
        <v>പാൻ കാർഡ്</v>
      </c>
      <c r="G122" s="7" t="str">
        <f>IFERROR(__xludf.DUMMYFUNCTION("GOOGLETRANSLATE(B122, ""en"", ""te"")"),"పాన్ కార్డ్")</f>
        <v>పాన్ కార్డ్</v>
      </c>
    </row>
    <row r="123">
      <c r="A123" s="8" t="s">
        <v>249</v>
      </c>
      <c r="B123" s="6" t="s">
        <v>250</v>
      </c>
      <c r="C123" s="6" t="str">
        <f>IFERROR(__xludf.DUMMYFUNCTION("GOOGLETRANSLATE(B123, ""en"", ""ta"")"),"ஓட்டுநர் புகைப்படம்")</f>
        <v>ஓட்டுநர் புகைப்படம்</v>
      </c>
      <c r="D123" s="6" t="str">
        <f>IFERROR(__xludf.DUMMYFUNCTION("GOOGLETRANSLATE(B123, ""en"", ""hi"")"),"ड्राइवर की फोटो")</f>
        <v>ड्राइवर की फोटो</v>
      </c>
      <c r="E123" s="6" t="str">
        <f>IFERROR(__xludf.DUMMYFUNCTION("GOOGLETRANSLATE(B123, ""en"", ""kn"")"),"ಚಾಲಕ ಫೋಟೋ")</f>
        <v>ಚಾಲಕ ಫೋಟೋ</v>
      </c>
      <c r="F123" s="7" t="str">
        <f>IFERROR(__xludf.DUMMYFUNCTION("GOOGLETRANSLATE(B123, ""en"", ""ml"")"),"ഡ്രൈവറുടെ ഫോട്ടോ")</f>
        <v>ഡ്രൈവറുടെ ഫോട്ടോ</v>
      </c>
      <c r="G123" s="7" t="str">
        <f>IFERROR(__xludf.DUMMYFUNCTION("GOOGLETRANSLATE(B123, ""en"", ""te"")"),"డ్రైవర్ ఫోటో")</f>
        <v>డ్రైవర్ ఫోటో</v>
      </c>
    </row>
    <row r="124">
      <c r="A124" s="8" t="s">
        <v>251</v>
      </c>
      <c r="B124" s="6" t="s">
        <v>252</v>
      </c>
      <c r="C124" s="6" t="str">
        <f>IFERROR(__xludf.DUMMYFUNCTION("GOOGLETRANSLATE(B124, ""en"", ""ta"")"),"ஓட்டுநர் உரிமம்")</f>
        <v>ஓட்டுநர் உரிமம்</v>
      </c>
      <c r="D124" s="6" t="str">
        <f>IFERROR(__xludf.DUMMYFUNCTION("GOOGLETRANSLATE(B124, ""en"", ""hi"")"),"ड्राइविंग लाइसेंस")</f>
        <v>ड्राइविंग लाइसेंस</v>
      </c>
      <c r="E124" s="6" t="str">
        <f>IFERROR(__xludf.DUMMYFUNCTION("GOOGLETRANSLATE(B124, ""en"", ""kn"")"),"ಚಾಲನಾ ಪರವಾನಗಿ")</f>
        <v>ಚಾಲನಾ ಪರವಾನಗಿ</v>
      </c>
      <c r="F124" s="7" t="str">
        <f>IFERROR(__xludf.DUMMYFUNCTION("GOOGLETRANSLATE(B124, ""en"", ""ml"")"),"ഡ്രൈവിംഗ് ലൈസൻസ്")</f>
        <v>ഡ്രൈവിംഗ് ലൈസൻസ്</v>
      </c>
      <c r="G124" s="7" t="str">
        <f>IFERROR(__xludf.DUMMYFUNCTION("GOOGLETRANSLATE(B124, ""en"", ""te"")"),"డ్రైవింగ్ లైసెన్స్")</f>
        <v>డ్రైవింగ్ లైసెన్స్</v>
      </c>
    </row>
    <row r="125">
      <c r="A125" s="8" t="s">
        <v>253</v>
      </c>
      <c r="B125" s="6" t="s">
        <v>254</v>
      </c>
      <c r="C125" s="6" t="str">
        <f>IFERROR(__xludf.DUMMYFUNCTION("GOOGLETRANSLATE(B125, ""en"", ""ta"")"),"காப்பீடு")</f>
        <v>காப்பீடு</v>
      </c>
      <c r="D125" s="6" t="str">
        <f>IFERROR(__xludf.DUMMYFUNCTION("GOOGLETRANSLATE(B125, ""en"", ""hi"")"),"बीमा")</f>
        <v>बीमा</v>
      </c>
      <c r="E125" s="6" t="str">
        <f>IFERROR(__xludf.DUMMYFUNCTION("GOOGLETRANSLATE(B125, ""en"", ""kn"")"),"ವಿಮೆ")</f>
        <v>ವಿಮೆ</v>
      </c>
      <c r="F125" s="7" t="str">
        <f>IFERROR(__xludf.DUMMYFUNCTION("GOOGLETRANSLATE(B125, ""en"", ""ml"")"),"ഇൻഷുറൻസ്")</f>
        <v>ഇൻഷുറൻസ്</v>
      </c>
      <c r="G125" s="7" t="str">
        <f>IFERROR(__xludf.DUMMYFUNCTION("GOOGLETRANSLATE(B125, ""en"", ""te"")"),"భీమా")</f>
        <v>భీమా</v>
      </c>
    </row>
    <row r="126">
      <c r="A126" s="10" t="s">
        <v>255</v>
      </c>
      <c r="B126" s="6" t="s">
        <v>256</v>
      </c>
      <c r="C126" s="6" t="str">
        <f>IFERROR(__xludf.DUMMYFUNCTION("GOOGLETRANSLATE(B126, ""en"", ""ta"")"),"மாசு சான்றிதழ்")</f>
        <v>மாசு சான்றிதழ்</v>
      </c>
      <c r="D126" s="6" t="str">
        <f>IFERROR(__xludf.DUMMYFUNCTION("GOOGLETRANSLATE(B126, ""en"", ""hi"")"),"प्रदूषण प्रमाणपत्र")</f>
        <v>प्रदूषण प्रमाणपत्र</v>
      </c>
      <c r="E126" s="6" t="str">
        <f>IFERROR(__xludf.DUMMYFUNCTION("GOOGLETRANSLATE(B126, ""en"", ""kn"")"),"ಮಾಲಿನ್ಯ ಪ್ರಮಾಣಪತ್ರ")</f>
        <v>ಮಾಲಿನ್ಯ ಪ್ರಮಾಣಪತ್ರ</v>
      </c>
      <c r="F126" s="7" t="str">
        <f>IFERROR(__xludf.DUMMYFUNCTION("GOOGLETRANSLATE(B126, ""en"", ""ml"")"),"മലിനീകരണ സർട്ടിഫിക്കറ്റ്")</f>
        <v>മലിനീകരണ സർട്ടിഫിക്കറ്റ്</v>
      </c>
      <c r="G126" s="7" t="str">
        <f>IFERROR(__xludf.DUMMYFUNCTION("GOOGLETRANSLATE(B126, ""en"", ""te"")"),"కాలుష్య ధృవీకరణ పత్రం")</f>
        <v>కాలుష్య ధృవీకరణ పత్రం</v>
      </c>
    </row>
    <row r="127">
      <c r="A127" s="8" t="s">
        <v>257</v>
      </c>
      <c r="B127" s="6" t="s">
        <v>258</v>
      </c>
      <c r="C127" s="6" t="str">
        <f>IFERROR(__xludf.DUMMYFUNCTION("GOOGLETRANSLATE(B127, ""en"", ""ta"")"),"வாகன புகைப்படம்")</f>
        <v>வாகன புகைப்படம்</v>
      </c>
      <c r="D127" s="6" t="str">
        <f>IFERROR(__xludf.DUMMYFUNCTION("GOOGLETRANSLATE(B127, ""en"", ""hi"")"),"वाहन की तस्वीर")</f>
        <v>वाहन की तस्वीर</v>
      </c>
      <c r="E127" s="6" t="str">
        <f>IFERROR(__xludf.DUMMYFUNCTION("GOOGLETRANSLATE(B127, ""en"", ""kn"")"),"ವಾಹನ ಫೋಟೋ")</f>
        <v>ವಾಹನ ಫೋಟೋ</v>
      </c>
      <c r="F127" s="7" t="str">
        <f>IFERROR(__xludf.DUMMYFUNCTION("GOOGLETRANSLATE(B127, ""en"", ""ml"")"),"വാഹന ഫോട്ടോ")</f>
        <v>വാഹന ഫോട്ടോ</v>
      </c>
      <c r="G127" s="7" t="str">
        <f>IFERROR(__xludf.DUMMYFUNCTION("GOOGLETRANSLATE(B127, ""en"", ""te"")"),"వాహనం ఫోటో")</f>
        <v>వాహనం ఫోటో</v>
      </c>
    </row>
    <row r="128">
      <c r="A128" s="8" t="s">
        <v>259</v>
      </c>
      <c r="B128" s="6" t="s">
        <v>260</v>
      </c>
      <c r="C128" s="6" t="str">
        <f>IFERROR(__xludf.DUMMYFUNCTION("GOOGLETRANSLATE(B128, ""en"", ""ta"")"),"வாகன ஆர்.சி. ஆவணம்")</f>
        <v>வாகன ஆர்.சி. ஆவணம்</v>
      </c>
      <c r="D128" s="6" t="str">
        <f>IFERROR(__xludf.DUMMYFUNCTION("GOOGLETRANSLATE(B128, ""en"", ""hi"")"),"वाहन आरसी दस्तावेज़")</f>
        <v>वाहन आरसी दस्तावेज़</v>
      </c>
      <c r="E128" s="6" t="str">
        <f>IFERROR(__xludf.DUMMYFUNCTION("GOOGLETRANSLATE(B128, ""en"", ""kn"")"),"ವಾಹನ ಆರ್‌ಸಿ ದಾಖಲೆ")</f>
        <v>ವಾಹನ ಆರ್‌ಸಿ ದಾಖಲೆ</v>
      </c>
      <c r="F128" s="7" t="str">
        <f>IFERROR(__xludf.DUMMYFUNCTION("GOOGLETRANSLATE(B128, ""en"", ""ml"")"),"വാഹന ആർ‌സി രേഖ")</f>
        <v>വാഹന ആർ‌സി രേഖ</v>
      </c>
      <c r="G128" s="7" t="str">
        <f>IFERROR(__xludf.DUMMYFUNCTION("GOOGLETRANSLATE(B128, ""en"", ""te"")"),"వాహన RC పత్రం")</f>
        <v>వాహన RC పత్రం</v>
      </c>
    </row>
    <row r="129">
      <c r="A129" s="8" t="s">
        <v>261</v>
      </c>
      <c r="B129" s="6" t="s">
        <v>262</v>
      </c>
      <c r="C129" s="6" t="str">
        <f>IFERROR(__xludf.DUMMYFUNCTION("GOOGLETRANSLATE(B129, ""en"", ""ta"")"),"சாலை வரி ஆவணம்")</f>
        <v>சாலை வரி ஆவணம்</v>
      </c>
      <c r="D129" s="6" t="str">
        <f>IFERROR(__xludf.DUMMYFUNCTION("GOOGLETRANSLATE(B129, ""en"", ""hi"")"),"सड़क कर दस्तावेज़")</f>
        <v>सड़क कर दस्तावेज़</v>
      </c>
      <c r="E129" s="6" t="str">
        <f>IFERROR(__xludf.DUMMYFUNCTION("GOOGLETRANSLATE(B129, ""en"", ""kn"")"),"ರಸ್ತೆ ತೆರಿಗೆ ದಾಖಲೆ")</f>
        <v>ರಸ್ತೆ ತೆರಿಗೆ ದಾಖಲೆ</v>
      </c>
      <c r="F129" s="7" t="str">
        <f>IFERROR(__xludf.DUMMYFUNCTION("GOOGLETRANSLATE(B129, ""en"", ""ml"")"),"റോഡ് നികുതി രേഖ")</f>
        <v>റോഡ് നികുതി രേഖ</v>
      </c>
      <c r="G129" s="7" t="str">
        <f>IFERROR(__xludf.DUMMYFUNCTION("GOOGLETRANSLATE(B129, ""en"", ""te"")"),"రోడ్డు పన్ను పత్రం")</f>
        <v>రోడ్డు పన్ను పత్రం</v>
      </c>
    </row>
    <row r="130">
      <c r="A130" s="8" t="s">
        <v>263</v>
      </c>
      <c r="B130" s="6" t="s">
        <v>264</v>
      </c>
      <c r="C130" s="6" t="str">
        <f>IFERROR(__xludf.DUMMYFUNCTION("GOOGLETRANSLATE(B130, ""en"", ""ta"")"),"அனுமதி ஆவணம்")</f>
        <v>அனுமதி ஆவணம்</v>
      </c>
      <c r="D130" s="6" t="str">
        <f>IFERROR(__xludf.DUMMYFUNCTION("GOOGLETRANSLATE(B130, ""en"", ""hi"")"),"परमिट दस्तावेज़")</f>
        <v>परमिट दस्तावेज़</v>
      </c>
      <c r="E130" s="6" t="str">
        <f>IFERROR(__xludf.DUMMYFUNCTION("GOOGLETRANSLATE(B130, ""en"", ""kn"")"),"ಪರವಾನಗಿ ದಾಖಲೆ")</f>
        <v>ಪರವಾನಗಿ ದಾಖಲೆ</v>
      </c>
      <c r="F130" s="7" t="str">
        <f>IFERROR(__xludf.DUMMYFUNCTION("GOOGLETRANSLATE(B130, ""en"", ""ml"")"),"പെർമിറ്റ് രേഖ")</f>
        <v>പെർമിറ്റ് രേഖ</v>
      </c>
      <c r="G130" s="7" t="str">
        <f>IFERROR(__xludf.DUMMYFUNCTION("GOOGLETRANSLATE(B130, ""en"", ""te"")"),"అనుమతి పత్రం")</f>
        <v>అనుమతి పత్రం</v>
      </c>
    </row>
    <row r="131">
      <c r="A131" s="8" t="s">
        <v>265</v>
      </c>
      <c r="B131" s="6" t="s">
        <v>266</v>
      </c>
      <c r="C131" s="6" t="str">
        <f>IFERROR(__xludf.DUMMYFUNCTION("GOOGLETRANSLATE(B131, ""en"", ""ta"")"),"உடற்தகுதி ஆவணம்")</f>
        <v>உடற்தகுதி ஆவணம்</v>
      </c>
      <c r="D131" s="6" t="str">
        <f>IFERROR(__xludf.DUMMYFUNCTION("GOOGLETRANSLATE(B131, ""en"", ""hi"")"),"फिटनेस दस्तावेज़")</f>
        <v>फिटनेस दस्तावेज़</v>
      </c>
      <c r="E131" s="6" t="str">
        <f>IFERROR(__xludf.DUMMYFUNCTION("GOOGLETRANSLATE(B131, ""en"", ""kn"")"),"ಫಿಟ್‌ನೆಸ್ ದಾಖಲೆ")</f>
        <v>ಫಿಟ್‌ನೆಸ್ ದಾಖಲೆ</v>
      </c>
      <c r="F131" s="7" t="str">
        <f>IFERROR(__xludf.DUMMYFUNCTION("GOOGLETRANSLATE(B131, ""en"", ""ml"")"),"ഫിറ്റ്നസ് രേഖ")</f>
        <v>ഫിറ്റ്നസ് രേഖ</v>
      </c>
      <c r="G131" s="7" t="str">
        <f>IFERROR(__xludf.DUMMYFUNCTION("GOOGLETRANSLATE(B131, ""en"", ""te"")"),"ఫిట్‌నెస్ డాక్యుమెంట్")</f>
        <v>ఫిట్‌నెస్ డాక్యుమెంట్</v>
      </c>
    </row>
    <row r="132">
      <c r="A132" s="8" t="s">
        <v>267</v>
      </c>
      <c r="B132" s="6" t="s">
        <v>268</v>
      </c>
      <c r="C132" s="6" t="str">
        <f>IFERROR(__xludf.DUMMYFUNCTION("GOOGLETRANSLATE(B132, ""en"", ""ta"")"),"காவல்துறை சரிபார்ப்புச் சான்றிதழ்")</f>
        <v>காவல்துறை சரிபார்ப்புச் சான்றிதழ்</v>
      </c>
      <c r="D132" s="6" t="str">
        <f>IFERROR(__xludf.DUMMYFUNCTION("GOOGLETRANSLATE(B132, ""en"", ""hi"")"),"पुलिस सत्यापन प्रमाणपत्र")</f>
        <v>पुलिस सत्यापन प्रमाणपत्र</v>
      </c>
      <c r="E132" s="6" t="str">
        <f>IFERROR(__xludf.DUMMYFUNCTION("GOOGLETRANSLATE(B132, ""en"", ""kn"")"),"ಪೊಲೀಸ್ ಪರಿಶೀಲನಾ ಪ್ರಮಾಣಪತ್ರ")</f>
        <v>ಪೊಲೀಸ್ ಪರಿಶೀಲನಾ ಪ್ರಮಾಣಪತ್ರ</v>
      </c>
      <c r="F132" s="7" t="str">
        <f>IFERROR(__xludf.DUMMYFUNCTION("GOOGLETRANSLATE(B132, ""en"", ""ml"")"),"പോലീസ് വെരിഫിക്കേഷൻ സർട്ടിഫിക്കറ്റ്")</f>
        <v>പോലീസ് വെരിഫിക്കേഷൻ സർട്ടിഫിക്കറ്റ്</v>
      </c>
      <c r="G132" s="7" t="str">
        <f>IFERROR(__xludf.DUMMYFUNCTION("GOOGLETRANSLATE(B132, ""en"", ""te"")"),"పోలీస్ వెరిఫికేషన్ సర్టిఫికెట్")</f>
        <v>పోలీస్ వెరిఫికేషన్ సర్టిఫికెట్</v>
      </c>
    </row>
    <row r="133">
      <c r="A133" s="4" t="s">
        <v>269</v>
      </c>
      <c r="B133" s="5" t="s">
        <v>270</v>
      </c>
      <c r="C133" s="6" t="str">
        <f>IFERROR(__xludf.DUMMYFUNCTION("GOOGLETRANSLATE(B133, ""en"", ""ta"")"),"டிரைவர் பெயர்")</f>
        <v>டிரைவர் பெயர்</v>
      </c>
      <c r="D133" s="6" t="str">
        <f>IFERROR(__xludf.DUMMYFUNCTION("GOOGLETRANSLATE(B133, ""en"", ""hi"")"),"चालक का नाम")</f>
        <v>चालक का नाम</v>
      </c>
      <c r="E133" s="6" t="str">
        <f>IFERROR(__xludf.DUMMYFUNCTION("GOOGLETRANSLATE(B133, ""en"", ""kn"")"),"ಚಾಲಕ ಹೆಸರು")</f>
        <v>ಚಾಲಕ ಹೆಸರು</v>
      </c>
      <c r="F133" s="7" t="str">
        <f>IFERROR(__xludf.DUMMYFUNCTION("GOOGLETRANSLATE(B133, ""en"", ""ml"")"),"ഡ്രൈവറുടെ പേര്")</f>
        <v>ഡ്രൈവറുടെ പേര്</v>
      </c>
      <c r="G133" s="7" t="str">
        <f>IFERROR(__xludf.DUMMYFUNCTION("GOOGLETRANSLATE(B133, ""en"", ""te"")"),"డ్రైవర్ పేరు")</f>
        <v>డ్రైవర్ పేరు</v>
      </c>
    </row>
    <row r="134">
      <c r="A134" s="10" t="s">
        <v>271</v>
      </c>
      <c r="B134" s="5" t="s">
        <v>272</v>
      </c>
      <c r="C134" s="6" t="str">
        <f>IFERROR(__xludf.DUMMYFUNCTION("GOOGLETRANSLATE(B134, ""en"", ""ta"")"),"உங்கள் கணக்கு தடுக்கப்பட்டுள்ளது.")</f>
        <v>உங்கள் கணக்கு தடுக்கப்பட்டுள்ளது.</v>
      </c>
      <c r="D134" s="6" t="str">
        <f>IFERROR(__xludf.DUMMYFUNCTION("GOOGLETRANSLATE(B134, ""en"", ""hi"")"),"आपका खाता
ब्लॉक कर दिया गया है")</f>
        <v>आपका खाता
ब्लॉक कर दिया गया है</v>
      </c>
      <c r="E134" s="6" t="str">
        <f>IFERROR(__xludf.DUMMYFUNCTION("GOOGLETRANSLATE(B134, ""en"", ""kn"")"),"ನಿಮ್ಮ ಖಾತೆಯನ್ನು ನಿರ್ಬಂಧಿಸಲಾಗಿದೆ.")</f>
        <v>ನಿಮ್ಮ ಖಾತೆಯನ್ನು ನಿರ್ಬಂಧಿಸಲಾಗಿದೆ.</v>
      </c>
      <c r="F134" s="7" t="str">
        <f>IFERROR(__xludf.DUMMYFUNCTION("GOOGLETRANSLATE(B134, ""en"", ""ml"")"),"നിങ്ങളുടെ അക്കൗണ്ട് ബ്ലോക്ക് ചെയ്‌തിരിക്കുന്നു")</f>
        <v>നിങ്ങളുടെ അക്കൗണ്ട് ബ്ലോക്ക് ചെയ്‌തിരിക്കുന്നു</v>
      </c>
      <c r="G134" s="7" t="str">
        <f>IFERROR(__xludf.DUMMYFUNCTION("GOOGLETRANSLATE(B134, ""en"", ""te"")"),"మీ ఖాతా బ్లాక్ చేయబడింది")</f>
        <v>మీ ఖాతా బ్లాక్ చేయబడింది</v>
      </c>
    </row>
    <row r="135">
      <c r="A135" s="10" t="s">
        <v>273</v>
      </c>
      <c r="B135" s="5" t="s">
        <v>274</v>
      </c>
      <c r="C135" s="6" t="str">
        <f>IFERROR(__xludf.DUMMYFUNCTION("GOOGLETRANSLATE(B135, ""en"", ""ta"")"),"ஒப்புதலுக்காக காத்திருங்கள்")</f>
        <v>ஒப்புதலுக்காக காத்திருங்கள்</v>
      </c>
      <c r="D135" s="6" t="str">
        <f>IFERROR(__xludf.DUMMYFUNCTION("GOOGLETRANSLATE(B135, ""en"", ""hi"")"),"अनुमोदन के लिए प्रतीक्षा करें")</f>
        <v>अनुमोदन के लिए प्रतीक्षा करें</v>
      </c>
      <c r="E135" s="6" t="str">
        <f>IFERROR(__xludf.DUMMYFUNCTION("GOOGLETRANSLATE(B135, ""en"", ""kn"")"),"ಅನುಮೋದನೆಗಾಗಿ ಕಾಯಿರಿ")</f>
        <v>ಅನುಮೋದನೆಗಾಗಿ ಕಾಯಿರಿ</v>
      </c>
      <c r="F135" s="7" t="str">
        <f>IFERROR(__xludf.DUMMYFUNCTION("GOOGLETRANSLATE(B135, ""en"", ""ml"")"),"അംഗീകാരത്തിനായി കാത്തിരിക്കുക")</f>
        <v>അംഗീകാരത്തിനായി കാത്തിരിക്കുക</v>
      </c>
      <c r="G135" s="7" t="str">
        <f>IFERROR(__xludf.DUMMYFUNCTION("GOOGLETRANSLATE(B135, ""en"", ""te"")"),"ఆమోదం కోసం వేచి ఉండండి")</f>
        <v>ఆమోదం కోసం వేచి ఉండండి</v>
      </c>
    </row>
    <row r="136">
      <c r="A136" s="10" t="s">
        <v>275</v>
      </c>
      <c r="B136" s="5" t="s">
        <v>276</v>
      </c>
      <c r="C136" s="6" t="str">
        <f>IFERROR(__xludf.DUMMYFUNCTION("GOOGLETRANSLATE(B136, ""en"", ""ta"")"),"சில காரணங்களால் உங்கள் கணக்கு தடுக்கப்பட்டுள்ளது.")</f>
        <v>சில காரணங்களால் உங்கள் கணக்கு தடுக்கப்பட்டுள்ளது.</v>
      </c>
      <c r="D136" s="6" t="str">
        <f>IFERROR(__xludf.DUMMYFUNCTION("GOOGLETRANSLATE(B136, ""en"", ""hi"")"),"कुछ कारणों से आपका खाता अवरुद्ध कर दिया गया है।")</f>
        <v>कुछ कारणों से आपका खाता अवरुद्ध कर दिया गया है।</v>
      </c>
      <c r="E136" s="6" t="str">
        <f>IFERROR(__xludf.DUMMYFUNCTION("GOOGLETRANSLATE(B136, ""en"", ""kn"")"),"ಕೆಲವು ಕಾರಣಗಳಿಂದ ನಿಮ್ಮ ಖಾತೆಯನ್ನು ನಿರ್ಬಂಧಿಸಲಾಗಿದೆ.")</f>
        <v>ಕೆಲವು ಕಾರಣಗಳಿಂದ ನಿಮ್ಮ ಖಾತೆಯನ್ನು ನಿರ್ಬಂಧಿಸಲಾಗಿದೆ.</v>
      </c>
      <c r="F136" s="7" t="str">
        <f>IFERROR(__xludf.DUMMYFUNCTION("GOOGLETRANSLATE(B136, ""en"", ""ml"")"),"ചില കാരണങ്ങളാൽ നിങ്ങളുടെ അക്കൗണ്ട് ബ്ലോക്ക് ചെയ്‌തിരിക്കുന്നു.")</f>
        <v>ചില കാരണങ്ങളാൽ നിങ്ങളുടെ അക്കൗണ്ട് ബ്ലോക്ക് ചെയ്‌തിരിക്കുന്നു.</v>
      </c>
      <c r="G136" s="7" t="str">
        <f>IFERROR(__xludf.DUMMYFUNCTION("GOOGLETRANSLATE(B136, ""en"", ""te"")"),"కొన్ని కారణాల వల్ల మీ ఖాతా బ్లాక్ చేయబడింది.")</f>
        <v>కొన్ని కారణాల వల్ల మీ ఖాతా బ్లాక్ చేయబడింది.</v>
      </c>
    </row>
    <row r="137">
      <c r="A137" s="10" t="s">
        <v>277</v>
      </c>
      <c r="B137" s="5" t="s">
        <v>278</v>
      </c>
      <c r="C137" s="6" t="str">
        <f>IFERROR(__xludf.DUMMYFUNCTION("GOOGLETRANSLATE(B137, ""en"", ""ta"")"),"உங்களுக்கு ஏதேனும் கேள்விகள் இருந்தால், தயவுசெய்து")</f>
        <v>உங்களுக்கு ஏதேனும் கேள்விகள் இருந்தால், தயவுசெய்து</v>
      </c>
      <c r="D137" s="6" t="str">
        <f>IFERROR(__xludf.DUMMYFUNCTION("GOOGLETRANSLATE(B137, ""en"", ""hi"")"),"यदि आपके कोई प्रश्न हैं, तो कृपया")</f>
        <v>यदि आपके कोई प्रश्न हैं, तो कृपया</v>
      </c>
      <c r="E137" s="6" t="str">
        <f>IFERROR(__xludf.DUMMYFUNCTION("GOOGLETRANSLATE(B137, ""en"", ""kn"")"),"ನಿಮಗೆ ಯಾವುದೇ ಪ್ರಶ್ನೆಗಳಿದ್ದರೆ, ದಯವಿಟ್ಟು")</f>
        <v>ನಿಮಗೆ ಯಾವುದೇ ಪ್ರಶ್ನೆಗಳಿದ್ದರೆ, ದಯವಿಟ್ಟು</v>
      </c>
      <c r="F137" s="7" t="str">
        <f>IFERROR(__xludf.DUMMYFUNCTION("GOOGLETRANSLATE(B137, ""en"", ""ml"")"),"നിങ്ങൾക്ക് എന്തെങ്കിലും ചോദ്യങ്ങളുണ്ടെങ്കിൽ, ദയവായി")</f>
        <v>നിങ്ങൾക്ക് എന്തെങ്കിലും ചോദ്യങ്ങളുണ്ടെങ്കിൽ, ദയവായി</v>
      </c>
      <c r="G137" s="7" t="str">
        <f>IFERROR(__xludf.DUMMYFUNCTION("GOOGLETRANSLATE(B137, ""en"", ""te"")"),"మీకు ఏవైనా ప్రశ్నలు ఉంటే, దయచేసి")</f>
        <v>మీకు ఏవైనా ప్రశ్నలు ఉంటే, దయచేసి</v>
      </c>
    </row>
    <row r="138">
      <c r="A138" s="10" t="s">
        <v>279</v>
      </c>
      <c r="B138" s="5" t="s">
        <v>280</v>
      </c>
      <c r="C138" s="6" t="str">
        <f>IFERROR(__xludf.DUMMYFUNCTION("GOOGLETRANSLATE(B138, ""en"", ""ta"")"),"எங்களை தொடர்பு கொள்ள.")</f>
        <v>எங்களை தொடர்பு கொள்ள.</v>
      </c>
      <c r="D138" s="6" t="str">
        <f>IFERROR(__xludf.DUMMYFUNCTION("GOOGLETRANSLATE(B138, ""en"", ""hi"")"),"हमसे संपर्क करें।")</f>
        <v>हमसे संपर्क करें।</v>
      </c>
      <c r="E138" s="6" t="str">
        <f>IFERROR(__xludf.DUMMYFUNCTION("GOOGLETRANSLATE(B138, ""en"", ""kn"")"),"ನಮ್ಮನ್ನು ಸಂಪರ್ಕಿಸಿ.")</f>
        <v>ನಮ್ಮನ್ನು ಸಂಪರ್ಕಿಸಿ.</v>
      </c>
      <c r="F138" s="7" t="str">
        <f>IFERROR(__xludf.DUMMYFUNCTION("GOOGLETRANSLATE(B138, ""en"", ""ml"")"),"ഞങ്ങളെ സമീപിക്കുക.")</f>
        <v>ഞങ്ങളെ സമീപിക്കുക.</v>
      </c>
      <c r="G138" s="7" t="str">
        <f>IFERROR(__xludf.DUMMYFUNCTION("GOOGLETRANSLATE(B138, ""en"", ""te"")"),"మమ్మల్ని సంప్రదించండి.")</f>
        <v>మమ్మల్ని సంప్రదించండి.</v>
      </c>
    </row>
    <row r="139">
      <c r="A139" s="10" t="s">
        <v>281</v>
      </c>
      <c r="B139" s="5" t="s">
        <v>282</v>
      </c>
      <c r="C139" s="6" t="str">
        <f>IFERROR(__xludf.DUMMYFUNCTION("GOOGLETRANSLATE(B139, ""en"", ""ta"")"),"தடைநீக்க கோரிக்கை அனுப்பப்பட்டது")</f>
        <v>தடைநீக்க கோரிக்கை அனுப்பப்பட்டது</v>
      </c>
      <c r="D139" s="6" t="str">
        <f>IFERROR(__xludf.DUMMYFUNCTION("GOOGLETRANSLATE(B139, ""en"", ""hi"")"),"अनब्लॉक करने का अनुरोध भेजा गया")</f>
        <v>अनब्लॉक करने का अनुरोध भेजा गया</v>
      </c>
      <c r="E139" s="6" t="str">
        <f>IFERROR(__xludf.DUMMYFUNCTION("GOOGLETRANSLATE(B139, ""en"", ""kn"")"),"ನಿರ್ಬಂಧ ತೆಗೆಯುವ ವಿನಂತಿಯನ್ನು ಕಳುಹಿಸಲಾಗಿದೆ")</f>
        <v>ನಿರ್ಬಂಧ ತೆಗೆಯುವ ವಿನಂತಿಯನ್ನು ಕಳುಹಿಸಲಾಗಿದೆ</v>
      </c>
      <c r="F139" s="7" t="str">
        <f>IFERROR(__xludf.DUMMYFUNCTION("GOOGLETRANSLATE(B139, ""en"", ""ml"")"),"അൺബ്ലോക്ക് അഭ്യർത്ഥന അയച്ചു")</f>
        <v>അൺബ്ലോക്ക് അഭ്യർത്ഥന അയച്ചു</v>
      </c>
      <c r="G139" s="7" t="str">
        <f>IFERROR(__xludf.DUMMYFUNCTION("GOOGLETRANSLATE(B139, ""en"", ""te"")"),"అన్‌బ్లాక్ అభ్యర్థన పంపబడింది")</f>
        <v>అన్‌బ్లాక్ అభ్యర్థన పంపబడింది</v>
      </c>
    </row>
    <row r="140">
      <c r="A140" s="10" t="s">
        <v>283</v>
      </c>
      <c r="B140" s="5" t="s">
        <v>284</v>
      </c>
      <c r="C140" s="6" t="str">
        <f>IFERROR(__xludf.DUMMYFUNCTION("GOOGLETRANSLATE(B140, ""en"", ""ta"")"),"தடைநீக்க கோரிக்கையை அனுப்பு")</f>
        <v>தடைநீக்க கோரிக்கையை அனுப்பு</v>
      </c>
      <c r="D140" s="6" t="str">
        <f>IFERROR(__xludf.DUMMYFUNCTION("GOOGLETRANSLATE(B140, ""en"", ""hi"")"),"अनब्लॉक करने का अनुरोध भेजें")</f>
        <v>अनब्लॉक करने का अनुरोध भेजें</v>
      </c>
      <c r="E140" s="6" t="str">
        <f>IFERROR(__xludf.DUMMYFUNCTION("GOOGLETRANSLATE(B140, ""en"", ""kn"")"),"ನಿರ್ಬಂಧ ತೆಗೆಯುವ ವಿನಂತಿಯನ್ನು ಕಳುಹಿಸಿ")</f>
        <v>ನಿರ್ಬಂಧ ತೆಗೆಯುವ ವಿನಂತಿಯನ್ನು ಕಳುಹಿಸಿ</v>
      </c>
      <c r="F140" s="7" t="str">
        <f>IFERROR(__xludf.DUMMYFUNCTION("GOOGLETRANSLATE(B140, ""en"", ""ml"")"),"അൺബ്ലോക്ക് അഭ്യർത്ഥന അയയ്ക്കുക")</f>
        <v>അൺബ്ലോക്ക് അഭ്യർത്ഥന അയയ്ക്കുക</v>
      </c>
      <c r="G140" s="7" t="str">
        <f>IFERROR(__xludf.DUMMYFUNCTION("GOOGLETRANSLATE(B140, ""en"", ""te"")"),"అన్‌బ్లాక్ అభ్యర్థనను పంపండి")</f>
        <v>అన్‌బ్లాక్ అభ్యర్థనను పంపండి</v>
      </c>
    </row>
    <row r="141">
      <c r="A141" s="10" t="s">
        <v>285</v>
      </c>
      <c r="B141" s="5" t="s">
        <v>286</v>
      </c>
      <c r="C141" s="6" t="str">
        <f>IFERROR(__xludf.DUMMYFUNCTION("GOOGLETRANSLATE(B141,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41" s="6" t="str">
        <f>IFERROR(__xludf.DUMMYFUNCTION("GOOGLETRANSLATE(B141,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41" s="6" t="str">
        <f>IFERROR(__xludf.DUMMYFUNCTION("GOOGLETRANSLATE(B141,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41" s="7" t="str">
        <f>IFERROR(__xludf.DUMMYFUNCTION("GOOGLETRANSLATE(B141,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v>
      </c>
      <c r="G141" s="7" t="str">
        <f>IFERROR(__xludf.DUMMYFUNCTION("GOOGLETRANSLATE(B141,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42">
      <c r="A142" s="10" t="s">
        <v>287</v>
      </c>
      <c r="B142" s="5" t="s">
        <v>288</v>
      </c>
      <c r="C142" s="6" t="str">
        <f>IFERROR(__xludf.DUMMYFUNCTION("GOOGLETRANSLATE(B142, ""en"", ""ta"")"),"பதிவு அல்லது செயலி தொடர்பாக ஏதேனும் கேள்விகள் இருந்தால், தயவுசெய்து")</f>
        <v>பதிவு அல்லது செயலி தொடர்பாக ஏதேனும் கேள்விகள் இருந்தால், தயவுசெய்து</v>
      </c>
      <c r="D142" s="6" t="str">
        <f>IFERROR(__xludf.DUMMYFUNCTION("GOOGLETRANSLATE(B142, ""en"", ""hi"")"),"यदि पंजीकरण या ऐप से संबंधित आपके कोई प्रश्न हैं, तो कृपया")</f>
        <v>यदि पंजीकरण या ऐप से संबंधित आपके कोई प्रश्न हैं, तो कृपया</v>
      </c>
      <c r="E142" s="6" t="str">
        <f>IFERROR(__xludf.DUMMYFUNCTION("GOOGLETRANSLATE(B142, ""en"", ""kn"")"),"ನೋಂದಣಿ ಅಥವಾ ಅಪ್ಲಿಕೇಶನ್ ಕುರಿತು ನೀವು ಯಾವುದೇ ಪ್ರಶ್ನೆಗಳನ್ನು ಹೊಂದಿದ್ದರೆ, ದಯವಿಟ್ಟು")</f>
        <v>ನೋಂದಣಿ ಅಥವಾ ಅಪ್ಲಿಕೇಶನ್ ಕುರಿತು ನೀವು ಯಾವುದೇ ಪ್ರಶ್ನೆಗಳನ್ನು ಹೊಂದಿದ್ದರೆ, ದಯವಿಟ್ಟು</v>
      </c>
      <c r="F142" s="7" t="str">
        <f>IFERROR(__xludf.DUMMYFUNCTION("GOOGLETRANSLATE(B142,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42" s="7" t="str">
        <f>IFERROR(__xludf.DUMMYFUNCTION("GOOGLETRANSLATE(B142, ""en"", ""te"")"),"రిజిస్ట్రేషన్ లేదా యాప్ గురించి మీకు ఏవైనా ప్రశ్నలు ఉంటే, దయచేసి")</f>
        <v>రిజిస్ట్రేషన్ లేదా యాప్ గురించి మీకు ఏవైనా ప్రశ్నలు ఉంటే, దయచేసి</v>
      </c>
    </row>
    <row r="143">
      <c r="A143" s="10" t="s">
        <v>289</v>
      </c>
      <c r="B143" s="5" t="s">
        <v>290</v>
      </c>
      <c r="C143" s="6" t="str">
        <f>IFERROR(__xludf.DUMMYFUNCTION("GOOGLETRANSLATE(B143, ""en"", ""ta"")"),"ஆவணங்களைத் திருத்து")</f>
        <v>ஆவணங்களைத் திருத்து</v>
      </c>
      <c r="D143" s="6" t="str">
        <f>IFERROR(__xludf.DUMMYFUNCTION("GOOGLETRANSLATE(B143, ""en"", ""hi"")"),"दस्तावेज़ संपादित करें")</f>
        <v>दस्तावेज़ संपादित करें</v>
      </c>
      <c r="E143" s="6" t="str">
        <f>IFERROR(__xludf.DUMMYFUNCTION("GOOGLETRANSLATE(B143, ""en"", ""kn"")"),"ದಾಖಲೆಗಳನ್ನು ಸಂಪಾದಿಸಿ")</f>
        <v>ದಾಖಲೆಗಳನ್ನು ಸಂಪಾದಿಸಿ</v>
      </c>
      <c r="F143" s="7" t="str">
        <f>IFERROR(__xludf.DUMMYFUNCTION("GOOGLETRANSLATE(B143, ""en"", ""ml"")"),"പ്രമാണങ്ങൾ എഡിറ്റ് ചെയ്യുക")</f>
        <v>പ്രമാണങ്ങൾ എഡിറ്റ് ചെയ്യുക</v>
      </c>
      <c r="G143" s="7" t="str">
        <f>IFERROR(__xludf.DUMMYFUNCTION("GOOGLETRANSLATE(B143, ""en"", ""te"")"),"పత్రాలను సవరించండి")</f>
        <v>పత్రాలను సవరించండి</v>
      </c>
    </row>
    <row r="144">
      <c r="A144" s="10" t="s">
        <v>291</v>
      </c>
      <c r="B144" s="5" t="s">
        <v>292</v>
      </c>
      <c r="C144" s="6" t="str">
        <f>IFERROR(__xludf.DUMMYFUNCTION("GOOGLETRANSLATE(B144, ""en"", ""ta"")"),"ஏதோ தவறாகிவிட்டது.")</f>
        <v>ஏதோ தவறாகிவிட்டது.</v>
      </c>
      <c r="D144" s="6" t="str">
        <f>IFERROR(__xludf.DUMMYFUNCTION("GOOGLETRANSLATE(B144, ""en"", ""hi"")"),"कुछ गलत हो गया")</f>
        <v>कुछ गलत हो गया</v>
      </c>
      <c r="E144" s="6" t="str">
        <f>IFERROR(__xludf.DUMMYFUNCTION("GOOGLETRANSLATE(B144, ""en"", ""kn"")"),"ಏನೋ ತಪ್ಪಾಗಿದೆ.")</f>
        <v>ಏನೋ ತಪ್ಪಾಗಿದೆ.</v>
      </c>
      <c r="F144" s="7" t="str">
        <f>IFERROR(__xludf.DUMMYFUNCTION("GOOGLETRANSLATE(B144, ""en"", ""ml"")"),"എന്തോ കുഴപ്പം സംഭവിച്ചു.")</f>
        <v>എന്തോ കുഴപ്പം സംഭവിച്ചു.</v>
      </c>
      <c r="G144" s="7" t="str">
        <f>IFERROR(__xludf.DUMMYFUNCTION("GOOGLETRANSLATE(B144, ""en"", ""te"")"),"ఏదో తప్పు జరిగింది.")</f>
        <v>ఏదో తప్పు జరిగింది.</v>
      </c>
    </row>
    <row r="145">
      <c r="A145" s="10" t="s">
        <v>293</v>
      </c>
      <c r="B145" s="5" t="s">
        <v>294</v>
      </c>
      <c r="C145" s="6" t="str">
        <f>IFERROR(__xludf.DUMMYFUNCTION("GOOGLETRANSLATE(B145, ""en"", ""ta"")"),"தொடர உங்கள் கடவுச்சொல்லை உள்ளிடவும்.")</f>
        <v>தொடர உங்கள் கடவுச்சொல்லை உள்ளிடவும்.</v>
      </c>
      <c r="D145" s="6" t="str">
        <f>IFERROR(__xludf.DUMMYFUNCTION("GOOGLETRANSLATE(B145, ""en"", ""hi"")"),"जारी रखने के लिए कृपया अपना कूटशब्द दर्ज करें")</f>
        <v>जारी रखने के लिए कृपया अपना कूटशब्द दर्ज करें</v>
      </c>
      <c r="E145" s="6" t="str">
        <f>IFERROR(__xludf.DUMMYFUNCTION("GOOGLETRANSLATE(B145, ""en"", ""kn"")"),"ಮುಂದುವರಿಯಲು ದಯವಿಟ್ಟು ನಿಮ್ಮ ಪಾಸ್‌ವರ್ಡ್ ನಮೂದಿಸಿ.")</f>
        <v>ಮುಂದುವರಿಯಲು ದಯವಿಟ್ಟು ನಿಮ್ಮ ಪಾಸ್‌ವರ್ಡ್ ನಮೂದಿಸಿ.</v>
      </c>
      <c r="F145" s="7" t="str">
        <f>IFERROR(__xludf.DUMMYFUNCTION("GOOGLETRANSLATE(B145, ""en"", ""ml"")"),"തുടരാൻ നിങ്ങളുടെ പാസ്‌വേഡ് നൽകുക.")</f>
        <v>തുടരാൻ നിങ്ങളുടെ പാസ്‌വേഡ് നൽകുക.</v>
      </c>
      <c r="G145" s="7" t="str">
        <f>IFERROR(__xludf.DUMMYFUNCTION("GOOGLETRANSLATE(B145, ""en"", ""te"")"),"కొనసాగించడానికి దయచేసి మీ పాస్‌వర్డ్‌ను నమోదు చేయండి.")</f>
        <v>కొనసాగించడానికి దయచేసి మీ పాస్‌వర్డ్‌ను నమోదు చేయండి.</v>
      </c>
    </row>
    <row r="146">
      <c r="A146" s="4" t="s">
        <v>295</v>
      </c>
      <c r="B146" s="5" t="s">
        <v>296</v>
      </c>
      <c r="C146" s="6" t="str">
        <f>IFERROR(__xludf.DUMMYFUNCTION("GOOGLETRANSLATE(B146, ""en"", ""ta"")"),"குறிப்பு குறியீடு")</f>
        <v>குறிப்பு குறியீடு</v>
      </c>
      <c r="D146" s="6" t="str">
        <f>IFERROR(__xludf.DUMMYFUNCTION("GOOGLETRANSLATE(B146, ""en"", ""hi"")"),"संदर्भ कोड")</f>
        <v>संदर्भ कोड</v>
      </c>
      <c r="E146" s="6" t="str">
        <f>IFERROR(__xludf.DUMMYFUNCTION("GOOGLETRANSLATE(B146, ""en"", ""kn"")"),"ಉಲ್ಲೇಖ ಕೋಡ್")</f>
        <v>ಉಲ್ಲೇಖ ಕೋಡ್</v>
      </c>
      <c r="F146" s="7" t="str">
        <f>IFERROR(__xludf.DUMMYFUNCTION("GOOGLETRANSLATE(B146, ""en"", ""ml"")"),"റഫറൻസ് കോഡ്")</f>
        <v>റഫറൻസ് കോഡ്</v>
      </c>
      <c r="G146" s="7" t="str">
        <f>IFERROR(__xludf.DUMMYFUNCTION("GOOGLETRANSLATE(B146, ""en"", ""te"")"),"రిఫరెన్స్ కోడ్")</f>
        <v>రిఫరెన్స్ కోడ్</v>
      </c>
    </row>
    <row r="147">
      <c r="A147" s="4" t="s">
        <v>297</v>
      </c>
      <c r="B147" s="5" t="s">
        <v>298</v>
      </c>
      <c r="C147" s="6" t="str">
        <f>IFERROR(__xludf.DUMMYFUNCTION("GOOGLETRANSLATE(B147, ""en"", ""ta"")"),"தெரு ஒன்று")</f>
        <v>தெரு ஒன்று</v>
      </c>
      <c r="D147" s="6" t="str">
        <f>IFERROR(__xludf.DUMMYFUNCTION("GOOGLETRANSLATE(B147, ""en"", ""hi"")"),"गली एक")</f>
        <v>गली एक</v>
      </c>
      <c r="E147" s="6" t="str">
        <f>IFERROR(__xludf.DUMMYFUNCTION("GOOGLETRANSLATE(B147, ""en"", ""kn"")"),"ಸ್ಟ್ರೀಟ್ ಒನ್")</f>
        <v>ಸ್ಟ್ರೀಟ್ ಒನ್</v>
      </c>
      <c r="F147" s="7" t="str">
        <f>IFERROR(__xludf.DUMMYFUNCTION("GOOGLETRANSLATE(B147, ""en"", ""ml"")"),"സ്ട്രീറ്റ് വൺ")</f>
        <v>സ്ട്രീറ്റ് വൺ</v>
      </c>
      <c r="G147" s="7" t="str">
        <f>IFERROR(__xludf.DUMMYFUNCTION("GOOGLETRANSLATE(B147, ""en"", ""te"")"),"స్ట్రీట్ వన్")</f>
        <v>స్ట్రీట్ వన్</v>
      </c>
    </row>
    <row r="148">
      <c r="A148" s="4" t="s">
        <v>299</v>
      </c>
      <c r="B148" s="5" t="s">
        <v>300</v>
      </c>
      <c r="C148" s="6" t="str">
        <f>IFERROR(__xludf.DUMMYFUNCTION("GOOGLETRANSLATE(B148, ""en"", ""ta"")"),"தெரு இரண்டு")</f>
        <v>தெரு இரண்டு</v>
      </c>
      <c r="D148" s="6" t="str">
        <f>IFERROR(__xludf.DUMMYFUNCTION("GOOGLETRANSLATE(B148, ""en"", ""hi"")"),"गली दो")</f>
        <v>गली दो</v>
      </c>
      <c r="E148" s="6" t="str">
        <f>IFERROR(__xludf.DUMMYFUNCTION("GOOGLETRANSLATE(B148, ""en"", ""kn"")"),"ಎರಡನೇ ಬೀದಿ")</f>
        <v>ಎರಡನೇ ಬೀದಿ</v>
      </c>
      <c r="F148" s="7" t="str">
        <f>IFERROR(__xludf.DUMMYFUNCTION("GOOGLETRANSLATE(B148, ""en"", ""ml"")"),"സ്ട്രീറ്റ് ടു")</f>
        <v>സ്ട്രീറ്റ് ടു</v>
      </c>
      <c r="G148" s="7" t="str">
        <f>IFERROR(__xludf.DUMMYFUNCTION("GOOGLETRANSLATE(B148, ""en"", ""te"")"),"స్ట్రీట్ టూ")</f>
        <v>స్ట్రీట్ టూ</v>
      </c>
    </row>
    <row r="149">
      <c r="A149" s="4" t="s">
        <v>301</v>
      </c>
      <c r="B149" s="5" t="s">
        <v>302</v>
      </c>
      <c r="C149" s="6" t="str">
        <f>IFERROR(__xludf.DUMMYFUNCTION("GOOGLETRANSLATE(B149, ""en"", ""ta"")"),"நகரம்")</f>
        <v>நகரம்</v>
      </c>
      <c r="D149" s="6" t="str">
        <f>IFERROR(__xludf.DUMMYFUNCTION("GOOGLETRANSLATE(B149, ""en"", ""hi"")"),"शहर")</f>
        <v>शहर</v>
      </c>
      <c r="E149" s="6" t="str">
        <f>IFERROR(__xludf.DUMMYFUNCTION("GOOGLETRANSLATE(B149, ""en"", ""kn"")"),"ನಗರ")</f>
        <v>ನಗರ</v>
      </c>
      <c r="F149" s="7" t="str">
        <f>IFERROR(__xludf.DUMMYFUNCTION("GOOGLETRANSLATE(B149, ""en"", ""ml"")"),"നഗരം")</f>
        <v>നഗരം</v>
      </c>
      <c r="G149" s="7" t="str">
        <f>IFERROR(__xludf.DUMMYFUNCTION("GOOGLETRANSLATE(B149, ""en"", ""te"")"),"నగరం")</f>
        <v>నగరం</v>
      </c>
    </row>
    <row r="150">
      <c r="A150" s="4" t="s">
        <v>303</v>
      </c>
      <c r="B150" s="5" t="s">
        <v>304</v>
      </c>
      <c r="C150" s="6" t="str">
        <f>IFERROR(__xludf.DUMMYFUNCTION("GOOGLETRANSLATE(B150, ""en"", ""ta"")"),"நிலை")</f>
        <v>நிலை</v>
      </c>
      <c r="D150" s="6" t="str">
        <f>IFERROR(__xludf.DUMMYFUNCTION("GOOGLETRANSLATE(B150, ""en"", ""hi"")"),"राज्य")</f>
        <v>राज्य</v>
      </c>
      <c r="E150" s="6" t="str">
        <f>IFERROR(__xludf.DUMMYFUNCTION("GOOGLETRANSLATE(B150, ""en"", ""kn"")"),"ರಾಜ್ಯ")</f>
        <v>ರಾಜ್ಯ</v>
      </c>
      <c r="F150" s="7" t="str">
        <f>IFERROR(__xludf.DUMMYFUNCTION("GOOGLETRANSLATE(B150, ""en"", ""ml"")"),"സംസ്ഥാനം")</f>
        <v>സംസ്ഥാനം</v>
      </c>
      <c r="G150" s="7" t="str">
        <f>IFERROR(__xludf.DUMMYFUNCTION("GOOGLETRANSLATE(B150, ""en"", ""te"")"),"రాష్ట్రం")</f>
        <v>రాష్ట్రం</v>
      </c>
    </row>
    <row r="151">
      <c r="A151" s="4" t="s">
        <v>305</v>
      </c>
      <c r="B151" s="5" t="s">
        <v>306</v>
      </c>
      <c r="C151" s="6" t="str">
        <f>IFERROR(__xludf.DUMMYFUNCTION("GOOGLETRANSLATE(B151, ""en"", ""ta"")"),"அஞ்சல் குறியீடு")</f>
        <v>அஞ்சல் குறியீடு</v>
      </c>
      <c r="D151" s="6" t="str">
        <f>IFERROR(__xludf.DUMMYFUNCTION("GOOGLETRANSLATE(B151, ""en"", ""hi"")"),"डाक कोड")</f>
        <v>डाक कोड</v>
      </c>
      <c r="E151" s="6" t="str">
        <f>IFERROR(__xludf.DUMMYFUNCTION("GOOGLETRANSLATE(B151, ""en"", ""kn"")"),"ಅಂಚೆ ಕೋಡ್")</f>
        <v>ಅಂಚೆ ಕೋಡ್</v>
      </c>
      <c r="F151" s="7" t="str">
        <f>IFERROR(__xludf.DUMMYFUNCTION("GOOGLETRANSLATE(B151, ""en"", ""ml"")"),"തപാൽ കോഡ്")</f>
        <v>തപാൽ കോഡ്</v>
      </c>
      <c r="G151" s="7" t="str">
        <f>IFERROR(__xludf.DUMMYFUNCTION("GOOGLETRANSLATE(B151, ""en"", ""te"")"),"పోస్టల్ కోడ్")</f>
        <v>పోస్టల్ కోడ్</v>
      </c>
    </row>
    <row r="152">
      <c r="A152" s="4" t="s">
        <v>307</v>
      </c>
      <c r="B152" s="5" t="s">
        <v>308</v>
      </c>
      <c r="C152" s="6" t="str">
        <f>IFERROR(__xludf.DUMMYFUNCTION("GOOGLETRANSLATE(B152, ""en"", ""ta"")"),"நாடு")</f>
        <v>நாடு</v>
      </c>
      <c r="D152" s="6" t="str">
        <f>IFERROR(__xludf.DUMMYFUNCTION("GOOGLETRANSLATE(B152, ""en"", ""hi"")"),"देश")</f>
        <v>देश</v>
      </c>
      <c r="E152" s="6" t="str">
        <f>IFERROR(__xludf.DUMMYFUNCTION("GOOGLETRANSLATE(B152, ""en"", ""kn"")"),"ದೇಶ")</f>
        <v>ದೇಶ</v>
      </c>
      <c r="F152" s="7" t="str">
        <f>IFERROR(__xludf.DUMMYFUNCTION("GOOGLETRANSLATE(B152, ""en"", ""ml"")"),"രാജ്യം")</f>
        <v>രാജ്യം</v>
      </c>
      <c r="G152" s="7" t="str">
        <f>IFERROR(__xludf.DUMMYFUNCTION("GOOGLETRANSLATE(B152, ""en"", ""te"")"),"దేశం")</f>
        <v>దేశం</v>
      </c>
    </row>
    <row r="153">
      <c r="A153" s="4" t="s">
        <v>309</v>
      </c>
      <c r="B153" s="5" t="s">
        <v>310</v>
      </c>
      <c r="C153" s="6" t="str">
        <f>IFERROR(__xludf.DUMMYFUNCTION("GOOGLETRANSLATE(B153, ""en"", ""ta"")"),"OTP பெறுங்கள்")</f>
        <v>OTP பெறுங்கள்</v>
      </c>
      <c r="D153" s="6" t="str">
        <f>IFERROR(__xludf.DUMMYFUNCTION("GOOGLETRANSLATE(B153, ""en"", ""hi"")"),"ओटीपी प्राप्त करें")</f>
        <v>ओटीपी प्राप्त करें</v>
      </c>
      <c r="E153" s="6" t="str">
        <f>IFERROR(__xludf.DUMMYFUNCTION("GOOGLETRANSLATE(B153, ""en"", ""kn"")"),"ಒಟಿಪಿ ಪಡೆಯಿರಿ")</f>
        <v>ಒಟಿಪಿ ಪಡೆಯಿರಿ</v>
      </c>
      <c r="F153" s="7" t="str">
        <f>IFERROR(__xludf.DUMMYFUNCTION("GOOGLETRANSLATE(B153, ""en"", ""ml"")"),"OTP നേടുക")</f>
        <v>OTP നേടുക</v>
      </c>
      <c r="G153" s="7" t="str">
        <f>IFERROR(__xludf.DUMMYFUNCTION("GOOGLETRANSLATE(B153, ""en"", ""te"")"),"OTP పొందండి")</f>
        <v>OTP పొందండి</v>
      </c>
    </row>
    <row r="154">
      <c r="A154" s="4" t="s">
        <v>311</v>
      </c>
      <c r="B154" s="5" t="s">
        <v>312</v>
      </c>
      <c r="C154" s="6" t="str">
        <f>IFERROR(__xludf.DUMMYFUNCTION("GOOGLETRANSLATE(B154, ""en"", ""ta"")"),"மொபைல் எண்ணுக்கு ஒரு OTP அனுப்பப்பட்டுள்ளது.")</f>
        <v>மொபைல் எண்ணுக்கு ஒரு OTP அனுப்பப்பட்டுள்ளது.</v>
      </c>
      <c r="D154" s="6" t="str">
        <f>IFERROR(__xludf.DUMMYFUNCTION("GOOGLETRANSLATE(B154, ""en"", ""hi"")"),"मोबाइल नंबर पर एक OTP भेजा गया है।")</f>
        <v>मोबाइल नंबर पर एक OTP भेजा गया है।</v>
      </c>
      <c r="E154" s="6" t="str">
        <f>IFERROR(__xludf.DUMMYFUNCTION("GOOGLETRANSLATE(B154, ""en"", ""kn"")"),"ಮೊಬೈಲ್ ಸಂಖ್ಯೆಗೆ OTP ಕಳುಹಿಸಲಾಗಿದೆ.")</f>
        <v>ಮೊಬೈಲ್ ಸಂಖ್ಯೆಗೆ OTP ಕಳುಹಿಸಲಾಗಿದೆ.</v>
      </c>
      <c r="F154" s="7" t="str">
        <f>IFERROR(__xludf.DUMMYFUNCTION("GOOGLETRANSLATE(B154, ""en"", ""ml"")"),"മൊബൈൽ നമ്പറിലേക്ക് ഒരു OTP അയച്ചിട്ടുണ്ട്.")</f>
        <v>മൊബൈൽ നമ്പറിലേക്ക് ഒരു OTP അയച്ചിട്ടുണ്ട്.</v>
      </c>
      <c r="G154" s="7" t="str">
        <f>IFERROR(__xludf.DUMMYFUNCTION("GOOGLETRANSLATE(B154, ""en"", ""te"")"),"మొబైల్ నంబర్‌కు OTP పంపబడింది.")</f>
        <v>మొబైల్ నంబర్‌కు OTP పంపబడింది.</v>
      </c>
    </row>
    <row r="155">
      <c r="A155" s="4" t="s">
        <v>313</v>
      </c>
      <c r="B155" s="5" t="s">
        <v>314</v>
      </c>
      <c r="C155" s="6" t="str">
        <f>IFERROR(__xludf.DUMMYFUNCTION("GOOGLETRANSLATE(B155, ""en"", ""ta"")"),"ஒரு முறை
கடவுச்சொல் (OTP)")</f>
        <v>ஒரு முறை
கடவுச்சொல் (OTP)</v>
      </c>
      <c r="D155" s="6" t="str">
        <f>IFERROR(__xludf.DUMMYFUNCTION("GOOGLETRANSLATE(B155, ""en"", ""hi"")"),"एक बार का पासवर्ड
(ओटीपी)")</f>
        <v>एक बार का पासवर्ड
(ओटीपी)</v>
      </c>
      <c r="E155" s="6" t="str">
        <f>IFERROR(__xludf.DUMMYFUNCTION("GOOGLETRANSLATE(B155, ""en"", ""kn"")"),"ಒಂದು ಬಾರಿಯ ಪಾಸ್‌ವರ್ಡ್ (OTP)")</f>
        <v>ಒಂದು ಬಾರಿಯ ಪಾಸ್‌ವರ್ಡ್ (OTP)</v>
      </c>
      <c r="F155" s="7" t="str">
        <f>IFERROR(__xludf.DUMMYFUNCTION("GOOGLETRANSLATE(B155, ""en"", ""ml"")"),"ഒറ്റത്തവണ പാസ്‌വേഡ് (ഒടിപി)")</f>
        <v>ഒറ്റത്തവണ പാസ്‌വേഡ് (ഒടിപി)</v>
      </c>
      <c r="G155" s="7" t="str">
        <f>IFERROR(__xludf.DUMMYFUNCTION("GOOGLETRANSLATE(B155, ""en"", ""te"")"),"ఒకసారి ఉపయోగించగల పాస్‌వర్డ్ (OTP)")</f>
        <v>ఒకసారి ఉపయోగించగల పాస్‌వర్డ్ (OTP)</v>
      </c>
    </row>
    <row r="156">
      <c r="A156" s="4" t="s">
        <v>315</v>
      </c>
      <c r="B156" s="5" t="s">
        <v>316</v>
      </c>
      <c r="C156" s="6" t="str">
        <f>IFERROR(__xludf.DUMMYFUNCTION("GOOGLETRANSLATE(B156, ""en"", ""ta"")"),"OTP சரிபார்ப்பு")</f>
        <v>OTP சரிபார்ப்பு</v>
      </c>
      <c r="D156" s="6" t="str">
        <f>IFERROR(__xludf.DUMMYFUNCTION("GOOGLETRANSLATE(B156, ""en"", ""hi"")"),"ओटीपी सत्यापन")</f>
        <v>ओटीपी सत्यापन</v>
      </c>
      <c r="E156" s="6" t="str">
        <f>IFERROR(__xludf.DUMMYFUNCTION("GOOGLETRANSLATE(B156, ""en"", ""kn"")"),"OTP ಪರಿಶೀಲನೆ")</f>
        <v>OTP ಪರಿಶೀಲನೆ</v>
      </c>
      <c r="F156" s="7" t="str">
        <f>IFERROR(__xludf.DUMMYFUNCTION("GOOGLETRANSLATE(B156, ""en"", ""ml"")"),"OTP പരിശോധന")</f>
        <v>OTP പരിശോധന</v>
      </c>
      <c r="G156" s="7" t="str">
        <f>IFERROR(__xludf.DUMMYFUNCTION("GOOGLETRANSLATE(B156, ""en"", ""te"")"),"OTP ధృవీకరణ")</f>
        <v>OTP ధృవీకరణ</v>
      </c>
    </row>
    <row r="157">
      <c r="A157" s="4" t="s">
        <v>317</v>
      </c>
      <c r="B157" s="5" t="s">
        <v>318</v>
      </c>
      <c r="C157" s="6" t="str">
        <f>IFERROR(__xludf.DUMMYFUNCTION("GOOGLETRANSLATE(B157, ""en"", ""ta"")"),"OTP-ஐச் சரிபார்க்கவும்")</f>
        <v>OTP-ஐச் சரிபார்க்கவும்</v>
      </c>
      <c r="D157" s="6" t="str">
        <f>IFERROR(__xludf.DUMMYFUNCTION("GOOGLETRANSLATE(B157, ""en"", ""hi"")"),"ओटीपी सत्यापित करें")</f>
        <v>ओटीपी सत्यापित करें</v>
      </c>
      <c r="E157" s="6" t="str">
        <f>IFERROR(__xludf.DUMMYFUNCTION("GOOGLETRANSLATE(B157, ""en"", ""kn"")"),"ಒಟಿಪಿ ಪರಿಶೀಲಿಸಿ")</f>
        <v>ಒಟಿಪಿ ಪರಿಶೀಲಿಸಿ</v>
      </c>
      <c r="F157" s="7" t="str">
        <f>IFERROR(__xludf.DUMMYFUNCTION("GOOGLETRANSLATE(B157, ""en"", ""ml"")"),"OTP പരിശോധിക്കുക")</f>
        <v>OTP പരിശോധിക്കുക</v>
      </c>
      <c r="G157" s="7" t="str">
        <f>IFERROR(__xludf.DUMMYFUNCTION("GOOGLETRANSLATE(B157, ""en"", ""te"")"),"OTP ని ధృవీకరించండి")</f>
        <v>OTP ని ధృవీకరించండి</v>
      </c>
    </row>
    <row r="158">
      <c r="A158" s="4" t="s">
        <v>319</v>
      </c>
      <c r="B158" s="5" t="s">
        <v>320</v>
      </c>
      <c r="C158" s="6" t="str">
        <f>IFERROR(__xludf.DUMMYFUNCTION("GOOGLETRANSLATE(B158, ""en"", ""ta"")"),"OTP-ஐ மீண்டும் அனுப்பு")</f>
        <v>OTP-ஐ மீண்டும் அனுப்பு</v>
      </c>
      <c r="D158" s="6" t="str">
        <f>IFERROR(__xludf.DUMMYFUNCTION("GOOGLETRANSLATE(B158, ""en"", ""hi"")"),"ओटीपी दोबारा भेजें")</f>
        <v>ओटीपी दोबारा भेजें</v>
      </c>
      <c r="E158" s="6" t="str">
        <f>IFERROR(__xludf.DUMMYFUNCTION("GOOGLETRANSLATE(B158, ""en"", ""kn"")"),"OTP ಮತ್ತೆ ಕಳುಹಿಸಿ")</f>
        <v>OTP ಮತ್ತೆ ಕಳುಹಿಸಿ</v>
      </c>
      <c r="F158" s="7" t="str">
        <f>IFERROR(__xludf.DUMMYFUNCTION("GOOGLETRANSLATE(B158, ""en"", ""ml"")"),"OTP വീണ്ടും അയയ്ക്കുക")</f>
        <v>OTP വീണ്ടും അയയ്ക്കുക</v>
      </c>
      <c r="G158" s="7" t="str">
        <f>IFERROR(__xludf.DUMMYFUNCTION("GOOGLETRANSLATE(B158, ""en"", ""te"")"),"OTP ని మళ్ళీ పంపండి")</f>
        <v>OTP ని మళ్ళీ పంపండి</v>
      </c>
    </row>
    <row r="159">
      <c r="A159" s="4" t="s">
        <v>321</v>
      </c>
      <c r="B159" s="5" t="s">
        <v>322</v>
      </c>
      <c r="C159" s="6" t="str">
        <f>IFERROR(__xludf.DUMMYFUNCTION("GOOGLETRANSLATE(B159, ""en"", ""ta"")"),"OTP வெற்றிகரமாக சரிபார்க்கப்பட்டது.")</f>
        <v>OTP வெற்றிகரமாக சரிபார்க்கப்பட்டது.</v>
      </c>
      <c r="D159" s="6" t="str">
        <f>IFERROR(__xludf.DUMMYFUNCTION("GOOGLETRANSLATE(B159, ""en"", ""hi"")"),"ओटीपी सफलतापूर्वक सत्यापित हो गया")</f>
        <v>ओटीपी सफलतापूर्वक सत्यापित हो गया</v>
      </c>
      <c r="E159" s="6" t="str">
        <f>IFERROR(__xludf.DUMMYFUNCTION("GOOGLETRANSLATE(B159, ""en"", ""kn"")"),"OTP ಯಶಸ್ವಿಯಾಗಿ ಪರಿಶೀಲಿಸಲಾಗಿದೆ.")</f>
        <v>OTP ಯಶಸ್ವಿಯಾಗಿ ಪರಿಶೀಲಿಸಲಾಗಿದೆ.</v>
      </c>
      <c r="F159" s="7" t="str">
        <f>IFERROR(__xludf.DUMMYFUNCTION("GOOGLETRANSLATE(B159, ""en"", ""ml"")"),"OTP വിജയകരമായി പരിശോധിച്ചു.")</f>
        <v>OTP വിജയകരമായി പരിശോധിച്ചു.</v>
      </c>
      <c r="G159" s="7" t="str">
        <f>IFERROR(__xludf.DUMMYFUNCTION("GOOGLETRANSLATE(B159, ""en"", ""te"")"),"OTP విజయవంతంగా ధృవీకరించబడింది")</f>
        <v>OTP విజయవంతంగా ధృవీకరించబడింది</v>
      </c>
    </row>
    <row r="160">
      <c r="A160" s="4" t="s">
        <v>323</v>
      </c>
      <c r="B160" s="5" t="s">
        <v>324</v>
      </c>
      <c r="C160" s="6" t="str">
        <f>IFERROR(__xludf.DUMMYFUNCTION("GOOGLETRANSLATE(B160, ""en"", ""ta"")"),"பதிவுசெய்யப்பட்ட தொலைபேசி எண்ணுக்கு OTP வெற்றிகரமாக மீண்டும் அனுப்பப்பட்டது.")</f>
        <v>பதிவுசெய்யப்பட்ட தொலைபேசி எண்ணுக்கு OTP வெற்றிகரமாக மீண்டும் அனுப்பப்பட்டது.</v>
      </c>
      <c r="D160" s="6" t="str">
        <f>IFERROR(__xludf.DUMMYFUNCTION("GOOGLETRANSLATE(B160, ""en"", ""hi"")"),"पंजीकृत फ़ोन नंबर पर OTP सफलतापूर्वक पुनः भेज दिया गया है।")</f>
        <v>पंजीकृत फ़ोन नंबर पर OTP सफलतापूर्वक पुनः भेज दिया गया है।</v>
      </c>
      <c r="E160" s="6" t="str">
        <f>IFERROR(__xludf.DUMMYFUNCTION("GOOGLETRANSLATE(B160, ""en"", ""kn"")"),"ನೋಂದಾಯಿತ ಫೋನ್ ಸಂಖ್ಯೆಗೆ OTP ಯಶಸ್ವಿಯಾಗಿ ಮರು ಕಳುಹಿಸಲಾಗಿದೆ.")</f>
        <v>ನೋಂದಾಯಿತ ಫೋನ್ ಸಂಖ್ಯೆಗೆ OTP ಯಶಸ್ವಿಯಾಗಿ ಮರು ಕಳುಹಿಸಲಾಗಿದೆ.</v>
      </c>
      <c r="F160" s="7" t="str">
        <f>IFERROR(__xludf.DUMMYFUNCTION("GOOGLETRANSLATE(B160, ""en"", ""ml"")"),"രജിസ്റ്റർ ചെയ്ത ഫോൺ നമ്പറിലേക്ക് OTP വിജയകരമായി വീണ്ടും അയച്ചു.")</f>
        <v>രജിസ്റ്റർ ചെയ്ത ഫോൺ നമ്പറിലേക്ക് OTP വിജയകരമായി വീണ്ടും അയച്ചു.</v>
      </c>
      <c r="G160" s="7" t="str">
        <f>IFERROR(__xludf.DUMMYFUNCTION("GOOGLETRANSLATE(B160, ""en"", ""te"")"),"రిజిస్టర్డ్ ఫోన్ నంబర్‌కు OTP విజయవంతంగా తిరిగి పంపబడింది.")</f>
        <v>రిజిస్టర్డ్ ఫోన్ నంబర్‌కు OTP విజయవంతంగా తిరిగి పంపబడింది.</v>
      </c>
    </row>
    <row r="161">
      <c r="A161" s="4" t="s">
        <v>325</v>
      </c>
      <c r="B161" s="5" t="s">
        <v>326</v>
      </c>
      <c r="C161" s="6" t="str">
        <f>IFERROR(__xludf.DUMMYFUNCTION("GOOGLETRANSLATE(B161, ""en"", ""ta"")"),"நிகழ்நேர புதுப்பிப்புகளைப் பெற இருப்பிட அனுமதியை இயக்கவும்.")</f>
        <v>நிகழ்நேர புதுப்பிப்புகளைப் பெற இருப்பிட அனுமதியை இயக்கவும்.</v>
      </c>
      <c r="D161" s="6" t="str">
        <f>IFERROR(__xludf.DUMMYFUNCTION("GOOGLETRANSLATE(B161, ""en"", ""hi"")"),"रीयल टाइम अपडेट प्राप्त करने के लिए कृपया लोकेशन परमिशन चालू करें।")</f>
        <v>रीयल टाइम अपडेट प्राप्त करने के लिए कृपया लोकेशन परमिशन चालू करें।</v>
      </c>
      <c r="E161" s="6" t="str">
        <f>IFERROR(__xludf.DUMMYFUNCTION("GOOGLETRANSLATE(B161, ""en"", ""kn"")"),"ನೈಜ ಸಮಯದ ನವೀಕರಣಗಳನ್ನು ಪಡೆಯಲು ಸ್ಥಳ ಅನುಮತಿಯನ್ನು ಸಕ್ರಿಯಗೊಳಿಸಿ.")</f>
        <v>ನೈಜ ಸಮಯದ ನವೀಕರಣಗಳನ್ನು ಪಡೆಯಲು ಸ್ಥಳ ಅನುಮತಿಯನ್ನು ಸಕ್ರಿಯಗೊಳಿಸಿ.</v>
      </c>
      <c r="F161" s="7" t="str">
        <f>IFERROR(__xludf.DUMMYFUNCTION("GOOGLETRANSLATE(B161, ""en"", ""ml"")"),"തത്സമയ അപ്‌ഡേറ്റുകൾ ലഭിക്കാൻ ലൊക്കേഷൻ അനുമതി പ്രവർത്തനക്ഷമമാക്കുക.")</f>
        <v>തത്സമയ അപ്‌ഡേറ്റുകൾ ലഭിക്കാൻ ലൊക്കേഷൻ അനുമതി പ്രവർത്തനക്ഷമമാക്കുക.</v>
      </c>
      <c r="G161" s="7" t="str">
        <f>IFERROR(__xludf.DUMMYFUNCTION("GOOGLETRANSLATE(B161, ""en"", ""te"")"),"రియల్ టైమ్ అప్‌డేట్‌లను పొందడానికి దయచేసి లొకేషన్ అనుమతిని ప్రారంభించండి.")</f>
        <v>రియల్ టైమ్ అప్‌డేట్‌లను పొందడానికి దయచేసి లొకేషన్ అనుమతిని ప్రారంభించండి.</v>
      </c>
    </row>
    <row r="162">
      <c r="A162" s="4" t="s">
        <v>327</v>
      </c>
      <c r="B162" s="5" t="s">
        <v>328</v>
      </c>
      <c r="C162" s="6" t="str">
        <f>IFERROR(__xludf.DUMMYFUNCTION("GOOGLETRANSLATE(B162, ""en"", ""ta"")"),"நிகழ்நேர புதுப்பிப்புகளைப் பெற அறிவிப்பு அனுமதியை இயக்கவும்.")</f>
        <v>நிகழ்நேர புதுப்பிப்புகளைப் பெற அறிவிப்பு அனுமதியை இயக்கவும்.</v>
      </c>
      <c r="D162" s="6" t="str">
        <f>IFERROR(__xludf.DUMMYFUNCTION("GOOGLETRANSLATE(B162, ""en"", ""hi"")"),"रीयल टाइम अपडेट प्राप्त करने के लिए कृपया नोटिफिकेशन की अनुमति चालू करें।")</f>
        <v>रीयल टाइम अपडेट प्राप्त करने के लिए कृपया नोटिफिकेशन की अनुमति चालू करें।</v>
      </c>
      <c r="E162" s="6" t="str">
        <f>IFERROR(__xludf.DUMMYFUNCTION("GOOGLETRANSLATE(B162, ""en"", ""kn"")"),"ನೈಜ ಸಮಯದ ನವೀಕರಣಗಳನ್ನು ಪಡೆಯಲು ಅಧಿಸೂಚನೆ ಅನುಮತಿಯನ್ನು ಸಕ್ರಿಯಗೊಳಿಸಿ.")</f>
        <v>ನೈಜ ಸಮಯದ ನವೀಕರಣಗಳನ್ನು ಪಡೆಯಲು ಅಧಿಸೂಚನೆ ಅನುಮತಿಯನ್ನು ಸಕ್ರಿಯಗೊಳಿಸಿ.</v>
      </c>
      <c r="F162" s="7" t="str">
        <f>IFERROR(__xludf.DUMMYFUNCTION("GOOGLETRANSLATE(B162, ""en"", ""ml"")"),"തത്സമയ അപ്‌ഡേറ്റുകൾ ലഭിക്കാൻ അറിയിപ്പ് അനുമതി പ്രവർത്തനക്ഷമമാക്കുക.")</f>
        <v>തത്സമയ അപ്‌ഡേറ്റുകൾ ലഭിക്കാൻ അറിയിപ്പ് അനുമതി പ്രവർത്തനക്ഷമമാക്കുക.</v>
      </c>
      <c r="G162" s="7" t="str">
        <f>IFERROR(__xludf.DUMMYFUNCTION("GOOGLETRANSLATE(B162, ""en"", ""te"")"),"రియల్ టైమ్ అప్‌డేట్‌లను పొందడానికి దయచేసి నోటిఫికేషన్ అనుమతిని ప్రారంభించండి.")</f>
        <v>రియల్ టైమ్ అప్‌డేట్‌లను పొందడానికి దయచేసి నోటిఫికేషన్ అనుమతిని ప్రారంభించండి.</v>
      </c>
    </row>
    <row r="163">
      <c r="A163" s="4" t="s">
        <v>329</v>
      </c>
      <c r="B163" s="5" t="s">
        <v>330</v>
      </c>
      <c r="C163" s="6" t="str">
        <f>IFERROR(__xludf.DUMMYFUNCTION("GOOGLETRANSLATE(B163, ""en"", ""ta"")"),"இப்போதே இயக்கு")</f>
        <v>இப்போதே இயக்கு</v>
      </c>
      <c r="D163" s="6" t="str">
        <f>IFERROR(__xludf.DUMMYFUNCTION("GOOGLETRANSLATE(B163, ""en"", ""hi"")"),"अभी सक्षम करें")</f>
        <v>अभी सक्षम करें</v>
      </c>
      <c r="E163" s="6" t="str">
        <f>IFERROR(__xludf.DUMMYFUNCTION("GOOGLETRANSLATE(B163, ""en"", ""kn"")"),"ಈಗ ಸಕ್ರಿಯಗೊಳಿಸಿ")</f>
        <v>ಈಗ ಸಕ್ರಿಯಗೊಳಿಸಿ</v>
      </c>
      <c r="F163" s="7" t="str">
        <f>IFERROR(__xludf.DUMMYFUNCTION("GOOGLETRANSLATE(B163, ""en"", ""ml"")"),"ഇപ്പോൾ പ്രവർത്തനക്ഷമമാക്കുക")</f>
        <v>ഇപ്പോൾ പ്രവർത്തനക്ഷമമാക്കുക</v>
      </c>
      <c r="G163" s="7" t="str">
        <f>IFERROR(__xludf.DUMMYFUNCTION("GOOGLETRANSLATE(B163, ""en"", ""te"")"),"ఇప్పుడే ప్రారంభించు")</f>
        <v>ఇప్పుడే ప్రారంభించు</v>
      </c>
    </row>
    <row r="164">
      <c r="A164" s="4" t="s">
        <v>281</v>
      </c>
      <c r="B164" s="5" t="s">
        <v>282</v>
      </c>
      <c r="C164" s="6" t="str">
        <f>IFERROR(__xludf.DUMMYFUNCTION("GOOGLETRANSLATE(B164, ""en"", ""ta"")"),"தடைநீக்க கோரிக்கை அனுப்பப்பட்டது")</f>
        <v>தடைநீக்க கோரிக்கை அனுப்பப்பட்டது</v>
      </c>
      <c r="D164" s="6" t="str">
        <f>IFERROR(__xludf.DUMMYFUNCTION("GOOGLETRANSLATE(B164, ""en"", ""hi"")"),"अनब्लॉक करने का अनुरोध भेजा गया")</f>
        <v>अनब्लॉक करने का अनुरोध भेजा गया</v>
      </c>
      <c r="E164" s="6" t="str">
        <f>IFERROR(__xludf.DUMMYFUNCTION("GOOGLETRANSLATE(B164, ""en"", ""kn"")"),"ನಿರ್ಬಂಧ ತೆಗೆಯುವ ವಿನಂತಿಯನ್ನು ಕಳುಹಿಸಲಾಗಿದೆ")</f>
        <v>ನಿರ್ಬಂಧ ತೆಗೆಯುವ ವಿನಂತಿಯನ್ನು ಕಳುಹಿಸಲಾಗಿದೆ</v>
      </c>
      <c r="F164" s="7" t="str">
        <f>IFERROR(__xludf.DUMMYFUNCTION("GOOGLETRANSLATE(B164, ""en"", ""ml"")"),"അൺബ്ലോക്ക് അഭ്യർത്ഥന അയച്ചു")</f>
        <v>അൺബ്ലോക്ക് അഭ്യർത്ഥന അയച്ചു</v>
      </c>
      <c r="G164" s="7" t="str">
        <f>IFERROR(__xludf.DUMMYFUNCTION("GOOGLETRANSLATE(B164, ""en"", ""te"")"),"అన్‌బ్లాక్ అభ్యర్థన పంపబడింది")</f>
        <v>అన్‌బ్లాక్ అభ్యర్థన పంపబడింది</v>
      </c>
    </row>
    <row r="165">
      <c r="A165" s="4" t="s">
        <v>283</v>
      </c>
      <c r="B165" s="5" t="s">
        <v>284</v>
      </c>
      <c r="C165" s="6" t="str">
        <f>IFERROR(__xludf.DUMMYFUNCTION("GOOGLETRANSLATE(B165, ""en"", ""ta"")"),"தடைநீக்க கோரிக்கையை அனுப்பு")</f>
        <v>தடைநீக்க கோரிக்கையை அனுப்பு</v>
      </c>
      <c r="D165" s="6" t="str">
        <f>IFERROR(__xludf.DUMMYFUNCTION("GOOGLETRANSLATE(B165, ""en"", ""hi"")"),"अनब्लॉक करने का अनुरोध भेजें")</f>
        <v>अनब्लॉक करने का अनुरोध भेजें</v>
      </c>
      <c r="E165" s="6" t="str">
        <f>IFERROR(__xludf.DUMMYFUNCTION("GOOGLETRANSLATE(B165, ""en"", ""kn"")"),"ನಿರ್ಬಂಧ ತೆಗೆಯುವ ವಿನಂತಿಯನ್ನು ಕಳುಹಿಸಿ")</f>
        <v>ನಿರ್ಬಂಧ ತೆಗೆಯುವ ವಿನಂತಿಯನ್ನು ಕಳುಹಿಸಿ</v>
      </c>
      <c r="F165" s="7" t="str">
        <f>IFERROR(__xludf.DUMMYFUNCTION("GOOGLETRANSLATE(B165, ""en"", ""ml"")"),"അൺബ്ലോക്ക് അഭ്യർത്ഥന അയയ്ക്കുക")</f>
        <v>അൺബ്ലോക്ക് അഭ്യർത്ഥന അയയ്ക്കുക</v>
      </c>
      <c r="G165" s="7" t="str">
        <f>IFERROR(__xludf.DUMMYFUNCTION("GOOGLETRANSLATE(B165, ""en"", ""te"")"),"అన్‌బ్లాక్ అభ్యర్థనను పంపండి")</f>
        <v>అన్‌బ్లాక్ అభ్యర్థనను పంపండి</v>
      </c>
    </row>
    <row r="166">
      <c r="A166" s="4" t="s">
        <v>277</v>
      </c>
      <c r="B166" s="5" t="s">
        <v>278</v>
      </c>
      <c r="C166" s="6" t="str">
        <f>IFERROR(__xludf.DUMMYFUNCTION("GOOGLETRANSLATE(B166, ""en"", ""ta"")"),"உங்களுக்கு ஏதேனும் கேள்விகள் இருந்தால், தயவுசெய்து")</f>
        <v>உங்களுக்கு ஏதேனும் கேள்விகள் இருந்தால், தயவுசெய்து</v>
      </c>
      <c r="D166" s="6" t="str">
        <f>IFERROR(__xludf.DUMMYFUNCTION("GOOGLETRANSLATE(B166, ""en"", ""hi"")"),"यदि आपके कोई प्रश्न हैं, तो कृपया")</f>
        <v>यदि आपके कोई प्रश्न हैं, तो कृपया</v>
      </c>
      <c r="E166" s="6" t="str">
        <f>IFERROR(__xludf.DUMMYFUNCTION("GOOGLETRANSLATE(B166, ""en"", ""kn"")"),"ನಿಮಗೆ ಯಾವುದೇ ಪ್ರಶ್ನೆಗಳಿದ್ದರೆ, ದಯವಿಟ್ಟು")</f>
        <v>ನಿಮಗೆ ಯಾವುದೇ ಪ್ರಶ್ನೆಗಳಿದ್ದರೆ, ದಯವಿಟ್ಟು</v>
      </c>
      <c r="F166" s="7" t="str">
        <f>IFERROR(__xludf.DUMMYFUNCTION("GOOGLETRANSLATE(B166, ""en"", ""ml"")"),"നിങ്ങൾക്ക് എന്തെങ്കിലും ചോദ്യങ്ങളുണ്ടെങ്കിൽ, ദയവായി")</f>
        <v>നിങ്ങൾക്ക് എന്തെങ്കിലും ചോദ്യങ്ങളുണ്ടെങ്കിൽ, ദയവായി</v>
      </c>
      <c r="G166" s="7" t="str">
        <f>IFERROR(__xludf.DUMMYFUNCTION("GOOGLETRANSLATE(B166, ""en"", ""te"")"),"మీకు ఏవైనా ప్రశ్నలు ఉంటే, దయచేసి")</f>
        <v>మీకు ఏవైనా ప్రశ్నలు ఉంటే, దయచేసి</v>
      </c>
    </row>
    <row r="167">
      <c r="A167" s="4" t="s">
        <v>275</v>
      </c>
      <c r="B167" s="5" t="s">
        <v>276</v>
      </c>
      <c r="C167" s="6" t="str">
        <f>IFERROR(__xludf.DUMMYFUNCTION("GOOGLETRANSLATE(B167, ""en"", ""ta"")"),"சில காரணங்களால் உங்கள் கணக்கு தடுக்கப்பட்டுள்ளது.")</f>
        <v>சில காரணங்களால் உங்கள் கணக்கு தடுக்கப்பட்டுள்ளது.</v>
      </c>
      <c r="D167" s="6" t="str">
        <f>IFERROR(__xludf.DUMMYFUNCTION("GOOGLETRANSLATE(B167, ""en"", ""hi"")"),"कुछ कारणों से आपका खाता अवरुद्ध कर दिया गया है।")</f>
        <v>कुछ कारणों से आपका खाता अवरुद्ध कर दिया गया है।</v>
      </c>
      <c r="E167" s="6" t="str">
        <f>IFERROR(__xludf.DUMMYFUNCTION("GOOGLETRANSLATE(B167, ""en"", ""kn"")"),"ಕೆಲವು ಕಾರಣಗಳಿಂದ ನಿಮ್ಮ ಖಾತೆಯನ್ನು ನಿರ್ಬಂಧಿಸಲಾಗಿದೆ.")</f>
        <v>ಕೆಲವು ಕಾರಣಗಳಿಂದ ನಿಮ್ಮ ಖಾತೆಯನ್ನು ನಿರ್ಬಂಧಿಸಲಾಗಿದೆ.</v>
      </c>
      <c r="F167" s="7" t="str">
        <f>IFERROR(__xludf.DUMMYFUNCTION("GOOGLETRANSLATE(B167, ""en"", ""ml"")"),"ചില കാരണങ്ങളാൽ നിങ്ങളുടെ അക്കൗണ്ട് ബ്ലോക്ക് ചെയ്‌തിരിക്കുന്നു.")</f>
        <v>ചില കാരണങ്ങളാൽ നിങ്ങളുടെ അക്കൗണ്ട് ബ്ലോക്ക് ചെയ്‌തിരിക്കുന്നു.</v>
      </c>
      <c r="G167" s="7" t="str">
        <f>IFERROR(__xludf.DUMMYFUNCTION("GOOGLETRANSLATE(B167, ""en"", ""te"")"),"కొన్ని కారణాల వల్ల మీ ఖాతా బ్లాక్ చేయబడింది.")</f>
        <v>కొన్ని కారణాల వల్ల మీ ఖాతా బ్లాక్ చేయబడింది.</v>
      </c>
    </row>
    <row r="168">
      <c r="A168" s="4" t="s">
        <v>273</v>
      </c>
      <c r="B168" s="5" t="s">
        <v>331</v>
      </c>
      <c r="C168" s="6" t="str">
        <f>IFERROR(__xludf.DUMMYFUNCTION("GOOGLETRANSLATE(B168, ""en"", ""ta"")"),"ஒப்புதலுக்காக காத்திருங்கள்")</f>
        <v>ஒப்புதலுக்காக காத்திருங்கள்</v>
      </c>
      <c r="D168" s="6" t="str">
        <f>IFERROR(__xludf.DUMMYFUNCTION("GOOGLETRANSLATE(B168, ""en"", ""hi"")"),"अनुमोदन के लिए प्रतीक्षा करें")</f>
        <v>अनुमोदन के लिए प्रतीक्षा करें</v>
      </c>
      <c r="E168" s="6" t="str">
        <f>IFERROR(__xludf.DUMMYFUNCTION("GOOGLETRANSLATE(B168, ""en"", ""kn"")"),"ಅನುಮೋದನೆಗಾಗಿ ಕಾಯಿರಿ")</f>
        <v>ಅನುಮೋದನೆಗಾಗಿ ಕಾಯಿರಿ</v>
      </c>
      <c r="F168" s="7" t="str">
        <f>IFERROR(__xludf.DUMMYFUNCTION("GOOGLETRANSLATE(B168, ""en"", ""ml"")"),"അംഗീകാരത്തിനായി കാത്തിരിക്കുക")</f>
        <v>അംഗീകാരത്തിനായി കാത്തിരിക്കുക</v>
      </c>
      <c r="G168" s="7" t="str">
        <f>IFERROR(__xludf.DUMMYFUNCTION("GOOGLETRANSLATE(B168, ""en"", ""te"")"),"ఆమోదం కోసం వేచి ఉండండి")</f>
        <v>ఆమోదం కోసం వేచి ఉండండి</v>
      </c>
    </row>
    <row r="169">
      <c r="A169" s="4" t="s">
        <v>271</v>
      </c>
      <c r="B169" s="5" t="s">
        <v>272</v>
      </c>
      <c r="C169" s="6" t="str">
        <f>IFERROR(__xludf.DUMMYFUNCTION("GOOGLETRANSLATE(B169, ""en"", ""ta"")"),"உங்கள் கணக்கு தடுக்கப்பட்டுள்ளது.")</f>
        <v>உங்கள் கணக்கு தடுக்கப்பட்டுள்ளது.</v>
      </c>
      <c r="D169" s="6" t="str">
        <f>IFERROR(__xludf.DUMMYFUNCTION("GOOGLETRANSLATE(B169, ""en"", ""hi"")"),"आपका खाता
ब्लॉक कर दिया गया है")</f>
        <v>आपका खाता
ब्लॉक कर दिया गया है</v>
      </c>
      <c r="E169" s="6" t="str">
        <f>IFERROR(__xludf.DUMMYFUNCTION("GOOGLETRANSLATE(B169, ""en"", ""kn"")"),"ನಿಮ್ಮ ಖಾತೆಯನ್ನು ನಿರ್ಬಂಧಿಸಲಾಗಿದೆ.")</f>
        <v>ನಿಮ್ಮ ಖಾತೆಯನ್ನು ನಿರ್ಬಂಧಿಸಲಾಗಿದೆ.</v>
      </c>
      <c r="F169" s="7" t="str">
        <f>IFERROR(__xludf.DUMMYFUNCTION("GOOGLETRANSLATE(B169, ""en"", ""ml"")"),"നിങ്ങളുടെ അക്കൗണ്ട് ബ്ലോക്ക് ചെയ്‌തിരിക്കുന്നു")</f>
        <v>നിങ്ങളുടെ അക്കൗണ്ട് ബ്ലോക്ക് ചെയ്‌തിരിക്കുന്നു</v>
      </c>
      <c r="G169" s="7" t="str">
        <f>IFERROR(__xludf.DUMMYFUNCTION("GOOGLETRANSLATE(B169, ""en"", ""te"")"),"మీ ఖాతా బ్లాక్ చేయబడింది")</f>
        <v>మీ ఖాతా బ్లాక్ చేయబడింది</v>
      </c>
    </row>
    <row r="170">
      <c r="A170" s="4" t="s">
        <v>332</v>
      </c>
      <c r="B170" s="5" t="s">
        <v>333</v>
      </c>
      <c r="C170" s="6" t="str">
        <f>IFERROR(__xludf.DUMMYFUNCTION("GOOGLETRANSLATE(B170, ""en"", ""ta"")"),"விடுவிப்பு கோரிக்கை ஏற்கனவே அனுப்பப்பட்டது")</f>
        <v>விடுவிப்பு கோரிக்கை ஏற்கனவே அனுப்பப்பட்டது</v>
      </c>
      <c r="D170" s="6" t="str">
        <f>IFERROR(__xludf.DUMMYFUNCTION("GOOGLETRANSLATE(B170, ""en"", ""hi"")"),"अनब्लॉक करने का अनुरोध पहले ही भेजा जा चुका है")</f>
        <v>अनब्लॉक करने का अनुरोध पहले ही भेजा जा चुका है</v>
      </c>
      <c r="E170" s="6" t="str">
        <f>IFERROR(__xludf.DUMMYFUNCTION("GOOGLETRANSLATE(B170, ""en"", ""kn"")"),"ನಿರ್ಬಂಧ ತೆಗೆಯುವ ವಿನಂತಿಯನ್ನು ಈಗಾಗಲೇ ಕಳುಹಿಸಲಾಗಿದೆ")</f>
        <v>ನಿರ್ಬಂಧ ತೆಗೆಯುವ ವಿನಂತಿಯನ್ನು ಈಗಾಗಲೇ ಕಳುಹಿಸಲಾಗಿದೆ</v>
      </c>
      <c r="F170" s="7" t="str">
        <f>IFERROR(__xludf.DUMMYFUNCTION("GOOGLETRANSLATE(B170, ""en"", ""ml"")"),"അൺബ്ലോക്ക് അഭ്യർത്ഥന ഇതിനകം അയച്ചു")</f>
        <v>അൺബ്ലോക്ക് അഭ്യർത്ഥന ഇതിനകം അയച്ചു</v>
      </c>
      <c r="G170" s="7" t="str">
        <f>IFERROR(__xludf.DUMMYFUNCTION("GOOGLETRANSLATE(B170, ""en"", ""te"")"),"అన్‌బ్లాక్ అభ్యర్థన ఇప్పటికే పంపబడింది")</f>
        <v>అన్‌బ్లాక్ అభ్యర్థన ఇప్పటికే పంపబడింది</v>
      </c>
    </row>
    <row r="171">
      <c r="A171" s="4" t="s">
        <v>285</v>
      </c>
      <c r="B171" s="5" t="s">
        <v>334</v>
      </c>
      <c r="C171" s="6" t="str">
        <f>IFERROR(__xludf.DUMMYFUNCTION("GOOGLETRANSLATE(B171,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71" s="6" t="str">
        <f>IFERROR(__xludf.DUMMYFUNCTION("GOOGLETRANSLATE(B171,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71" s="6" t="str">
        <f>IFERROR(__xludf.DUMMYFUNCTION("GOOGLETRANSLATE(B171,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71" s="7" t="str">
        <f>IFERROR(__xludf.DUMMYFUNCTION("GOOGLETRANSLATE(B171,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71" s="7" t="str">
        <f>IFERROR(__xludf.DUMMYFUNCTION("GOOGLETRANSLATE(B171,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72">
      <c r="A172" s="4" t="s">
        <v>335</v>
      </c>
      <c r="B172" s="5" t="s">
        <v>336</v>
      </c>
      <c r="C172" s="6" t="str">
        <f>IFERROR(__xludf.DUMMYFUNCTION("GOOGLETRANSLATE(B172, ""en"", ""ta"")"),"ஆம், ஆன்லைனில் செல்க")</f>
        <v>ஆம், ஆன்லைனில் செல்க</v>
      </c>
      <c r="D172" s="6" t="str">
        <f>IFERROR(__xludf.DUMMYFUNCTION("GOOGLETRANSLATE(B172, ""en"", ""hi"")"),"हाँ, ऑनलाइन जाएं")</f>
        <v>हाँ, ऑनलाइन जाएं</v>
      </c>
      <c r="E172" s="6" t="str">
        <f>IFERROR(__xludf.DUMMYFUNCTION("GOOGLETRANSLATE(B172, ""en"", ""kn"")"),"ಹೌದು, ಆನ್‌ಲೈನ್‌ಗೆ ಹೋಗಿ")</f>
        <v>ಹೌದು, ಆನ್‌ಲೈನ್‌ಗೆ ಹೋಗಿ</v>
      </c>
      <c r="F172" s="7" t="str">
        <f>IFERROR(__xludf.DUMMYFUNCTION("GOOGLETRANSLATE(B172, ""en"", ""ml"")"),"അതെ, ഓൺലൈനാകൂ")</f>
        <v>അതെ, ഓൺലൈനാകൂ</v>
      </c>
      <c r="G172" s="7" t="str">
        <f>IFERROR(__xludf.DUMMYFUNCTION("GOOGLETRANSLATE(B172, ""en"", ""te"")"),"అవును, ఆన్‌లైన్‌లోకి వెళ్లు")</f>
        <v>అవును, ఆన్‌లైన్‌లోకి వెళ్లు</v>
      </c>
    </row>
    <row r="173">
      <c r="A173" s="4" t="s">
        <v>337</v>
      </c>
      <c r="B173" s="5" t="s">
        <v>338</v>
      </c>
      <c r="C173" s="6" t="str">
        <f>IFERROR(__xludf.DUMMYFUNCTION("GOOGLETRANSLATE(B173, ""en"", ""ta"")"),"நீங்கள் நிச்சயமாக ஆன்லைனில் செல்ல விரும்புகிறீர்களா மற்றும் பயணங்களை மேற்கொள்ளத் தயாரா?")</f>
        <v>நீங்கள் நிச்சயமாக ஆன்லைனில் செல்ல விரும்புகிறீர்களா மற்றும் பயணங்களை மேற்கொள்ளத் தயாரா?</v>
      </c>
      <c r="D173" s="6" t="str">
        <f>IFERROR(__xludf.DUMMYFUNCTION("GOOGLETRANSLATE(B173, ""en"", ""hi"")"),"क्या आप वाकई ऑनलाइन जाना चाहते हैं और यात्राएं करने के लिए तैयार हैं?")</f>
        <v>क्या आप वाकई ऑनलाइन जाना चाहते हैं और यात्राएं करने के लिए तैयार हैं?</v>
      </c>
      <c r="E173" s="6" t="str">
        <f>IFERROR(__xludf.DUMMYFUNCTION("GOOGLETRANSLATE(B173, ""en"", ""kn"")"),"ನೀವು ಆನ್‌ಲೈನ್‌ಗೆ ಹೋಗಲು ಖಚಿತವಾಗಿ ಬಯಸುವಿರಾ ಮತ್ತು ಪ್ರವಾಸಗಳಿಗೆ ಸಿದ್ಧರಿದ್ದೀರಾ?")</f>
        <v>ನೀವು ಆನ್‌ಲೈನ್‌ಗೆ ಹೋಗಲು ಖಚಿತವಾಗಿ ಬಯಸುವಿರಾ ಮತ್ತು ಪ್ರವಾಸಗಳಿಗೆ ಸಿದ್ಧರಿದ್ದೀರಾ?</v>
      </c>
      <c r="F173" s="7" t="str">
        <f>IFERROR(__xludf.DUMMYFUNCTION("GOOGLETRANSLATE(B173, ""en"", ""ml"")"),"നിങ്ങൾക്ക് ഓൺലൈനിൽ പോകാൻ താൽപ്പര്യമുണ്ടോ, യാത്രകൾക്ക് തയ്യാറാണോ?")</f>
        <v>നിങ്ങൾക്ക് ഓൺലൈനിൽ പോകാൻ താൽപ്പര്യമുണ്ടോ, യാത്രകൾക്ക് തയ്യാറാണോ?</v>
      </c>
      <c r="G173" s="7" t="str">
        <f>IFERROR(__xludf.DUMMYFUNCTION("GOOGLETRANSLATE(B173, ""en"", ""te"")"),"మీరు ఖచ్చితంగా ఆన్‌లైన్‌లోకి వెళ్లాలనుకుంటున్నారా మరియు ప్రయాణాలకు సిద్ధంగా ఉన్నారా?")</f>
        <v>మీరు ఖచ్చితంగా ఆన్‌లైన్‌లోకి వెళ్లాలనుకుంటున్నారా మరియు ప్రయాణాలకు సిద్ధంగా ఉన్నారా?</v>
      </c>
    </row>
    <row r="174">
      <c r="A174" s="4" t="s">
        <v>339</v>
      </c>
      <c r="B174" s="5" t="s">
        <v>340</v>
      </c>
      <c r="C174" s="6" t="str">
        <f>IFERROR(__xludf.DUMMYFUNCTION("GOOGLETRANSLATE(B174, ""en"", ""ta"")"),"ஆம், ஆஃப்லைனுக்குச் செல்")</f>
        <v>ஆம், ஆஃப்லைனுக்குச் செல்</v>
      </c>
      <c r="D174" s="6" t="str">
        <f>IFERROR(__xludf.DUMMYFUNCTION("GOOGLETRANSLATE(B174, ""en"", ""hi"")"),"हां, ऑफ़लाइन हो जाओ")</f>
        <v>हां, ऑफ़लाइन हो जाओ</v>
      </c>
      <c r="E174" s="6" t="str">
        <f>IFERROR(__xludf.DUMMYFUNCTION("GOOGLETRANSLATE(B174, ""en"", ""kn"")"),"ಹೌದು, ಆಫ್‌ಲೈನ್‌ಗೆ ಹೋಗಿ")</f>
        <v>ಹೌದು, ಆಫ್‌ಲೈನ್‌ಗೆ ಹೋಗಿ</v>
      </c>
      <c r="F174" s="7" t="str">
        <f>IFERROR(__xludf.DUMMYFUNCTION("GOOGLETRANSLATE(B174, ""en"", ""ml"")"),"അതെ, ഓഫ്‌ലൈനാകൂ")</f>
        <v>അതെ, ഓഫ്‌ലൈനാകൂ</v>
      </c>
      <c r="G174" s="7" t="str">
        <f>IFERROR(__xludf.DUMMYFUNCTION("GOOGLETRANSLATE(B174, ""en"", ""te"")"),"అవును, ఆఫ్‌లైన్‌కి వెళ్లు")</f>
        <v>అవును, ఆఫ్‌లైన్‌కి వెళ్లు</v>
      </c>
    </row>
    <row r="175">
      <c r="A175" s="4" t="s">
        <v>341</v>
      </c>
      <c r="B175" s="5" t="s">
        <v>342</v>
      </c>
      <c r="C175" s="6" t="str">
        <f>IFERROR(__xludf.DUMMYFUNCTION("GOOGLETRANSLATE(B175, ""en"", ""ta"")"),"இல்லை, ஆன்லைனில் இரு.")</f>
        <v>இல்லை, ஆன்லைனில் இரு.</v>
      </c>
      <c r="D175" s="6" t="str">
        <f>IFERROR(__xludf.DUMMYFUNCTION("GOOGLETRANSLATE(B175, ""en"", ""hi"")"),"नहीं, ऑनलाइन रहें")</f>
        <v>नहीं, ऑनलाइन रहें</v>
      </c>
      <c r="E175" s="6" t="str">
        <f>IFERROR(__xludf.DUMMYFUNCTION("GOOGLETRANSLATE(B175, ""en"", ""kn"")"),"ಇಲ್ಲ, ಆನ್‌ಲೈನ್‌ನಲ್ಲಿರಿ")</f>
        <v>ಇಲ್ಲ, ಆನ್‌ಲೈನ್‌ನಲ್ಲಿರಿ</v>
      </c>
      <c r="F175" s="7" t="str">
        <f>IFERROR(__xludf.DUMMYFUNCTION("GOOGLETRANSLATE(B175, ""en"", ""ml"")"),"വേണ്ട, ഓൺലൈനാകൂ")</f>
        <v>വേണ്ട, ഓൺലൈനാകൂ</v>
      </c>
      <c r="G175" s="7" t="str">
        <f>IFERROR(__xludf.DUMMYFUNCTION("GOOGLETRANSLATE(B175, ""en"", ""te"")"),"వద్దు, ఆన్‌లైన్‌లో ఉండు")</f>
        <v>వద్దు, ఆన్‌లైన్‌లో ఉండు</v>
      </c>
    </row>
    <row r="176">
      <c r="A176" s="4" t="s">
        <v>343</v>
      </c>
      <c r="B176" s="5" t="s">
        <v>344</v>
      </c>
      <c r="C176" s="6" t="str">
        <f>IFERROR(__xludf.DUMMYFUNCTION("GOOGLETRANSLATE(B176, ""en"", ""ta"")"),"நீங்கள் நிச்சயமாக ஆஃப்லைனுக்குச் செல்ல விரும்புகிறீர்களா?")</f>
        <v>நீங்கள் நிச்சயமாக ஆஃப்லைனுக்குச் செல்ல விரும்புகிறீர்களா?</v>
      </c>
      <c r="D176" s="6" t="str">
        <f>IFERROR(__xludf.DUMMYFUNCTION("GOOGLETRANSLATE(B176, ""en"", ""hi"")"),"क्या आप वाकई ऑफलाइन जाना चाहते हैं?")</f>
        <v>क्या आप वाकई ऑफलाइन जाना चाहते हैं?</v>
      </c>
      <c r="E176" s="6" t="str">
        <f>IFERROR(__xludf.DUMMYFUNCTION("GOOGLETRANSLATE(B176, ""en"", ""kn"")"),"ನೀವು ಆಫ್‌ಲೈನ್‌ಗೆ ಹೋಗಲು ಖಚಿತವಾಗಿ ಬಯಸುವಿರಾ?")</f>
        <v>ನೀವು ಆಫ್‌ಲೈನ್‌ಗೆ ಹೋಗಲು ಖಚಿತವಾಗಿ ಬಯಸುವಿರಾ?</v>
      </c>
      <c r="F176" s="7" t="str">
        <f>IFERROR(__xludf.DUMMYFUNCTION("GOOGLETRANSLATE(B176, ""en"", ""ml"")"),"ഓഫ്‌ലൈനിലേക്ക് പോകാൻ നിങ്ങൾ തീർച്ചയായും ആഗ്രഹിക്കുന്നുണ്ടോ?")</f>
        <v>ഓഫ്‌ലൈനിലേക്ക് പോകാൻ നിങ്ങൾ തീർച്ചയായും ആഗ്രഹിക്കുന്നുണ്ടോ?</v>
      </c>
      <c r="G176" s="7" t="str">
        <f>IFERROR(__xludf.DUMMYFUNCTION("GOOGLETRANSLATE(B176, ""en"", ""te"")"),"మీరు ఖచ్చితంగా ఆఫ్‌లైన్‌కి వెళ్లాలనుకుంటున్నారా?")</f>
        <v>మీరు ఖచ్చితంగా ఆఫ్‌లైన్‌కి వెళ్లాలనుకుంటున్నారా?</v>
      </c>
    </row>
    <row r="177">
      <c r="A177" s="4" t="s">
        <v>345</v>
      </c>
      <c r="B177" s="5" t="s">
        <v>346</v>
      </c>
      <c r="C177" s="6" t="str">
        <f>IFERROR(__xludf.DUMMYFUNCTION("GOOGLETRANSLATE(B177, ""en"", ""ta"")"),"நீங்கள் ஆன்லைனில் இருக்கிறீர்கள்")</f>
        <v>நீங்கள் ஆன்லைனில் இருக்கிறீர்கள்</v>
      </c>
      <c r="D177" s="6" t="str">
        <f>IFERROR(__xludf.DUMMYFUNCTION("GOOGLETRANSLATE(B177, ""en"", ""hi"")"),"आप ऑनलाइन हैं")</f>
        <v>आप ऑनलाइन हैं</v>
      </c>
      <c r="E177" s="6" t="str">
        <f>IFERROR(__xludf.DUMMYFUNCTION("GOOGLETRANSLATE(B177, ""en"", ""kn"")"),"ನೀವು ಆನ್‌ಲೈನ್‌ನಲ್ಲಿದ್ದೀರಿ.")</f>
        <v>ನೀವು ಆನ್‌ಲೈನ್‌ನಲ್ಲಿದ್ದೀರಿ.</v>
      </c>
      <c r="F177" s="7" t="str">
        <f>IFERROR(__xludf.DUMMYFUNCTION("GOOGLETRANSLATE(B177, ""en"", ""ml"")"),"നിങ്ങൾ ഓൺലൈനിലാണ്")</f>
        <v>നിങ്ങൾ ഓൺലൈനിലാണ്</v>
      </c>
      <c r="G177" s="7" t="str">
        <f>IFERROR(__xludf.DUMMYFUNCTION("GOOGLETRANSLATE(B177, ""en"", ""te"")"),"మీరు ఆన్‌లైన్‌లో ఉన్నారు")</f>
        <v>మీరు ఆన్‌లైన్‌లో ఉన్నారు</v>
      </c>
    </row>
    <row r="178">
      <c r="A178" s="4" t="s">
        <v>347</v>
      </c>
      <c r="B178" s="5" t="s">
        <v>348</v>
      </c>
      <c r="C178" s="6" t="str">
        <f>IFERROR(__xludf.DUMMYFUNCTION("GOOGLETRANSLATE(B178, ""en"", ""ta"")"),"பயணங்களுக்குத் தயாராக இருக்கும்போது ஆன்லைனில் செல்லவும்.")</f>
        <v>பயணங்களுக்குத் தயாராக இருக்கும்போது ஆன்லைனில் செல்லவும்.</v>
      </c>
      <c r="D178" s="6" t="str">
        <f>IFERROR(__xludf.DUMMYFUNCTION("GOOGLETRANSLATE(B178, ""en"", ""hi"")"),"जब आप यात्रा करने के लिए तैयार हों, तो कृपया ऑनलाइन जाएं।")</f>
        <v>जब आप यात्रा करने के लिए तैयार हों, तो कृपया ऑनलाइन जाएं।</v>
      </c>
      <c r="E178" s="6" t="str">
        <f>IFERROR(__xludf.DUMMYFUNCTION("GOOGLETRANSLATE(B178, ""en"", ""kn"")"),"ನೀವು ಪ್ರವಾಸಗಳಿಗೆ ಸಿದ್ಧರಾದಾಗ ದಯವಿಟ್ಟು ಆನ್‌ಲೈನ್‌ಗೆ ಹೋಗಿ.")</f>
        <v>ನೀವು ಪ್ರವಾಸಗಳಿಗೆ ಸಿದ್ಧರಾದಾಗ ದಯವಿಟ್ಟು ಆನ್‌ಲೈನ್‌ಗೆ ಹೋಗಿ.</v>
      </c>
      <c r="F178" s="7" t="str">
        <f>IFERROR(__xludf.DUMMYFUNCTION("GOOGLETRANSLATE(B178, ""en"", ""ml"")"),"യാത്രകൾക്ക് തയ്യാറാകുമ്പോൾ ഓൺലൈനാകുക.")</f>
        <v>യാത്രകൾക്ക് തയ്യാറാകുമ്പോൾ ഓൺലൈനാകുക.</v>
      </c>
      <c r="G178" s="7" t="str">
        <f>IFERROR(__xludf.DUMMYFUNCTION("GOOGLETRANSLATE(B178, ""en"", ""te"")"),"మీరు ప్రయాణాలకు సిద్ధంగా ఉన్నప్పుడు దయచేసి ఆన్‌లైన్‌లోకి వెళ్లండి.")</f>
        <v>మీరు ప్రయాణాలకు సిద్ధంగా ఉన్నప్పుడు దయచేసి ఆన్‌లైన్‌లోకి వెళ్లండి.</v>
      </c>
    </row>
    <row r="179">
      <c r="A179" s="4" t="s">
        <v>349</v>
      </c>
      <c r="B179" s="5" t="s">
        <v>350</v>
      </c>
      <c r="C179" s="6" t="str">
        <f>IFERROR(__xludf.DUMMYFUNCTION("GOOGLETRANSLATE(B179, ""en"", ""ta"")"),"நீங்கள் தற்போது ஆஃப்லைனில் இருக்கிறீர்கள்.")</f>
        <v>நீங்கள் தற்போது ஆஃப்லைனில் இருக்கிறீர்கள்.</v>
      </c>
      <c r="D179" s="6" t="str">
        <f>IFERROR(__xludf.DUMMYFUNCTION("GOOGLETRANSLATE(B179, ""en"", ""hi"")"),"आप इस समय ऑफ़लाइन हैं")</f>
        <v>आप इस समय ऑफ़लाइन हैं</v>
      </c>
      <c r="E179" s="6" t="str">
        <f>IFERROR(__xludf.DUMMYFUNCTION("GOOGLETRANSLATE(B179, ""en"", ""kn"")"),"ನೀವು ಪ್ರಸ್ತುತ ಆಫ್‌ಲೈನ್‌ನಲ್ಲಿದ್ದೀರಿ.")</f>
        <v>ನೀವು ಪ್ರಸ್ತುತ ಆಫ್‌ಲೈನ್‌ನಲ್ಲಿದ್ದೀರಿ.</v>
      </c>
      <c r="F179" s="7" t="str">
        <f>IFERROR(__xludf.DUMMYFUNCTION("GOOGLETRANSLATE(B179, ""en"", ""ml"")"),"നിങ്ങൾ നിലവിൽ ഓഫ്‌ലൈനാണ്")</f>
        <v>നിങ്ങൾ നിലവിൽ ഓഫ്‌ലൈനാണ്</v>
      </c>
      <c r="G179" s="7" t="str">
        <f>IFERROR(__xludf.DUMMYFUNCTION("GOOGLETRANSLATE(B179, ""en"", ""te"")"),"మీరు ప్రస్తుతం ఆఫ్‌లైన్‌లో ఉన్నారు.")</f>
        <v>మీరు ప్రస్తుతం ఆఫ్‌లైన్‌లో ఉన్నారు.</v>
      </c>
    </row>
    <row r="180">
      <c r="A180" s="4" t="s">
        <v>351</v>
      </c>
      <c r="B180" s="5" t="s">
        <v>352</v>
      </c>
      <c r="C180" s="6" t="str">
        <f>IFERROR(__xludf.DUMMYFUNCTION("GOOGLETRANSLATE(B180, ""en"", ""ta"")"),"உங்கள் கணக்கு தடுக்கப்பட்டுள்ளது.")</f>
        <v>உங்கள் கணக்கு தடுக்கப்பட்டுள்ளது.</v>
      </c>
      <c r="D180" s="6" t="str">
        <f>IFERROR(__xludf.DUMMYFUNCTION("GOOGLETRANSLATE(B180, ""en"", ""hi"")"),"आपका खाता अवरुद्ध कर दिया गया है।")</f>
        <v>आपका खाता अवरुद्ध कर दिया गया है।</v>
      </c>
      <c r="E180" s="6" t="str">
        <f>IFERROR(__xludf.DUMMYFUNCTION("GOOGLETRANSLATE(B180, ""en"", ""kn"")"),"ನಿಮ್ಮ ಖಾತೆಯನ್ನು ನಿರ್ಬಂಧಿಸಲಾಗಿದೆ.")</f>
        <v>ನಿಮ್ಮ ಖಾತೆಯನ್ನು ನಿರ್ಬಂಧಿಸಲಾಗಿದೆ.</v>
      </c>
      <c r="F180" s="7" t="str">
        <f>IFERROR(__xludf.DUMMYFUNCTION("GOOGLETRANSLATE(B180, ""en"", ""ml"")"),"നിങ്ങളുടെ അക്കൗണ്ട് ബ്ലോക്ക് ചെയ്‌തിരിക്കുന്നു.")</f>
        <v>നിങ്ങളുടെ അക്കൗണ്ട് ബ്ലോക്ക് ചെയ്‌തിരിക്കുന്നു.</v>
      </c>
      <c r="G180" s="7" t="str">
        <f>IFERROR(__xludf.DUMMYFUNCTION("GOOGLETRANSLATE(B180, ""en"", ""te"")"),"మీ ఖాతా బ్లాక్ చేయబడింది.")</f>
        <v>మీ ఖాతా బ్లాక్ చేయబడింది.</v>
      </c>
    </row>
    <row r="181">
      <c r="A181" s="4" t="s">
        <v>353</v>
      </c>
      <c r="B181" s="5" t="s">
        <v>354</v>
      </c>
      <c r="C181" s="6" t="str">
        <f>IFERROR(__xludf.DUMMYFUNCTION("GOOGLETRANSLATE(B181, ""en"", ""ta"")"),"பின்வரும் காரணங்களில் ஒன்று அல்லது அதற்கு மேற்பட்டவற்றால்:")</f>
        <v>பின்வரும் காரணங்களில் ஒன்று அல்லது அதற்கு மேற்பட்டவற்றால்:</v>
      </c>
      <c r="D181" s="6" t="str">
        <f>IFERROR(__xludf.DUMMYFUNCTION("GOOGLETRANSLATE(B181, ""en"", ""hi"")"),"निम्नलिखित में से एक या अधिक कारणों से:")</f>
        <v>निम्नलिखित में से एक या अधिक कारणों से:</v>
      </c>
      <c r="E181" s="6" t="str">
        <f>IFERROR(__xludf.DUMMYFUNCTION("GOOGLETRANSLATE(B181, ""en"", ""kn"")"),"ಈ ಕೆಳಗಿನ ಒಂದು ಅಥವಾ ಹೆಚ್ಚಿನ ಕಾರಣಗಳಿಂದಾಗಿ:")</f>
        <v>ಈ ಕೆಳಗಿನ ಒಂದು ಅಥವಾ ಹೆಚ್ಚಿನ ಕಾರಣಗಳಿಂದಾಗಿ:</v>
      </c>
      <c r="F181" s="7" t="str">
        <f>IFERROR(__xludf.DUMMYFUNCTION("GOOGLETRANSLATE(B181, ""en"", ""ml"")"),"താഴെ പറയുന്ന ഒന്നോ അതിലധികമോ കാരണങ്ങളാൽ:")</f>
        <v>താഴെ പറയുന്ന ഒന്നോ അതിലധികമോ കാരണങ്ങളാൽ:</v>
      </c>
      <c r="G181" s="7" t="str">
        <f>IFERROR(__xludf.DUMMYFUNCTION("GOOGLETRANSLATE(B181, ""en"", ""te"")"),"ఈ క్రింది కారణాలలో ఒకటి లేదా అంతకంటే ఎక్కువ కారణంగా:")</f>
        <v>ఈ క్రింది కారణాలలో ఒకటి లేదా అంతకంటే ఎక్కువ కారణంగా:</v>
      </c>
    </row>
    <row r="182">
      <c r="A182" s="4" t="s">
        <v>355</v>
      </c>
      <c r="B182" s="5" t="s">
        <v>356</v>
      </c>
      <c r="C182" s="6" t="str">
        <f>IFERROR(__xludf.DUMMYFUNCTION("GOOGLETRANSLATE(B182, ""en"", ""ta"")"),"நிலுவையில் உள்ள கட்டண நிலுவைகள்")</f>
        <v>நிலுவையில் உள்ள கட்டண நிலுவைகள்</v>
      </c>
      <c r="D182" s="6" t="str">
        <f>IFERROR(__xludf.DUMMYFUNCTION("GOOGLETRANSLATE(B182, ""en"", ""hi"")"),"बकाया भुगतान राशि")</f>
        <v>बकाया भुगतान राशि</v>
      </c>
      <c r="E182" s="6" t="str">
        <f>IFERROR(__xludf.DUMMYFUNCTION("GOOGLETRANSLATE(B182, ""en"", ""kn"")"),"ಬಾಕಿ ಪಾವತಿಗಳು")</f>
        <v>ಬಾಕಿ ಪಾವತಿಗಳು</v>
      </c>
      <c r="F182" s="7" t="str">
        <f>IFERROR(__xludf.DUMMYFUNCTION("GOOGLETRANSLATE(B182, ""en"", ""ml"")"),"തീർപ്പാക്കാത്ത പേയ്‌മെന്റ് കുടിശ്ശികകൾ")</f>
        <v>തീർപ്പാക്കാത്ത പേയ്‌മെന്റ് കുടിശ്ശികകൾ</v>
      </c>
      <c r="G182" s="7" t="str">
        <f>IFERROR(__xludf.DUMMYFUNCTION("GOOGLETRANSLATE(B182, ""en"", ""te"")"),"పెండింగ్ చెల్లింపు బకాయిలు")</f>
        <v>పెండింగ్ చెల్లింపు బకాయిలు</v>
      </c>
    </row>
    <row r="183">
      <c r="A183" s="4" t="s">
        <v>357</v>
      </c>
      <c r="B183" s="5" t="s">
        <v>358</v>
      </c>
      <c r="C183" s="6" t="str">
        <f>IFERROR(__xludf.DUMMYFUNCTION("GOOGLETRANSLATE(B183, ""en"", ""ta"")"),"நிராகரிக்கப்பட்ட பயணங்களின் எண்ணிக்கை அதிகம்")</f>
        <v>நிராகரிக்கப்பட்ட பயணங்களின் எண்ணிக்கை அதிகம்</v>
      </c>
      <c r="D183" s="6" t="str">
        <f>IFERROR(__xludf.DUMMYFUNCTION("GOOGLETRANSLATE(B183, ""en"", ""hi"")"),"अस्वीकृत यात्राओं की उच्च संख्या")</f>
        <v>अस्वीकृत यात्राओं की उच्च संख्या</v>
      </c>
      <c r="E183" s="6" t="str">
        <f>IFERROR(__xludf.DUMMYFUNCTION("GOOGLETRANSLATE(B183, ""en"", ""kn"")"),"ತಿರಸ್ಕರಿಸಿದ ಪ್ರವಾಸಗಳ ಸಂಖ್ಯೆ ಹೆಚ್ಚು.")</f>
        <v>ತಿರಸ್ಕರಿಸಿದ ಪ್ರವಾಸಗಳ ಸಂಖ್ಯೆ ಹೆಚ್ಚು.</v>
      </c>
      <c r="F183" s="7" t="str">
        <f>IFERROR(__xludf.DUMMYFUNCTION("GOOGLETRANSLATE(B183, ""en"", ""ml"")"),"നിരസിക്കപ്പെട്ട യാത്രകളുടെ എണ്ണം കൂടുതലാണ്")</f>
        <v>നിരസിക്കപ്പെട്ട യാത്രകളുടെ എണ്ണം കൂടുതലാണ്</v>
      </c>
      <c r="G183" s="7" t="str">
        <f>IFERROR(__xludf.DUMMYFUNCTION("GOOGLETRANSLATE(B183, ""en"", ""te"")"),"తిరస్కరించబడిన ట్రిప్పుల సంఖ్య ఎక్కువ")</f>
        <v>తిరస్కరించబడిన ట్రిప్పుల సంఖ్య ఎక్కువ</v>
      </c>
    </row>
    <row r="184">
      <c r="A184" s="4" t="s">
        <v>359</v>
      </c>
      <c r="B184" s="5" t="s">
        <v>360</v>
      </c>
      <c r="C184" s="6" t="str">
        <f>IFERROR(__xludf.DUMMYFUNCTION("GOOGLETRANSLATE(B184, ""en"", ""ta"")"),"குறைந்த ஓட்டுநர் மதிப்பீடுகள்")</f>
        <v>குறைந்த ஓட்டுநர் மதிப்பீடுகள்</v>
      </c>
      <c r="D184" s="6" t="str">
        <f>IFERROR(__xludf.DUMMYFUNCTION("GOOGLETRANSLATE(B184, ""en"", ""hi"")"),"कम ड्राइवर रेटिंग")</f>
        <v>कम ड्राइवर रेटिंग</v>
      </c>
      <c r="E184" s="6" t="str">
        <f>IFERROR(__xludf.DUMMYFUNCTION("GOOGLETRANSLATE(B184, ""en"", ""kn"")"),"ಕಡಿಮೆ ಚಾಲಕ ರೇಟಿಂಗ್‌ಗಳು")</f>
        <v>ಕಡಿಮೆ ಚಾಲಕ ರೇಟಿಂಗ್‌ಗಳು</v>
      </c>
      <c r="F184" s="7" t="str">
        <f>IFERROR(__xludf.DUMMYFUNCTION("GOOGLETRANSLATE(B184, ""en"", ""ml"")"),"കുറഞ്ഞ ഡ്രൈവർ റേറ്റിംഗുകൾ")</f>
        <v>കുറഞ്ഞ ഡ്രൈവർ റേറ്റിംഗുകൾ</v>
      </c>
      <c r="G184" s="7" t="str">
        <f>IFERROR(__xludf.DUMMYFUNCTION("GOOGLETRANSLATE(B184, ""en"", ""te"")"),"తక్కువ డ్రైవర్ రేటింగ్‌లు")</f>
        <v>తక్కువ డ్రైవర్ రేటింగ్‌లు</v>
      </c>
    </row>
    <row r="185">
      <c r="A185" s="4" t="s">
        <v>361</v>
      </c>
      <c r="B185" s="5" t="s">
        <v>362</v>
      </c>
      <c r="C185" s="6" t="str">
        <f>IFERROR(__xludf.DUMMYFUNCTION("GOOGLETRANSLATE(B185, ""en"", ""ta"")"),"மேலும் தகவலுக்கு ஆதரவைத் தொடர்பு கொள்ளவும்.")</f>
        <v>மேலும் தகவலுக்கு ஆதரவைத் தொடர்பு கொள்ளவும்.</v>
      </c>
      <c r="D185" s="6" t="str">
        <f>IFERROR(__xludf.DUMMYFUNCTION("GOOGLETRANSLATE(B185, ""en"", ""hi"")"),"अधिक जानकारी के लिए कृपया सहायता टीम से संपर्क करें।")</f>
        <v>अधिक जानकारी के लिए कृपया सहायता टीम से संपर्क करें।</v>
      </c>
      <c r="E185" s="6" t="str">
        <f>IFERROR(__xludf.DUMMYFUNCTION("GOOGLETRANSLATE(B185, ""en"", ""kn"")"),"ಹೆಚ್ಚಿನ ಮಾಹಿತಿಗಾಗಿ ಬೆಂಬಲವನ್ನು ಸಂಪರ್ಕಿಸಿ.")</f>
        <v>ಹೆಚ್ಚಿನ ಮಾಹಿತಿಗಾಗಿ ಬೆಂಬಲವನ್ನು ಸಂಪರ್ಕಿಸಿ.</v>
      </c>
      <c r="F185" s="7" t="str">
        <f>IFERROR(__xludf.DUMMYFUNCTION("GOOGLETRANSLATE(B185, ""en"", ""ml"")"),"കൂടുതൽ വിവരങ്ങൾക്ക് പിന്തുണയുമായി ബന്ധപ്പെടുക.")</f>
        <v>കൂടുതൽ വിവരങ്ങൾക്ക് പിന്തുണയുമായി ബന്ധപ്പെടുക.</v>
      </c>
      <c r="G185" s="7" t="str">
        <f>IFERROR(__xludf.DUMMYFUNCTION("GOOGLETRANSLATE(B185, ""en"", ""te"")"),"మరిన్ని వివరాల కోసం దయచేసి మద్దతును సంప్రదించండి.")</f>
        <v>మరిన్ని వివరాల కోసం దయచేసి మద్దతును సంప్రదించండి.</v>
      </c>
    </row>
    <row r="186">
      <c r="A186" s="4" t="s">
        <v>363</v>
      </c>
      <c r="B186" s="5" t="s">
        <v>364</v>
      </c>
      <c r="C186" s="6" t="str">
        <f>IFERROR(__xludf.DUMMYFUNCTION("GOOGLETRANSLATE(B186, ""en"", ""ta"")"),"உங்கள் கணக்கு மதிப்பாய்வில் உள்ளது.")</f>
        <v>உங்கள் கணக்கு மதிப்பாய்வில் உள்ளது.</v>
      </c>
      <c r="D186" s="6" t="str">
        <f>IFERROR(__xludf.DUMMYFUNCTION("GOOGLETRANSLATE(B186, ""en"", ""hi"")"),"आपके खाते की समीक्षा की जा रही है")</f>
        <v>आपके खाते की समीक्षा की जा रही है</v>
      </c>
      <c r="E186" s="6" t="str">
        <f>IFERROR(__xludf.DUMMYFUNCTION("GOOGLETRANSLATE(B186, ""en"", ""kn"")"),"ನಿಮ್ಮ ಖಾತೆ ಪರಿಶೀಲನೆಯಲ್ಲಿದೆ.")</f>
        <v>ನಿಮ್ಮ ಖಾತೆ ಪರಿಶೀಲನೆಯಲ್ಲಿದೆ.</v>
      </c>
      <c r="F186" s="7" t="str">
        <f>IFERROR(__xludf.DUMMYFUNCTION("GOOGLETRANSLATE(B186, ""en"", ""ml"")"),"നിങ്ങളുടെ അക്കൗണ്ട് അവലോകനത്തിലാണ്.")</f>
        <v>നിങ്ങളുടെ അക്കൗണ്ട് അവലോകനത്തിലാണ്.</v>
      </c>
      <c r="G186" s="7" t="str">
        <f>IFERROR(__xludf.DUMMYFUNCTION("GOOGLETRANSLATE(B186, ""en"", ""te"")"),"మీ ఖాతా సమీక్షలో ఉంది.")</f>
        <v>మీ ఖాతా సమీక్షలో ఉంది.</v>
      </c>
    </row>
    <row r="187">
      <c r="A187" s="4" t="s">
        <v>365</v>
      </c>
      <c r="B187" s="5" t="s">
        <v>366</v>
      </c>
      <c r="C187" s="6" t="str">
        <f>IFERROR(__xludf.DUMMYFUNCTION("GOOGLETRANSLATE(B187, ""en"", ""ta"")"),"உங்கள் கணக்கை நாங்கள் சரிபார்க்கும் வரை காத்திருங்கள்.")</f>
        <v>உங்கள் கணக்கை நாங்கள் சரிபார்க்கும் வரை காத்திருங்கள்.</v>
      </c>
      <c r="D187" s="6" t="str">
        <f>IFERROR(__xludf.DUMMYFUNCTION("GOOGLETRANSLATE(B187, ""en"", ""hi"")"),"कृपया प्रतीक्षा करें जब तक हम आपके खाते की पुष्टि नहीं कर लेते।")</f>
        <v>कृपया प्रतीक्षा करें जब तक हम आपके खाते की पुष्टि नहीं कर लेते।</v>
      </c>
      <c r="E187" s="6" t="str">
        <f>IFERROR(__xludf.DUMMYFUNCTION("GOOGLETRANSLATE(B187, ""en"", ""kn"")"),"ನಿಮ್ಮ ಖಾತೆಯನ್ನು ನಾವು ಪರಿಶೀಲಿಸುವವರೆಗೆ ದಯವಿಟ್ಟು ಕಾಯಿರಿ.")</f>
        <v>ನಿಮ್ಮ ಖಾತೆಯನ್ನು ನಾವು ಪರಿಶೀಲಿಸುವವರೆಗೆ ದಯವಿಟ್ಟು ಕಾಯಿರಿ.</v>
      </c>
      <c r="F187" s="7" t="str">
        <f>IFERROR(__xludf.DUMMYFUNCTION("GOOGLETRANSLATE(B187, ""en"", ""ml"")"),"നിങ്ങളുടെ അക്കൗണ്ട് ഞങ്ങൾ പരിശോധിക്കുന്നതുവരെ കാത്തിരിക്കുക.")</f>
        <v>നിങ്ങളുടെ അക്കൗണ്ട് ഞങ്ങൾ പരിശോധിക്കുന്നതുവരെ കാത്തിരിക്കുക.</v>
      </c>
      <c r="G187" s="7" t="str">
        <f>IFERROR(__xludf.DUMMYFUNCTION("GOOGLETRANSLATE(B187, ""en"", ""te"")"),"మేము మీ ఖాతాను ధృవీకరించే వరకు దయచేసి వేచి ఉండండి.")</f>
        <v>మేము మీ ఖాతాను ధృవీకరించే వరకు దయచేసి వేచి ఉండండి.</v>
      </c>
    </row>
    <row r="188">
      <c r="A188" s="4" t="s">
        <v>367</v>
      </c>
      <c r="B188" s="5" t="s">
        <v>368</v>
      </c>
      <c r="C188" s="6" t="str">
        <f>IFERROR(__xludf.DUMMYFUNCTION("GOOGLETRANSLATE(B188, ""en"", ""ta"")"),"ஆவணச் சரிபார்ப்பு நடந்து கொண்டிருக்கிறது.")</f>
        <v>ஆவணச் சரிபார்ப்பு நடந்து கொண்டிருக்கிறது.</v>
      </c>
      <c r="D188" s="6" t="str">
        <f>IFERROR(__xludf.DUMMYFUNCTION("GOOGLETRANSLATE(B188, ""en"", ""hi"")"),"दस्तावेज़ सत्यापन जारी है")</f>
        <v>दस्तावेज़ सत्यापन जारी है</v>
      </c>
      <c r="E188" s="6" t="str">
        <f>IFERROR(__xludf.DUMMYFUNCTION("GOOGLETRANSLATE(B188, ""en"", ""kn"")"),"ದಾಖಲೆ ಪರಿಶೀಲನೆ ಪ್ರಗತಿಯಲ್ಲಿದೆ")</f>
        <v>ದಾಖಲೆ ಪರಿಶೀಲನೆ ಪ್ರಗತಿಯಲ್ಲಿದೆ</v>
      </c>
      <c r="F188" s="7" t="str">
        <f>IFERROR(__xludf.DUMMYFUNCTION("GOOGLETRANSLATE(B188, ""en"", ""ml"")"),"ഡോക്യുമെന്റ് പരിശോധന പുരോഗമിക്കുന്നു")</f>
        <v>ഡോക്യുമെന്റ് പരിശോധന പുരോഗമിക്കുന്നു</v>
      </c>
      <c r="G188" s="7" t="str">
        <f>IFERROR(__xludf.DUMMYFUNCTION("GOOGLETRANSLATE(B188, ""en"", ""te"")"),"డాక్యుమెంట్ వెరిఫికేషన్ ప్రోగ్రెస్‌లో ఉంది")</f>
        <v>డాక్యుమెంట్ వెరిఫికేషన్ ప్రోగ్రెస్‌లో ఉంది</v>
      </c>
    </row>
    <row r="189">
      <c r="A189" s="4" t="s">
        <v>369</v>
      </c>
      <c r="B189" s="5" t="s">
        <v>370</v>
      </c>
      <c r="C189" s="6" t="str">
        <f>IFERROR(__xludf.DUMMYFUNCTION("GOOGLETRANSLATE(B189, ""en"", ""ta"")"),"பின்னணி சரிபார்ப்பு நிலுவையில் உள்ளது")</f>
        <v>பின்னணி சரிபார்ப்பு நிலுவையில் உள்ளது</v>
      </c>
      <c r="D189" s="6" t="str">
        <f>IFERROR(__xludf.DUMMYFUNCTION("GOOGLETRANSLATE(B189, ""en"", ""hi"")"),"पृष्ठभूमि जांच लंबित है")</f>
        <v>पृष्ठभूमि जांच लंबित है</v>
      </c>
      <c r="E189" s="6" t="str">
        <f>IFERROR(__xludf.DUMMYFUNCTION("GOOGLETRANSLATE(B189, ""en"", ""kn"")"),"ಹಿನ್ನೆಲೆ ಪರಿಶೀಲನೆ ಬಾಕಿ ಇದೆ")</f>
        <v>ಹಿನ್ನೆಲೆ ಪರಿಶೀಲನೆ ಬಾಕಿ ಇದೆ</v>
      </c>
      <c r="F189" s="7" t="str">
        <f>IFERROR(__xludf.DUMMYFUNCTION("GOOGLETRANSLATE(B189, ""en"", ""ml"")"),"പശ്ചാത്തല പരിശോധന പൂർത്തിയായിട്ടില്ല")</f>
        <v>പശ്ചാത്തല പരിശോധന പൂർത്തിയായിട്ടില്ല</v>
      </c>
      <c r="G189" s="7" t="str">
        <f>IFERROR(__xludf.DUMMYFUNCTION("GOOGLETRANSLATE(B189, ""en"", ""te"")"),"నేపథ్య తనిఖీ పెండింగ్‌లో ఉంది")</f>
        <v>నేపథ్య తనిఖీ పెండింగ్‌లో ఉంది</v>
      </c>
    </row>
    <row r="190">
      <c r="A190" s="4" t="s">
        <v>371</v>
      </c>
      <c r="B190" s="5" t="s">
        <v>372</v>
      </c>
      <c r="C190" s="6" t="str">
        <f>IFERROR(__xludf.DUMMYFUNCTION("GOOGLETRANSLATE(B190, ""en"", ""ta"")"),"வாகன ஆய்வு மதிப்பாய்வு")</f>
        <v>வாகன ஆய்வு மதிப்பாய்வு</v>
      </c>
      <c r="D190" s="6" t="str">
        <f>IFERROR(__xludf.DUMMYFUNCTION("GOOGLETRANSLATE(B190, ""en"", ""hi"")"),"वाहन निरीक्षण समीक्षा")</f>
        <v>वाहन निरीक्षण समीक्षा</v>
      </c>
      <c r="E190" s="6" t="str">
        <f>IFERROR(__xludf.DUMMYFUNCTION("GOOGLETRANSLATE(B190, ""en"", ""kn"")"),"ವಾಹನ ತಪಾಸಣೆ ವಿಮರ್ಶೆ")</f>
        <v>ವಾಹನ ತಪಾಸಣೆ ವಿಮರ್ಶೆ</v>
      </c>
      <c r="F190" s="7" t="str">
        <f>IFERROR(__xludf.DUMMYFUNCTION("GOOGLETRANSLATE(B190, ""en"", ""ml"")"),"വാഹന പരിശോധന അവലോകനം")</f>
        <v>വാഹന പരിശോധന അവലോകനം</v>
      </c>
      <c r="G190" s="7" t="str">
        <f>IFERROR(__xludf.DUMMYFUNCTION("GOOGLETRANSLATE(B190, ""en"", ""te"")"),"వాహన తనిఖీ సమీక్ష")</f>
        <v>వాహన తనిఖీ సమీక్ష</v>
      </c>
    </row>
    <row r="191">
      <c r="A191" s="4" t="s">
        <v>373</v>
      </c>
      <c r="B191" s="5" t="s">
        <v>374</v>
      </c>
      <c r="C191" s="6" t="str">
        <f>IFERROR(__xludf.DUMMYFUNCTION("GOOGLETRANSLATE(B191, ""en"", ""ta"")"),"வங்கி விவரங்கள் மதிப்பாய்வில் உள்ளன")</f>
        <v>வங்கி விவரங்கள் மதிப்பாய்வில் உள்ளன</v>
      </c>
      <c r="D191" s="6" t="str">
        <f>IFERROR(__xludf.DUMMYFUNCTION("GOOGLETRANSLATE(B191, ""en"", ""hi"")"),"बैंक विवरण की समीक्षा की जा रही है")</f>
        <v>बैंक विवरण की समीक्षा की जा रही है</v>
      </c>
      <c r="E191" s="6" t="str">
        <f>IFERROR(__xludf.DUMMYFUNCTION("GOOGLETRANSLATE(B191, ""en"", ""kn"")"),"ಬ್ಯಾಂಕ್ ವಿವರಗಳು ಪರಿಶೀಲನೆಯಲ್ಲಿವೆ")</f>
        <v>ಬ್ಯಾಂಕ್ ವಿವರಗಳು ಪರಿಶೀಲನೆಯಲ್ಲಿವೆ</v>
      </c>
      <c r="F191" s="7" t="str">
        <f>IFERROR(__xludf.DUMMYFUNCTION("GOOGLETRANSLATE(B191, ""en"", ""ml"")"),"ബാങ്ക് വിശദാംശങ്ങൾ അവലോകനത്തിലാണ്")</f>
        <v>ബാങ്ക് വിശദാംശങ്ങൾ അവലോകനത്തിലാണ്</v>
      </c>
      <c r="G191" s="7" t="str">
        <f>IFERROR(__xludf.DUMMYFUNCTION("GOOGLETRANSLATE(B191, ""en"", ""te"")"),"బ్యాంక్ వివరాలు సమీక్షలో ఉన్నాయి")</f>
        <v>బ్యాంక్ వివరాలు సమీక్షలో ఉన్నాయి</v>
      </c>
    </row>
    <row r="192">
      <c r="A192" s="4" t="s">
        <v>375</v>
      </c>
      <c r="B192" s="5" t="s">
        <v>376</v>
      </c>
      <c r="C192" s="6" t="str">
        <f>IFERROR(__xludf.DUMMYFUNCTION("GOOGLETRANSLATE(B192, ""en"", ""ta"")"),"கட்டணச் செயலாக்கத்திற்காக உங்கள் வங்கிக் கணக்கு சரிபார்க்கப்படுகிறது.")</f>
        <v>கட்டணச் செயலாக்கத்திற்காக உங்கள் வங்கிக் கணக்கு சரிபார்க்கப்படுகிறது.</v>
      </c>
      <c r="D192" s="6" t="str">
        <f>IFERROR(__xludf.DUMMYFUNCTION("GOOGLETRANSLATE(B192, ""en"", ""hi"")"),"भुगतान प्रक्रिया के लिए आपके बैंक खाते का सत्यापन किया जा रहा है।")</f>
        <v>भुगतान प्रक्रिया के लिए आपके बैंक खाते का सत्यापन किया जा रहा है।</v>
      </c>
      <c r="E192" s="6" t="str">
        <f>IFERROR(__xludf.DUMMYFUNCTION("GOOGLETRANSLATE(B192, ""en"", ""kn"")"),"ಪಾವತಿ ಪ್ರಕ್ರಿಯೆಗಾಗಿ ನಿಮ್ಮ ಬ್ಯಾಂಕ್ ಖಾತೆಯನ್ನು ಪರಿಶೀಲಿಸಲಾಗುತ್ತಿದೆ.")</f>
        <v>ಪಾವತಿ ಪ್ರಕ್ರಿಯೆಗಾಗಿ ನಿಮ್ಮ ಬ್ಯಾಂಕ್ ಖಾತೆಯನ್ನು ಪರಿಶೀಲಿಸಲಾಗುತ್ತಿದೆ.</v>
      </c>
      <c r="F192" s="7" t="str">
        <f>IFERROR(__xludf.DUMMYFUNCTION("GOOGLETRANSLATE(B192, ""en"", ""ml"")"),"പേയ്‌മെന്റ് പ്രോസസ്സിംഗിനായി നിങ്ങളുടെ ബാങ്ക് അക്കൗണ്ട് പരിശോധിച്ചുറപ്പിച്ചുകൊണ്ടിരിക്കുന്നു.")</f>
        <v>പേയ്‌മെന്റ് പ്രോസസ്സിംഗിനായി നിങ്ങളുടെ ബാങ്ക് അക്കൗണ്ട് പരിശോധിച്ചുറപ്പിച്ചുകൊണ്ടിരിക്കുന്നു.</v>
      </c>
      <c r="G192" s="7" t="str">
        <f>IFERROR(__xludf.DUMMYFUNCTION("GOOGLETRANSLATE(B192, ""en"", ""te"")"),"చెల్లింపు ప్రాసెసింగ్ కోసం మీ బ్యాంక్ ఖాతా ధృవీకరించబడుతోంది.")</f>
        <v>చెల్లింపు ప్రాసెసింగ్ కోసం మీ బ్యాంక్ ఖాతా ధృవీకరించబడుతోంది.</v>
      </c>
    </row>
    <row r="193">
      <c r="A193" s="4" t="s">
        <v>377</v>
      </c>
      <c r="B193" s="5" t="s">
        <v>378</v>
      </c>
      <c r="C193" s="6" t="str">
        <f>IFERROR(__xludf.DUMMYFUNCTION("GOOGLETRANSLATE(B193, ""en"", ""ta"")"),"வங்கிக் கணக்கு சரிபார்ப்பு செயலில் உள்ளது.")</f>
        <v>வங்கிக் கணக்கு சரிபார்ப்பு செயலில் உள்ளது.</v>
      </c>
      <c r="D193" s="6" t="str">
        <f>IFERROR(__xludf.DUMMYFUNCTION("GOOGLETRANSLATE(B193, ""en"", ""hi"")"),"बैंक खाते का सत्यापन जारी है")</f>
        <v>बैंक खाते का सत्यापन जारी है</v>
      </c>
      <c r="E193" s="6" t="str">
        <f>IFERROR(__xludf.DUMMYFUNCTION("GOOGLETRANSLATE(B193, ""en"", ""kn"")"),"ಬ್ಯಾಂಕ್ ಖಾತೆ ಪರಿಶೀಲನೆ ಪ್ರಗತಿಯಲ್ಲಿದೆ.")</f>
        <v>ಬ್ಯಾಂಕ್ ಖಾತೆ ಪರಿಶೀಲನೆ ಪ್ರಗತಿಯಲ್ಲಿದೆ.</v>
      </c>
      <c r="F193" s="7" t="str">
        <f>IFERROR(__xludf.DUMMYFUNCTION("GOOGLETRANSLATE(B193, ""en"", ""ml"")"),"ബാങ്ക് അക്കൗണ്ട് പരിശോധന പുരോഗമിക്കുന്നു")</f>
        <v>ബാങ്ക് അക്കൗണ്ട് പരിശോധന പുരോഗമിക്കുന്നു</v>
      </c>
      <c r="G193" s="7" t="str">
        <f>IFERROR(__xludf.DUMMYFUNCTION("GOOGLETRANSLATE(B193, ""en"", ""te"")"),"బ్యాంక్ ఖాతా ధృవీకరణ ప్రోగ్రెస్‌లో ఉంది")</f>
        <v>బ్యాంక్ ఖాతా ధృవీకరణ ప్రోగ్రెస్‌లో ఉంది</v>
      </c>
    </row>
    <row r="194">
      <c r="A194" s="4" t="s">
        <v>379</v>
      </c>
      <c r="B194" s="5" t="s">
        <v>380</v>
      </c>
      <c r="C194" s="6" t="str">
        <f>IFERROR(__xludf.DUMMYFUNCTION("GOOGLETRANSLATE(B194, ""en"", ""ta"")"),"கட்டண விவரங்கள் சரிபார்க்கப்படுகின்றன.")</f>
        <v>கட்டண விவரங்கள் சரிபார்க்கப்படுகின்றன.</v>
      </c>
      <c r="D194" s="6" t="str">
        <f>IFERROR(__xludf.DUMMYFUNCTION("GOOGLETRANSLATE(B194, ""en"", ""hi"")"),"भुगतान विवरण का सत्यापन किया जा रहा है")</f>
        <v>भुगतान विवरण का सत्यापन किया जा रहा है</v>
      </c>
      <c r="E194" s="6" t="str">
        <f>IFERROR(__xludf.DUMMYFUNCTION("GOOGLETRANSLATE(B194, ""en"", ""kn"")"),"ಪಾವತಿ ವಿವರಗಳನ್ನು ಮೌಲ್ಯೀಕರಿಸಲಾಗುತ್ತಿದೆ")</f>
        <v>ಪಾವತಿ ವಿವರಗಳನ್ನು ಮೌಲ್ಯೀಕರಿಸಲಾಗುತ್ತಿದೆ</v>
      </c>
      <c r="F194" s="7" t="str">
        <f>IFERROR(__xludf.DUMMYFUNCTION("GOOGLETRANSLATE(B194, ""en"", ""ml"")"),"പേയ്‌മെന്റ് വിശദാംശങ്ങൾ സാധൂകരിക്കുന്നു")</f>
        <v>പേയ്‌മെന്റ് വിശദാംശങ്ങൾ സാധൂകരിക്കുന്നു</v>
      </c>
      <c r="G194" s="7" t="str">
        <f>IFERROR(__xludf.DUMMYFUNCTION("GOOGLETRANSLATE(B194, ""en"", ""te"")"),"చెల్లింపు వివరాలు ధృవీకరించబడుతున్నాయి")</f>
        <v>చెల్లింపు వివరాలు ధృవీకరించబడుతున్నాయి</v>
      </c>
    </row>
    <row r="195">
      <c r="A195" s="4" t="s">
        <v>381</v>
      </c>
      <c r="B195" s="5" t="s">
        <v>382</v>
      </c>
      <c r="C195" s="6" t="str">
        <f>IFERROR(__xludf.DUMMYFUNCTION("GOOGLETRANSLATE(B195, ""en"", ""ta"")"),"இந்த செயல்முறை வழக்கமாக 1-2 வணிக நாட்கள் ஆகும்.")</f>
        <v>இந்த செயல்முறை வழக்கமாக 1-2 வணிக நாட்கள் ஆகும்.</v>
      </c>
      <c r="D195" s="6" t="str">
        <f>IFERROR(__xludf.DUMMYFUNCTION("GOOGLETRANSLATE(B195, ""en"", ""hi"")"),"इस प्रक्रिया में आमतौर पर 1-2 कार्य दिवस लगते हैं।")</f>
        <v>इस प्रक्रिया में आमतौर पर 1-2 कार्य दिवस लगते हैं।</v>
      </c>
      <c r="E195" s="6" t="str">
        <f>IFERROR(__xludf.DUMMYFUNCTION("GOOGLETRANSLATE(B195, ""en"", ""kn"")"),"ಈ ಪ್ರಕ್ರಿಯೆಯು ಸಾಮಾನ್ಯವಾಗಿ 1-2 ವ್ಯವಹಾರ ದಿನಗಳನ್ನು ತೆಗೆದುಕೊಳ್ಳುತ್ತದೆ.")</f>
        <v>ಈ ಪ್ರಕ್ರಿಯೆಯು ಸಾಮಾನ್ಯವಾಗಿ 1-2 ವ್ಯವಹಾರ ದಿನಗಳನ್ನು ತೆಗೆದುಕೊಳ್ಳುತ್ತದೆ.</v>
      </c>
      <c r="F195" s="7" t="str">
        <f>IFERROR(__xludf.DUMMYFUNCTION("GOOGLETRANSLATE(B195, ""en"", ""ml"")"),"ഈ പ്രക്രിയയ്ക്ക് സാധാരണയായി 1-2 പ്രവൃത്തി ദിവസങ്ങൾ എടുക്കും.")</f>
        <v>ഈ പ്രക്രിയയ്ക്ക് സാധാരണയായി 1-2 പ്രവൃത്തി ദിവസങ്ങൾ എടുക്കും.</v>
      </c>
      <c r="G195" s="7" t="str">
        <f>IFERROR(__xludf.DUMMYFUNCTION("GOOGLETRANSLATE(B195, ""en"", ""te"")"),"ఈ ప్రక్రియకు సాధారణంగా 1-2 పని దినాలు పడుతుంది.")</f>
        <v>ఈ ప్రక్రియకు సాధారణంగా 1-2 పని దినాలు పడుతుంది.</v>
      </c>
    </row>
    <row r="196">
      <c r="A196" s="4" t="s">
        <v>383</v>
      </c>
      <c r="B196" s="5" t="s">
        <v>384</v>
      </c>
      <c r="C196" s="6" t="str">
        <f>IFERROR(__xludf.DUMMYFUNCTION("GOOGLETRANSLATE(B196, ""en"", ""ta"")"),"சரிபார்ப்பு அதிக நேரம் எடுத்தால் ஆதரவைத் தொடர்பு கொள்ளவும்.")</f>
        <v>சரிபார்ப்பு அதிக நேரம் எடுத்தால் ஆதரவைத் தொடர்பு கொள்ளவும்.</v>
      </c>
      <c r="D196" s="6" t="str">
        <f>IFERROR(__xludf.DUMMYFUNCTION("GOOGLETRANSLATE(B196, ""en"", ""hi"")"),"यदि सत्यापन में अधिक समय लगता है तो सहायता टीम से संपर्क करें।")</f>
        <v>यदि सत्यापन में अधिक समय लगता है तो सहायता टीम से संपर्क करें।</v>
      </c>
      <c r="E196" s="6" t="str">
        <f>IFERROR(__xludf.DUMMYFUNCTION("GOOGLETRANSLATE(B196, ""en"", ""kn"")"),"ಪರಿಶೀಲನೆಗೆ ಹೆಚ್ಚಿನ ಸಮಯ ತೆಗೆದುಕೊಂಡರೆ ಬೆಂಬಲವನ್ನು ಸಂಪರ್ಕಿಸಿ")</f>
        <v>ಪರಿಶೀಲನೆಗೆ ಹೆಚ್ಚಿನ ಸಮಯ ತೆಗೆದುಕೊಂಡರೆ ಬೆಂಬಲವನ್ನು ಸಂಪರ್ಕಿಸಿ</v>
      </c>
      <c r="F196" s="7" t="str">
        <f>IFERROR(__xludf.DUMMYFUNCTION("GOOGLETRANSLATE(B196, ""en"", ""ml"")"),"പരിശോധിച്ചുറപ്പിക്കലിന് കൂടുതൽ സമയമെടുക്കുന്നുവെങ്കിൽ പിന്തുണയുമായി ബന്ധപ്പെടുക.")</f>
        <v>പരിശോധിച്ചുറപ്പിക്കലിന് കൂടുതൽ സമയമെടുക്കുന്നുവെങ്കിൽ പിന്തുണയുമായി ബന്ധപ്പെടുക.</v>
      </c>
      <c r="G196" s="7" t="str">
        <f>IFERROR(__xludf.DUMMYFUNCTION("GOOGLETRANSLATE(B196, ""en"", ""te"")"),"ధృవీకరణకు ఎక్కువ సమయం పడితే మద్దతును సంప్రదించండి")</f>
        <v>ధృవీకరణకు ఎక్కువ సమయం పడితే మద్దతును సంప్రదించండి</v>
      </c>
    </row>
    <row r="197">
      <c r="A197" s="4" t="s">
        <v>385</v>
      </c>
      <c r="B197" s="5" t="s">
        <v>386</v>
      </c>
      <c r="C197" s="6" t="str">
        <f>IFERROR(__xludf.DUMMYFUNCTION("GOOGLETRANSLATE(B197, ""en"", ""ta"")"),"பயணங்கள்")</f>
        <v>பயணங்கள்</v>
      </c>
      <c r="D197" s="6" t="str">
        <f>IFERROR(__xludf.DUMMYFUNCTION("GOOGLETRANSLATE(B197, ""en"", ""hi"")"),"ट्रिप्स")</f>
        <v>ट्रिप्स</v>
      </c>
      <c r="E197" s="6" t="str">
        <f>IFERROR(__xludf.DUMMYFUNCTION("GOOGLETRANSLATE(B197, ""en"", ""kn"")"),"ಪ್ರವಾಸಗಳು")</f>
        <v>ಪ್ರವಾಸಗಳು</v>
      </c>
      <c r="F197" s="7" t="str">
        <f>IFERROR(__xludf.DUMMYFUNCTION("GOOGLETRANSLATE(B197, ""en"", ""ml"")"),"യാത്രകൾ")</f>
        <v>യാത്രകൾ</v>
      </c>
      <c r="G197" s="7" t="str">
        <f>IFERROR(__xludf.DUMMYFUNCTION("GOOGLETRANSLATE(B197, ""en"", ""te"")"),"ట్రిప్స్")</f>
        <v>ట్రిప్స్</v>
      </c>
    </row>
    <row r="198">
      <c r="A198" s="4" t="s">
        <v>387</v>
      </c>
      <c r="B198" s="5" t="s">
        <v>388</v>
      </c>
      <c r="C198" s="6" t="str">
        <f>IFERROR(__xludf.DUMMYFUNCTION("GOOGLETRANSLATE(B198, ""en"", ""ta"")"),"வருவாய்")</f>
        <v>வருவாய்</v>
      </c>
      <c r="D198" s="6" t="str">
        <f>IFERROR(__xludf.DUMMYFUNCTION("GOOGLETRANSLATE(B198, ""en"", ""hi"")"),"आय")</f>
        <v>आय</v>
      </c>
      <c r="E198" s="6" t="str">
        <f>IFERROR(__xludf.DUMMYFUNCTION("GOOGLETRANSLATE(B198, ""en"", ""kn"")"),"ಗಳಿಕೆಗಳು")</f>
        <v>ಗಳಿಕೆಗಳು</v>
      </c>
      <c r="F198" s="7" t="str">
        <f>IFERROR(__xludf.DUMMYFUNCTION("GOOGLETRANSLATE(B198, ""en"", ""ml"")"),"വരുമാനം")</f>
        <v>വരുമാനം</v>
      </c>
      <c r="G198" s="7" t="str">
        <f>IFERROR(__xludf.DUMMYFUNCTION("GOOGLETRANSLATE(B198, ""en"", ""te"")"),"ఆదాయాలు")</f>
        <v>ఆదాయాలు</v>
      </c>
    </row>
    <row r="199">
      <c r="A199" s="4" t="s">
        <v>389</v>
      </c>
      <c r="B199" s="5" t="s">
        <v>390</v>
      </c>
      <c r="C199" s="6" t="str">
        <f>IFERROR(__xludf.DUMMYFUNCTION("GOOGLETRANSLATE(B199, ""en"", ""ta"")"),"ஆன்லைனில் செல்க")</f>
        <v>ஆன்லைனில் செல்க</v>
      </c>
      <c r="D199" s="6" t="str">
        <f>IFERROR(__xludf.DUMMYFUNCTION("GOOGLETRANSLATE(B199, ""en"", ""hi"")"),"ऑनलाइन जाओ")</f>
        <v>ऑनलाइन जाओ</v>
      </c>
      <c r="E199" s="6" t="str">
        <f>IFERROR(__xludf.DUMMYFUNCTION("GOOGLETRANSLATE(B199, ""en"", ""kn"")"),"ಆನ್‌ಲೈನ್‌ಗೆ ಹೋಗಿ")</f>
        <v>ಆನ್‌ಲೈನ್‌ಗೆ ಹೋಗಿ</v>
      </c>
      <c r="F199" s="7" t="str">
        <f>IFERROR(__xludf.DUMMYFUNCTION("GOOGLETRANSLATE(B199, ""en"", ""ml"")"),"ഓൺലൈനിൽ പോകുക")</f>
        <v>ഓൺലൈനിൽ പോകുക</v>
      </c>
      <c r="G199" s="7" t="str">
        <f>IFERROR(__xludf.DUMMYFUNCTION("GOOGLETRANSLATE(B199, ""en"", ""te"")"),"ఆన్‌లైన్‌లోకి వెళ్లండి")</f>
        <v>ఆన్‌లైన్‌లోకి వెళ్లండి</v>
      </c>
    </row>
    <row r="200">
      <c r="A200" s="4" t="s">
        <v>391</v>
      </c>
      <c r="B200" s="5" t="s">
        <v>392</v>
      </c>
      <c r="C200" s="6" t="str">
        <f>IFERROR(__xludf.DUMMYFUNCTION("GOOGLETRANSLATE(B200, ""en"", ""ta"")"),"நிறுத்தங்கள்")</f>
        <v>நிறுத்தங்கள்</v>
      </c>
      <c r="D200" s="6" t="str">
        <f>IFERROR(__xludf.DUMMYFUNCTION("GOOGLETRANSLATE(B200, ""en"", ""hi"")"),"बंद हो जाता है")</f>
        <v>बंद हो जाता है</v>
      </c>
      <c r="E200" s="6" t="str">
        <f>IFERROR(__xludf.DUMMYFUNCTION("GOOGLETRANSLATE(B200, ""en"", ""kn"")"),"ನಿಲ್ದಾಣಗಳು")</f>
        <v>ನಿಲ್ದಾಣಗಳು</v>
      </c>
      <c r="F200" s="7" t="str">
        <f>IFERROR(__xludf.DUMMYFUNCTION("GOOGLETRANSLATE(B200, ""en"", ""ml"")"),"സ്റ്റോപ്പുകൾ")</f>
        <v>സ്റ്റോപ്പുകൾ</v>
      </c>
      <c r="G200" s="7" t="str">
        <f>IFERROR(__xludf.DUMMYFUNCTION("GOOGLETRANSLATE(B200, ""en"", ""te"")"),"స్టాప్‌లు")</f>
        <v>స్టాప్‌లు</v>
      </c>
    </row>
    <row r="201">
      <c r="A201" s="4" t="s">
        <v>393</v>
      </c>
      <c r="B201" s="5" t="s">
        <v>394</v>
      </c>
      <c r="C201" s="6" t="str">
        <f>IFERROR(__xludf.DUMMYFUNCTION("GOOGLETRANSLATE(B201, ""en"", ""ta"")"),"பிக்அப் இடம்")</f>
        <v>பிக்அப் இடம்</v>
      </c>
      <c r="D201" s="6" t="str">
        <f>IFERROR(__xludf.DUMMYFUNCTION("GOOGLETRANSLATE(B201, ""en"", ""hi"")"),"लेने की जगह")</f>
        <v>लेने की जगह</v>
      </c>
      <c r="E201" s="6" t="str">
        <f>IFERROR(__xludf.DUMMYFUNCTION("GOOGLETRANSLATE(B201, ""en"", ""kn"")"),"ಪಿಕಪ್ ಸ್ಥಳ")</f>
        <v>ಪಿಕಪ್ ಸ್ಥಳ</v>
      </c>
      <c r="F201" s="7" t="str">
        <f>IFERROR(__xludf.DUMMYFUNCTION("GOOGLETRANSLATE(B201, ""en"", ""ml"")"),"പിക്കപ്പ് ലൊക്കേഷൻ")</f>
        <v>പിക്കപ്പ് ലൊക്കേഷൻ</v>
      </c>
      <c r="G201" s="7" t="str">
        <f>IFERROR(__xludf.DUMMYFUNCTION("GOOGLETRANSLATE(B201, ""en"", ""te"")"),"పికప్ స్థానం")</f>
        <v>పికప్ స్థానం</v>
      </c>
    </row>
    <row r="202">
      <c r="A202" s="4" t="s">
        <v>395</v>
      </c>
      <c r="B202" s="5" t="s">
        <v>396</v>
      </c>
      <c r="C202" s="6" t="str">
        <f>IFERROR(__xludf.DUMMYFUNCTION("GOOGLETRANSLATE(B202, ""en"", ""ta"")"),"டிராப் இடம்")</f>
        <v>டிராப் இடம்</v>
      </c>
      <c r="D202" s="6" t="str">
        <f>IFERROR(__xludf.DUMMYFUNCTION("GOOGLETRANSLATE(B202, ""en"", ""hi"")"),"ड्रॉप स्थान")</f>
        <v>ड्रॉप स्थान</v>
      </c>
      <c r="E202" s="6" t="str">
        <f>IFERROR(__xludf.DUMMYFUNCTION("GOOGLETRANSLATE(B202, ""en"", ""kn"")"),"ಡ್ರಾಪ್ ಸ್ಥಳ")</f>
        <v>ಡ್ರಾಪ್ ಸ್ಥಳ</v>
      </c>
      <c r="F202" s="7" t="str">
        <f>IFERROR(__xludf.DUMMYFUNCTION("GOOGLETRANSLATE(B202, ""en"", ""ml"")"),"ഡ്രോപ്പ് ലൊക്കേഷൻ")</f>
        <v>ഡ്രോപ്പ് ലൊക്കേഷൻ</v>
      </c>
      <c r="G202" s="7" t="str">
        <f>IFERROR(__xludf.DUMMYFUNCTION("GOOGLETRANSLATE(B202, ""en"", ""te"")"),"డ్రాప్ లొకేషన్")</f>
        <v>డ్రాప్ లొకేషన్</v>
      </c>
    </row>
    <row r="203">
      <c r="A203" s="4" t="s">
        <v>397</v>
      </c>
      <c r="B203" s="5" t="s">
        <v>398</v>
      </c>
      <c r="C203" s="6" t="str">
        <f>IFERROR(__xludf.DUMMYFUNCTION("GOOGLETRANSLATE(B203, ""en"", ""ta"")"),"முடிந்தது")</f>
        <v>முடிந்தது</v>
      </c>
      <c r="D203" s="6" t="str">
        <f>IFERROR(__xludf.DUMMYFUNCTION("GOOGLETRANSLATE(B203, ""en"", ""hi"")"),"हो गया")</f>
        <v>हो गया</v>
      </c>
      <c r="E203" s="6" t="str">
        <f>IFERROR(__xludf.DUMMYFUNCTION("GOOGLETRANSLATE(B203, ""en"", ""kn"")"),"ಮುಗಿದಿದೆ")</f>
        <v>ಮುಗಿದಿದೆ</v>
      </c>
      <c r="F203" s="7" t="str">
        <f>IFERROR(__xludf.DUMMYFUNCTION("GOOGLETRANSLATE(B203, ""en"", ""ml"")"),"ചെയ്തുകഴിഞ്ഞു")</f>
        <v>ചെയ്തുകഴിഞ്ഞു</v>
      </c>
      <c r="G203" s="7" t="str">
        <f>IFERROR(__xludf.DUMMYFUNCTION("GOOGLETRANSLATE(B203, ""en"", ""te"")"),"పూర్తయింది")</f>
        <v>పూర్తయింది</v>
      </c>
    </row>
    <row r="204">
      <c r="A204" s="4" t="s">
        <v>399</v>
      </c>
      <c r="B204" s="5" t="s">
        <v>400</v>
      </c>
      <c r="C204" s="6" t="str">
        <f>IFERROR(__xludf.DUMMYFUNCTION("GOOGLETRANSLATE(B204, ""en"", ""ta"")"),"வடிவம்")</f>
        <v>வடிவம்</v>
      </c>
      <c r="D204" s="6" t="str">
        <f>IFERROR(__xludf.DUMMYFUNCTION("GOOGLETRANSLATE(B204, ""en"", ""hi"")"),"प्रारूप")</f>
        <v>प्रारूप</v>
      </c>
      <c r="E204" s="6" t="str">
        <f>IFERROR(__xludf.DUMMYFUNCTION("GOOGLETRANSLATE(B204, ""en"", ""kn"")"),"ಸ್ವರೂಪ")</f>
        <v>ಸ್ವರೂಪ</v>
      </c>
      <c r="F204" s="7" t="str">
        <f>IFERROR(__xludf.DUMMYFUNCTION("GOOGLETRANSLATE(B204, ""en"", ""ml"")"),"ഫോർമാറ്റ്")</f>
        <v>ഫോർമാറ്റ്</v>
      </c>
      <c r="G204" s="7" t="str">
        <f>IFERROR(__xludf.DUMMYFUNCTION("GOOGLETRANSLATE(B204, ""en"", ""te"")"),"ఫార్మాట్")</f>
        <v>ఫార్మాట్</v>
      </c>
    </row>
    <row r="205">
      <c r="A205" s="4" t="s">
        <v>401</v>
      </c>
      <c r="B205" s="5" t="s">
        <v>402</v>
      </c>
      <c r="C205" s="6" t="str">
        <f>IFERROR(__xludf.DUMMYFUNCTION("GOOGLETRANSLATE(B205, ""en"", ""ta"")"),"அளவு: ஒவ்வொன்றும் அதிகபட்சம் 10MB")</f>
        <v>அளவு: ஒவ்வொன்றும் அதிகபட்சம் 10MB</v>
      </c>
      <c r="D205" s="6" t="str">
        <f>IFERROR(__xludf.DUMMYFUNCTION("GOOGLETRANSLATE(B205, ""en"", ""hi"")"),"आकार: अधिकतम 10MB प्रत्येक")</f>
        <v>आकार: अधिकतम 10MB प्रत्येक</v>
      </c>
      <c r="E205" s="6" t="str">
        <f>IFERROR(__xludf.DUMMYFUNCTION("GOOGLETRANSLATE(B205, ""en"", ""kn"")"),"ಗಾತ್ರ: ಪ್ರತಿಯೊಂದಕ್ಕೂ ಗರಿಷ್ಠ 10MB")</f>
        <v>ಗಾತ್ರ: ಪ್ರತಿಯೊಂದಕ್ಕೂ ಗರಿಷ್ಠ 10MB</v>
      </c>
      <c r="F205" s="7" t="str">
        <f>IFERROR(__xludf.DUMMYFUNCTION("GOOGLETRANSLATE(B205, ""en"", ""ml"")"),"വലുപ്പം: ഓരോന്നിനും പരമാവധി 10MB")</f>
        <v>വലുപ്പം: ഓരോന്നിനും പരമാവധി 10MB</v>
      </c>
      <c r="G205" s="7" t="str">
        <f>IFERROR(__xludf.DUMMYFUNCTION("GOOGLETRANSLATE(B205, ""en"", ""te"")"),"పరిమాణం: ఒక్కొక్కటి గరిష్టంగా 10MB")</f>
        <v>పరిమాణం: ఒక్కొక్కటి గరిష్టంగా 10MB</v>
      </c>
    </row>
    <row r="206">
      <c r="A206" s="4" t="s">
        <v>403</v>
      </c>
      <c r="B206" s="5" t="s">
        <v>404</v>
      </c>
      <c r="C206" s="6" t="str">
        <f>IFERROR(__xludf.DUMMYFUNCTION("GOOGLETRANSLATE(B206, ""en"", ""ta"")"),"தெளிவுத்திறன்: அதிகபட்சம் 2000px")</f>
        <v>தெளிவுத்திறன்: அதிகபட்சம் 2000px</v>
      </c>
      <c r="D206" s="6" t="str">
        <f>IFERROR(__xludf.DUMMYFUNCTION("GOOGLETRANSLATE(B206, ""en"", ""hi"")"),"रिज़ॉल्यूशन: अधिकतम 2000px")</f>
        <v>रिज़ॉल्यूशन: अधिकतम 2000px</v>
      </c>
      <c r="E206" s="6" t="str">
        <f>IFERROR(__xludf.DUMMYFUNCTION("GOOGLETRANSLATE(B206, ""en"", ""kn"")"),"ರೆಸಲ್ಯೂಷನ್: ಗರಿಷ್ಠ 2000px")</f>
        <v>ರೆಸಲ್ಯೂಷನ್: ಗರಿಷ್ಠ 2000px</v>
      </c>
      <c r="F206" s="7" t="str">
        <f>IFERROR(__xludf.DUMMYFUNCTION("GOOGLETRANSLATE(B206, ""en"", ""ml"")"),"റെസല്യൂഷൻ: പരമാവധി 2000px")</f>
        <v>റെസല്യൂഷൻ: പരമാവധി 2000px</v>
      </c>
      <c r="G206" s="7" t="str">
        <f>IFERROR(__xludf.DUMMYFUNCTION("GOOGLETRANSLATE(B206, ""en"", ""te"")"),"రిజల్యూషన్: గరిష్టంగా 2000px")</f>
        <v>రిజల్యూషన్: గరిష్టంగా 2000px</v>
      </c>
    </row>
    <row r="207">
      <c r="A207" s="4" t="s">
        <v>405</v>
      </c>
      <c r="B207" s="5" t="s">
        <v>406</v>
      </c>
      <c r="C207" s="6" t="str">
        <f>IFERROR(__xludf.DUMMYFUNCTION("GOOGLETRANSLATE(B207, ""en"", ""ta"")"),"ஆவணத்தைப் பதிவேற்று")</f>
        <v>ஆவணத்தைப் பதிவேற்று</v>
      </c>
      <c r="D207" s="6" t="str">
        <f>IFERROR(__xludf.DUMMYFUNCTION("GOOGLETRANSLATE(B207, ""en"", ""hi"")"),"दस्तावेज़ अपलोड करें")</f>
        <v>दस्तावेज़ अपलोड करें</v>
      </c>
      <c r="E207" s="6" t="str">
        <f>IFERROR(__xludf.DUMMYFUNCTION("GOOGLETRANSLATE(B207, ""en"", ""kn"")"),"ಡಾಕ್ಯುಮೆಂಟ್ ಅಪ್‌ಲೋಡ್ ಮಾಡಿ")</f>
        <v>ಡಾಕ್ಯುಮೆಂಟ್ ಅಪ್‌ಲೋಡ್ ಮಾಡಿ</v>
      </c>
      <c r="F207" s="7" t="str">
        <f>IFERROR(__xludf.DUMMYFUNCTION("GOOGLETRANSLATE(B207, ""en"", ""ml"")"),"പ്രമാണം അപ്‌ലോഡ് ചെയ്യുക")</f>
        <v>പ്രമാണം അപ്‌ലോഡ് ചെയ്യുക</v>
      </c>
      <c r="G207" s="7" t="str">
        <f>IFERROR(__xludf.DUMMYFUNCTION("GOOGLETRANSLATE(B207, ""en"", ""te"")"),"పత్రాన్ని అప్‌లోడ్ చేయండి")</f>
        <v>పత్రాన్ని అప్‌లోడ్ చేయండి</v>
      </c>
    </row>
    <row r="208">
      <c r="A208" s="4" t="s">
        <v>407</v>
      </c>
      <c r="B208" s="5" t="s">
        <v>408</v>
      </c>
      <c r="C208" s="6" t="str">
        <f>IFERROR(__xludf.DUMMYFUNCTION("GOOGLETRANSLATE(B208, ""en"", ""ta"")"),"பதிவேற்று")</f>
        <v>பதிவேற்று</v>
      </c>
      <c r="D208" s="6" t="str">
        <f>IFERROR(__xludf.DUMMYFUNCTION("GOOGLETRANSLATE(B208, ""en"", ""hi"")"),"अपलोड करें")</f>
        <v>अपलोड करें</v>
      </c>
      <c r="E208" s="6" t="str">
        <f>IFERROR(__xludf.DUMMYFUNCTION("GOOGLETRANSLATE(B208, ""en"", ""kn"")"),"ಅಪ್‌ಲೋಡ್ ಮಾಡಿ")</f>
        <v>ಅಪ್‌ಲೋಡ್ ಮಾಡಿ</v>
      </c>
      <c r="F208" s="7" t="str">
        <f>IFERROR(__xludf.DUMMYFUNCTION("GOOGLETRANSLATE(B208, ""en"", ""ml"")"),"അപ്‌ലോഡ് ചെയ്യുക")</f>
        <v>അപ്‌ലോഡ് ചെയ്യുക</v>
      </c>
      <c r="G208" s="7" t="str">
        <f>IFERROR(__xludf.DUMMYFUNCTION("GOOGLETRANSLATE(B208, ""en"", ""te"")"),"అప్‌లోడ్ చేయండి")</f>
        <v>అప్‌లోడ్ చేయండి</v>
      </c>
    </row>
    <row r="209">
      <c r="A209" s="4" t="s">
        <v>409</v>
      </c>
      <c r="B209" s="5" t="s">
        <v>410</v>
      </c>
      <c r="C209" s="6" t="str">
        <f>IFERROR(__xludf.DUMMYFUNCTION("GOOGLETRANSLATE(B209, ""en"", ""ta"")"),"OTP வெற்றிகரமாக அனுப்பப்பட்டது.")</f>
        <v>OTP வெற்றிகரமாக அனுப்பப்பட்டது.</v>
      </c>
      <c r="D209" s="6" t="str">
        <f>IFERROR(__xludf.DUMMYFUNCTION("GOOGLETRANSLATE(B209, ""en"", ""hi"")"),"ओटीपी सफलतापूर्वक भेज दिया गया")</f>
        <v>ओटीपी सफलतापूर्वक भेज दिया गया</v>
      </c>
      <c r="E209" s="6" t="str">
        <f>IFERROR(__xludf.DUMMYFUNCTION("GOOGLETRANSLATE(B209, ""en"", ""kn"")"),"OTP ಯಶಸ್ವಿಯಾಗಿ ಕಳುಹಿಸಲಾಗಿದೆ")</f>
        <v>OTP ಯಶಸ್ವಿಯಾಗಿ ಕಳುಹಿಸಲಾಗಿದೆ</v>
      </c>
      <c r="F209" s="7" t="str">
        <f>IFERROR(__xludf.DUMMYFUNCTION("GOOGLETRANSLATE(B209, ""en"", ""ml"")"),"OTP വിജയകരമായി അയച്ചു")</f>
        <v>OTP വിജയകരമായി അയച്ചു</v>
      </c>
      <c r="G209" s="7" t="str">
        <f>IFERROR(__xludf.DUMMYFUNCTION("GOOGLETRANSLATE(B209, ""en"", ""te"")"),"OTP విజయవంతంగా పంపబడింది")</f>
        <v>OTP విజయవంతంగా పంపబడింది</v>
      </c>
    </row>
    <row r="210">
      <c r="A210" s="4" t="s">
        <v>411</v>
      </c>
      <c r="B210" s="5" t="s">
        <v>412</v>
      </c>
      <c r="C210" s="6" t="str">
        <f>IFERROR(__xludf.DUMMYFUNCTION("GOOGLETRANSLATE(B210, ""en"", ""ta"")"),"டிக்கெட்டை உயர்த்தவும்")</f>
        <v>டிக்கெட்டை உயர்த்தவும்</v>
      </c>
      <c r="D210" s="6" t="str">
        <f>IFERROR(__xludf.DUMMYFUNCTION("GOOGLETRANSLATE(B210, ""en"", ""hi"")"),"टिकट बढ़ाएँ")</f>
        <v>टिकट बढ़ाएँ</v>
      </c>
      <c r="E210" s="6" t="str">
        <f>IFERROR(__xludf.DUMMYFUNCTION("GOOGLETRANSLATE(B210, ""en"", ""kn"")"),"ಟಿಕೆಟ್ ಹೆಚ್ಚಿಸಿ")</f>
        <v>ಟಿಕೆಟ್ ಹೆಚ್ಚಿಸಿ</v>
      </c>
      <c r="F210" s="7" t="str">
        <f>IFERROR(__xludf.DUMMYFUNCTION("GOOGLETRANSLATE(B210, ""en"", ""ml"")"),"ടിക്കറ്റ് ഉയർത്തുക")</f>
        <v>ടിക്കറ്റ് ഉയർത്തുക</v>
      </c>
      <c r="G210" s="7" t="str">
        <f>IFERROR(__xludf.DUMMYFUNCTION("GOOGLETRANSLATE(B210, ""en"", ""te"")"),"టికెట్ పెంచండి")</f>
        <v>టికెట్ పెంచండి</v>
      </c>
    </row>
    <row r="211">
      <c r="A211" s="4" t="s">
        <v>413</v>
      </c>
      <c r="B211" s="5" t="s">
        <v>414</v>
      </c>
      <c r="C211" s="6" t="str">
        <f>IFERROR(__xludf.DUMMYFUNCTION("GOOGLETRANSLATE(B211, ""en"", ""ta"")"),"மாற்றம்")</f>
        <v>மாற்றம்</v>
      </c>
      <c r="D211" s="6" t="str">
        <f>IFERROR(__xludf.DUMMYFUNCTION("GOOGLETRANSLATE(B211, ""en"", ""hi"")"),"परिवर्तन")</f>
        <v>परिवर्तन</v>
      </c>
      <c r="E211" s="6" t="str">
        <f>IFERROR(__xludf.DUMMYFUNCTION("GOOGLETRANSLATE(B211, ""en"", ""kn"")"),"ಬದಲಾವಣೆ")</f>
        <v>ಬದಲಾವಣೆ</v>
      </c>
      <c r="F211" s="7" t="str">
        <f>IFERROR(__xludf.DUMMYFUNCTION("GOOGLETRANSLATE(B211, ""en"", ""ml"")"),"മാറ്റം")</f>
        <v>മാറ്റം</v>
      </c>
      <c r="G211" s="7" t="str">
        <f>IFERROR(__xludf.DUMMYFUNCTION("GOOGLETRANSLATE(B211, ""en"", ""te"")"),"మార్చు")</f>
        <v>మార్చు</v>
      </c>
    </row>
    <row r="212">
      <c r="A212" s="4" t="s">
        <v>241</v>
      </c>
      <c r="B212" s="5" t="s">
        <v>242</v>
      </c>
      <c r="C212" s="6" t="str">
        <f>IFERROR(__xludf.DUMMYFUNCTION("GOOGLETRANSLATE(B212, ""en"", ""ta"")"),"உலவ")</f>
        <v>உலவ</v>
      </c>
      <c r="D212" s="6" t="str">
        <f>IFERROR(__xludf.DUMMYFUNCTION("GOOGLETRANSLATE(B212, ""en"", ""hi"")"),"ब्राउज़")</f>
        <v>ब्राउज़</v>
      </c>
      <c r="E212" s="6" t="str">
        <f>IFERROR(__xludf.DUMMYFUNCTION("GOOGLETRANSLATE(B212, ""en"", ""kn"")"),"ಬ್ರೌಸ್ ಮಾಡಿ")</f>
        <v>ಬ್ರೌಸ್ ಮಾಡಿ</v>
      </c>
      <c r="F212" s="7" t="str">
        <f>IFERROR(__xludf.DUMMYFUNCTION("GOOGLETRANSLATE(B212, ""en"", ""ml"")"),"ബ്രൗസ് ചെയ്യുക")</f>
        <v>ബ്രൗസ് ചെയ്യുക</v>
      </c>
      <c r="G212" s="7" t="str">
        <f>IFERROR(__xludf.DUMMYFUNCTION("GOOGLETRANSLATE(B212, ""en"", ""te"")"),"బ్రౌజ్ చేయండి")</f>
        <v>బ్రౌజ్ చేయండి</v>
      </c>
    </row>
    <row r="213">
      <c r="A213" s="4" t="s">
        <v>415</v>
      </c>
      <c r="B213" s="5" t="s">
        <v>416</v>
      </c>
      <c r="C213" s="6" t="str">
        <f>IFERROR(__xludf.DUMMYFUNCTION("GOOGLETRANSLATE(B213, ""en"", ""ta"")"),"பயண வரலாறு")</f>
        <v>பயண வரலாறு</v>
      </c>
      <c r="D213" s="6" t="str">
        <f>IFERROR(__xludf.DUMMYFUNCTION("GOOGLETRANSLATE(B213, ""en"", ""hi"")"),"यात्रा इतिहास")</f>
        <v>यात्रा इतिहास</v>
      </c>
      <c r="E213" s="6" t="str">
        <f>IFERROR(__xludf.DUMMYFUNCTION("GOOGLETRANSLATE(B213, ""en"", ""kn"")"),"ಪ್ರವಾಸ ಇತಿಹಾಸ")</f>
        <v>ಪ್ರವಾಸ ಇತಿಹಾಸ</v>
      </c>
      <c r="F213" s="7" t="str">
        <f>IFERROR(__xludf.DUMMYFUNCTION("GOOGLETRANSLATE(B213, ""en"", ""ml"")"),"യാത്രാ ചരിത്രം")</f>
        <v>യാത്രാ ചരിത്രം</v>
      </c>
      <c r="G213" s="7" t="str">
        <f>IFERROR(__xludf.DUMMYFUNCTION("GOOGLETRANSLATE(B213, ""en"", ""te"")"),"పర్యటన చరిత్ర")</f>
        <v>పర్యటన చరిత్ర</v>
      </c>
    </row>
    <row r="214">
      <c r="A214" s="4" t="s">
        <v>417</v>
      </c>
      <c r="B214" s="5" t="s">
        <v>418</v>
      </c>
      <c r="C214" s="6" t="str">
        <f>IFERROR(__xludf.DUMMYFUNCTION("GOOGLETRANSLATE(B214, ""en"", ""ta"")"),"பயணங்கள் எதுவும் இல்லை")</f>
        <v>பயணங்கள் எதுவும் இல்லை</v>
      </c>
      <c r="D214" s="6" t="str">
        <f>IFERROR(__xludf.DUMMYFUNCTION("GOOGLETRANSLATE(B214, ""en"", ""hi"")"),"कोई यात्रा नहीं मिली")</f>
        <v>कोई यात्रा नहीं मिली</v>
      </c>
      <c r="E214" s="6" t="str">
        <f>IFERROR(__xludf.DUMMYFUNCTION("GOOGLETRANSLATE(B214, ""en"", ""kn"")"),"ಯಾವುದೇ ಪ್ರವಾಸಗಳು ಕಂಡುಬಂದಿಲ್ಲ.")</f>
        <v>ಯಾವುದೇ ಪ್ರವಾಸಗಳು ಕಂಡುಬಂದಿಲ್ಲ.</v>
      </c>
      <c r="F214" s="7" t="str">
        <f>IFERROR(__xludf.DUMMYFUNCTION("GOOGLETRANSLATE(B214, ""en"", ""ml"")"),"യാത്രകളൊന്നും കണ്ടെത്തിയില്ല")</f>
        <v>യാത്രകളൊന്നും കണ്ടെത്തിയില്ല</v>
      </c>
      <c r="G214" s="7" t="str">
        <f>IFERROR(__xludf.DUMMYFUNCTION("GOOGLETRANSLATE(B214, ""en"", ""te"")"),"ట్రిప్‌లు ఏవీ కనుగొనబడలేదు")</f>
        <v>ట్రిప్‌లు ఏవీ కనుగొనబడలేదు</v>
      </c>
    </row>
    <row r="215">
      <c r="A215" s="4" t="s">
        <v>419</v>
      </c>
      <c r="B215" s="5" t="s">
        <v>420</v>
      </c>
      <c r="C215" s="6" t="str">
        <f>IFERROR(__xludf.DUMMYFUNCTION("GOOGLETRANSLATE(B215, ""en"", ""ta"")"),"நீங்கள் இன்னும் எந்தப் பயணங்களையும் முடிக்கவில்லை.")</f>
        <v>நீங்கள் இன்னும் எந்தப் பயணங்களையும் முடிக்கவில்லை.</v>
      </c>
      <c r="D215" s="6" t="str">
        <f>IFERROR(__xludf.DUMMYFUNCTION("GOOGLETRANSLATE(B215, ""en"", ""hi"")"),"आपने अभी तक कोई यात्रा पूरी नहीं की है।")</f>
        <v>आपने अभी तक कोई यात्रा पूरी नहीं की है।</v>
      </c>
      <c r="E215" s="6" t="str">
        <f>IFERROR(__xludf.DUMMYFUNCTION("GOOGLETRANSLATE(B215, ""en"", ""kn"")"),"ನೀವು ಇನ್ನೂ ಯಾವುದೇ ಪ್ರವಾಸಗಳನ್ನು ಪೂರ್ಣಗೊಳಿಸಿಲ್ಲ.")</f>
        <v>ನೀವು ಇನ್ನೂ ಯಾವುದೇ ಪ್ರವಾಸಗಳನ್ನು ಪೂರ್ಣಗೊಳಿಸಿಲ್ಲ.</v>
      </c>
      <c r="F215" s="7" t="str">
        <f>IFERROR(__xludf.DUMMYFUNCTION("GOOGLETRANSLATE(B215, ""en"", ""ml"")"),"നിങ്ങൾ ഇതുവരെ ഒരു യാത്രയും പൂർത്തിയാക്കിയിട്ടില്ല.")</f>
        <v>നിങ്ങൾ ഇതുവരെ ഒരു യാത്രയും പൂർത്തിയാക്കിയിട്ടില്ല.</v>
      </c>
      <c r="G215" s="7" t="str">
        <f>IFERROR(__xludf.DUMMYFUNCTION("GOOGLETRANSLATE(B215, ""en"", ""te"")"),"మీరు ఇంకా ఏ ప్రయాణాలను పూర్తి చేయలేదు.")</f>
        <v>మీరు ఇంకా ఏ ప్రయాణాలను పూర్తి చేయలేదు.</v>
      </c>
    </row>
    <row r="216">
      <c r="A216" s="4" t="s">
        <v>421</v>
      </c>
      <c r="B216" s="5" t="s">
        <v>422</v>
      </c>
      <c r="C216" s="6" t="str">
        <f>IFERROR(__xludf.DUMMYFUNCTION("GOOGLETRANSLATE(B216, ""en"", ""ta"")"),"மேலும் பயணங்களை ஏற்றுகிறது...")</f>
        <v>மேலும் பயணங்களை ஏற்றுகிறது...</v>
      </c>
      <c r="D216" s="6" t="str">
        <f>IFERROR(__xludf.DUMMYFUNCTION("GOOGLETRANSLATE(B216, ""en"", ""hi"")"),"और भी ट्रिप लोड हो रही हैं...")</f>
        <v>और भी ट्रिप लोड हो रही हैं...</v>
      </c>
      <c r="E216" s="6" t="str">
        <f>IFERROR(__xludf.DUMMYFUNCTION("GOOGLETRANSLATE(B216, ""en"", ""kn"")"),"ಇನ್ನಷ್ಟು ಪ್ರವಾಸಗಳನ್ನು ಲೋಡ್ ಮಾಡಲಾಗುತ್ತಿದೆ...")</f>
        <v>ಇನ್ನಷ್ಟು ಪ್ರವಾಸಗಳನ್ನು ಲೋಡ್ ಮಾಡಲಾಗುತ್ತಿದೆ...</v>
      </c>
      <c r="F216" s="7" t="str">
        <f>IFERROR(__xludf.DUMMYFUNCTION("GOOGLETRANSLATE(B216, ""en"", ""ml"")"),"കൂടുതൽ യാത്രകൾ ലോഡ് ചെയ്യുന്നു...")</f>
        <v>കൂടുതൽ യാത്രകൾ ലോഡ് ചെയ്യുന്നു...</v>
      </c>
      <c r="G216" s="7" t="str">
        <f>IFERROR(__xludf.DUMMYFUNCTION("GOOGLETRANSLATE(B216, ""en"", ""te"")"),"మరిన్ని ట్రిప్‌లను లోడ్ చేస్తోంది...")</f>
        <v>మరిన్ని ట్రిప్‌లను లోడ్ చేస్తోంది...</v>
      </c>
    </row>
    <row r="217">
      <c r="A217" s="4" t="s">
        <v>423</v>
      </c>
      <c r="B217" s="5" t="s">
        <v>424</v>
      </c>
      <c r="C217" s="6" t="str">
        <f>IFERROR(__xludf.DUMMYFUNCTION("GOOGLETRANSLATE(B217, ""en"", ""ta"")"),"விவரங்களைப் பார்")</f>
        <v>விவரங்களைப் பார்</v>
      </c>
      <c r="D217" s="6" t="str">
        <f>IFERROR(__xludf.DUMMYFUNCTION("GOOGLETRANSLATE(B217, ""en"", ""hi"")"),"विवरण देखें")</f>
        <v>विवरण देखें</v>
      </c>
      <c r="E217" s="6" t="str">
        <f>IFERROR(__xludf.DUMMYFUNCTION("GOOGLETRANSLATE(B217, ""en"", ""kn"")"),"ವಿವರಗಳು ವೀಕ್ಷಿಸಿ")</f>
        <v>ವಿವರಗಳು ವೀಕ್ಷಿಸಿ</v>
      </c>
      <c r="F217" s="7" t="str">
        <f>IFERROR(__xludf.DUMMYFUNCTION("GOOGLETRANSLATE(B217, ""en"", ""ml"")"),"വിശദാംശങ്ങൾ കാണുക")</f>
        <v>വിശദാംശങ്ങൾ കാണുക</v>
      </c>
      <c r="G217" s="7" t="str">
        <f>IFERROR(__xludf.DUMMYFUNCTION("GOOGLETRANSLATE(B217, ""en"", ""te"")"),"వివరాలు చూడండి")</f>
        <v>వివరాలు చూడండి</v>
      </c>
    </row>
    <row r="218">
      <c r="A218" s="4" t="s">
        <v>425</v>
      </c>
      <c r="B218" s="5" t="s">
        <v>426</v>
      </c>
      <c r="C218" s="6" t="str">
        <f>IFERROR(__xludf.DUMMYFUNCTION("GOOGLETRANSLATE(B218, ""en"", ""ta"")"),"இருப்பிடம் முடிவு")</f>
        <v>இருப்பிடம் முடிவு</v>
      </c>
      <c r="D218" s="6" t="str">
        <f>IFERROR(__xludf.DUMMYFUNCTION("GOOGLETRANSLATE(B218, ""en"", ""hi"")"),"अंतिम स्थान")</f>
        <v>अंतिम स्थान</v>
      </c>
      <c r="E218" s="6" t="str">
        <f>IFERROR(__xludf.DUMMYFUNCTION("GOOGLETRANSLATE(B218, ""en"", ""kn"")"),"ಸ್ಥಳ ಅಂತ್ಯ")</f>
        <v>ಸ್ಥಳ ಅಂತ್ಯ</v>
      </c>
      <c r="F218" s="7" t="str">
        <f>IFERROR(__xludf.DUMMYFUNCTION("GOOGLETRANSLATE(B218, ""en"", ""ml"")"),"അവസാന സ്ഥലം")</f>
        <v>അവസാന സ്ഥലം</v>
      </c>
      <c r="G218" s="7" t="str">
        <f>IFERROR(__xludf.DUMMYFUNCTION("GOOGLETRANSLATE(B218, ""en"", ""te"")"),"స్థానం ముగింపు")</f>
        <v>స్థానం ముగింపు</v>
      </c>
    </row>
    <row r="219">
      <c r="A219" s="4" t="s">
        <v>427</v>
      </c>
      <c r="B219" s="5" t="s">
        <v>428</v>
      </c>
      <c r="C219" s="6" t="str">
        <f>IFERROR(__xludf.DUMMYFUNCTION("GOOGLETRANSLATE(B219, ""en"", ""ta"")"),"தொடக்க இடம்")</f>
        <v>தொடக்க இடம்</v>
      </c>
      <c r="D219" s="6" t="str">
        <f>IFERROR(__xludf.DUMMYFUNCTION("GOOGLETRANSLATE(B219, ""en"", ""hi"")"),"आरंभिक स्थान")</f>
        <v>आरंभिक स्थान</v>
      </c>
      <c r="E219" s="6" t="str">
        <f>IFERROR(__xludf.DUMMYFUNCTION("GOOGLETRANSLATE(B219, ""en"", ""kn"")"),"ಸ್ಥಳ ಪ್ರಾರಂಭಿಸಿ")</f>
        <v>ಸ್ಥಳ ಪ್ರಾರಂಭಿಸಿ</v>
      </c>
      <c r="F219" s="7" t="str">
        <f>IFERROR(__xludf.DUMMYFUNCTION("GOOGLETRANSLATE(B219, ""en"", ""ml"")"),"ആരംഭ സ്ഥലം")</f>
        <v>ആരംഭ സ്ഥലം</v>
      </c>
      <c r="G219" s="7" t="str">
        <f>IFERROR(__xludf.DUMMYFUNCTION("GOOGLETRANSLATE(B219, ""en"", ""te"")"),"ప్రారంభ స్థానం")</f>
        <v>ప్రారంభ స్థానం</v>
      </c>
    </row>
    <row r="220">
      <c r="A220" s="4" t="s">
        <v>429</v>
      </c>
      <c r="B220" s="5" t="s">
        <v>430</v>
      </c>
      <c r="C220" s="6" t="str">
        <f>IFERROR(__xludf.DUMMYFUNCTION("GOOGLETRANSLATE(B220, ""en"", ""ta"")"),"நிலையைத் தேர்ந்தெடுக்கவும்")</f>
        <v>நிலையைத் தேர்ந்தெடுக்கவும்</v>
      </c>
      <c r="D220" s="6" t="str">
        <f>IFERROR(__xludf.DUMMYFUNCTION("GOOGLETRANSLATE(B220, ""en"", ""hi"")"),"स्थिति का चयन करें")</f>
        <v>स्थिति का चयन करें</v>
      </c>
      <c r="E220" s="6" t="str">
        <f>IFERROR(__xludf.DUMMYFUNCTION("GOOGLETRANSLATE(B220, ""en"", ""kn"")"),"ಸ್ಥಿತಿಯನ್ನು ಆಯ್ಕೆಮಾಡಿ")</f>
        <v>ಸ್ಥಿತಿಯನ್ನು ಆಯ್ಕೆಮಾಡಿ</v>
      </c>
      <c r="F220" s="7" t="str">
        <f>IFERROR(__xludf.DUMMYFUNCTION("GOOGLETRANSLATE(B220, ""en"", ""ml"")"),"സ്റ്റാറ്റസ് തിരഞ്ഞെടുക്കുക")</f>
        <v>സ്റ്റാറ്റസ് തിരഞ്ഞെടുക്കുക</v>
      </c>
      <c r="G220" s="7" t="str">
        <f>IFERROR(__xludf.DUMMYFUNCTION("GOOGLETRANSLATE(B220, ""en"", ""te"")"),"స్థితిని ఎంచుకోండి")</f>
        <v>స్థితిని ఎంచుకోండి</v>
      </c>
    </row>
    <row r="221">
      <c r="A221" s="4" t="s">
        <v>431</v>
      </c>
      <c r="B221" s="5" t="s">
        <v>432</v>
      </c>
      <c r="C221" s="6" t="str">
        <f>IFERROR(__xludf.DUMMYFUNCTION("GOOGLETRANSLATE(B221, ""en"", ""ta"")"),"தேதி வரம்பைத் தேர்ந்தெடுக்கவும்")</f>
        <v>தேதி வரம்பைத் தேர்ந்தெடுக்கவும்</v>
      </c>
      <c r="D221" s="6" t="str">
        <f>IFERROR(__xludf.DUMMYFUNCTION("GOOGLETRANSLATE(B221, ""en"", ""hi"")"),"दिनांक सीमा चुनें")</f>
        <v>दिनांक सीमा चुनें</v>
      </c>
      <c r="E221" s="6" t="str">
        <f>IFERROR(__xludf.DUMMYFUNCTION("GOOGLETRANSLATE(B221, ""en"", ""kn"")"),"ದಿನಾಂಕ ಶ್ರೇಣಿಯನ್ನು ಆಯ್ಕೆಮಾಡಿ")</f>
        <v>ದಿನಾಂಕ ಶ್ರೇಣಿಯನ್ನು ಆಯ್ಕೆಮಾಡಿ</v>
      </c>
      <c r="F221" s="7" t="str">
        <f>IFERROR(__xludf.DUMMYFUNCTION("GOOGLETRANSLATE(B221, ""en"", ""ml"")"),"തീയതി ശ്രേണി തിരഞ്ഞെടുക്കുക")</f>
        <v>തീയതി ശ്രേണി തിരഞ്ഞെടുക്കുക</v>
      </c>
      <c r="G221" s="7" t="str">
        <f>IFERROR(__xludf.DUMMYFUNCTION("GOOGLETRANSLATE(B221, ""en"", ""te"")"),"తేదీ పరిధిని ఎంచుకోండి")</f>
        <v>తేదీ పరిధిని ఎంచుకోండి</v>
      </c>
    </row>
    <row r="222">
      <c r="A222" s="4" t="s">
        <v>433</v>
      </c>
      <c r="B222" s="5" t="s">
        <v>434</v>
      </c>
      <c r="C222" s="6" t="str">
        <f>IFERROR(__xludf.DUMMYFUNCTION("GOOGLETRANSLATE(B222, ""en"", ""ta"")"),"மொத்த பயணங்கள்")</f>
        <v>மொத்த பயணங்கள்</v>
      </c>
      <c r="D222" s="6" t="str">
        <f>IFERROR(__xludf.DUMMYFUNCTION("GOOGLETRANSLATE(B222, ""en"", ""hi"")"),"कुल यात्राएँ")</f>
        <v>कुल यात्राएँ</v>
      </c>
      <c r="E222" s="6" t="str">
        <f>IFERROR(__xludf.DUMMYFUNCTION("GOOGLETRANSLATE(B222, ""en"", ""kn"")"),"ಒಟ್ಟು ಪ್ರವಾಸಗಳು")</f>
        <v>ಒಟ್ಟು ಪ್ರವಾಸಗಳು</v>
      </c>
      <c r="F222" s="7" t="str">
        <f>IFERROR(__xludf.DUMMYFUNCTION("GOOGLETRANSLATE(B222, ""en"", ""ml"")"),"ആകെ യാത്രകൾ")</f>
        <v>ആകെ യാത്രകൾ</v>
      </c>
      <c r="G222" s="7" t="str">
        <f>IFERROR(__xludf.DUMMYFUNCTION("GOOGLETRANSLATE(B222, ""en"", ""te"")"),"మొత్తం ట్రిప్పులు")</f>
        <v>మొత్తం ట్రిప్పులు</v>
      </c>
    </row>
    <row r="223">
      <c r="A223" s="4" t="s">
        <v>435</v>
      </c>
      <c r="B223" s="5" t="s">
        <v>436</v>
      </c>
      <c r="C223" s="6" t="str">
        <f>IFERROR(__xludf.DUMMYFUNCTION("GOOGLETRANSLATE(B223, ""en"", ""ta"")"),"மொத்த ஆன்லைன் நேரங்கள்")</f>
        <v>மொத்த ஆன்லைன் நேரங்கள்</v>
      </c>
      <c r="D223" s="6" t="str">
        <f>IFERROR(__xludf.DUMMYFUNCTION("GOOGLETRANSLATE(B223, ""en"", ""hi"")"),"कुल ऑनलाइन घंटे")</f>
        <v>कुल ऑनलाइन घंटे</v>
      </c>
      <c r="E223" s="6" t="str">
        <f>IFERROR(__xludf.DUMMYFUNCTION("GOOGLETRANSLATE(B223, ""en"", ""kn"")"),"ಒಟ್ಟು ಆನ್‌ಲೈನ್ ಗಂಟೆಗಳು")</f>
        <v>ಒಟ್ಟು ಆನ್‌ಲೈನ್ ಗಂಟೆಗಳು</v>
      </c>
      <c r="F223" s="7" t="str">
        <f>IFERROR(__xludf.DUMMYFUNCTION("GOOGLETRANSLATE(B223, ""en"", ""ml"")"),"ആകെ ഓൺലൈൻ മണിക്കൂറുകൾ")</f>
        <v>ആകെ ഓൺലൈൻ മണിക്കൂറുകൾ</v>
      </c>
      <c r="G223" s="7" t="str">
        <f>IFERROR(__xludf.DUMMYFUNCTION("GOOGLETRANSLATE(B223, ""en"", ""te"")"),"మొత్తం ఆన్‌లైన్ గంటలు")</f>
        <v>మొత్తం ఆన్‌లైన్ గంటలు</v>
      </c>
    </row>
    <row r="224">
      <c r="A224" s="4" t="s">
        <v>437</v>
      </c>
      <c r="B224" s="5" t="s">
        <v>438</v>
      </c>
      <c r="C224" s="6" t="str">
        <f>IFERROR(__xludf.DUMMYFUNCTION("GOOGLETRANSLATE(B224, ""en"", ""ta"")"),"செலுத்தப்பட்ட தொகை")</f>
        <v>செலுத்தப்பட்ட தொகை</v>
      </c>
      <c r="D224" s="6" t="str">
        <f>IFERROR(__xludf.DUMMYFUNCTION("GOOGLETRANSLATE(B224, ""en"", ""hi"")"),"चुकाई गई राशि")</f>
        <v>चुकाई गई राशि</v>
      </c>
      <c r="E224" s="6" t="str">
        <f>IFERROR(__xludf.DUMMYFUNCTION("GOOGLETRANSLATE(B224, ""en"", ""kn"")"),"ಪಾವತಿಸಿದ ಮೊತ್ತ")</f>
        <v>ಪಾವತಿಸಿದ ಮೊತ್ತ</v>
      </c>
      <c r="F224" s="7" t="str">
        <f>IFERROR(__xludf.DUMMYFUNCTION("GOOGLETRANSLATE(B224, ""en"", ""ml"")"),"അടച്ച തുക")</f>
        <v>അടച്ച തുക</v>
      </c>
      <c r="G224" s="7" t="str">
        <f>IFERROR(__xludf.DUMMYFUNCTION("GOOGLETRANSLATE(B224, ""en"", ""te"")"),"చెల్లించిన మొత్తం")</f>
        <v>చెల్లించిన మొత్తం</v>
      </c>
    </row>
    <row r="225">
      <c r="A225" s="4" t="s">
        <v>439</v>
      </c>
      <c r="B225" s="5" t="s">
        <v>440</v>
      </c>
      <c r="C225" s="6" t="str">
        <f>IFERROR(__xludf.DUMMYFUNCTION("GOOGLETRANSLATE(B225, ""en"", ""ta"")"),"நிலுவைத் தொகை")</f>
        <v>நிலுவைத் தொகை</v>
      </c>
      <c r="D225" s="6" t="str">
        <f>IFERROR(__xludf.DUMMYFUNCTION("GOOGLETRANSLATE(B225, ""en"", ""hi"")"),"बकाया राशि")</f>
        <v>बकाया राशि</v>
      </c>
      <c r="E225" s="6" t="str">
        <f>IFERROR(__xludf.DUMMYFUNCTION("GOOGLETRANSLATE(B225, ""en"", ""kn"")"),"ಬಾಕಿ ಮೊತ್ತ")</f>
        <v>ಬಾಕಿ ಮೊತ್ತ</v>
      </c>
      <c r="F225" s="7" t="str">
        <f>IFERROR(__xludf.DUMMYFUNCTION("GOOGLETRANSLATE(B225, ""en"", ""ml"")"),"കുടിശ്ശിക തുക")</f>
        <v>കുടിശ്ശിക തുക</v>
      </c>
      <c r="G225" s="7" t="str">
        <f>IFERROR(__xludf.DUMMYFUNCTION("GOOGLETRANSLATE(B225, ""en"", ""te"")"),"బకాయి మొత్తం")</f>
        <v>బకాయి మొత్తం</v>
      </c>
    </row>
    <row r="226">
      <c r="A226" s="4" t="s">
        <v>441</v>
      </c>
      <c r="B226" s="5" t="s">
        <v>442</v>
      </c>
      <c r="C226" s="6" t="str">
        <f>IFERROR(__xludf.DUMMYFUNCTION("GOOGLETRANSLATE(B226, ""en"", ""ta"")"),"மொத்த வருவாய்")</f>
        <v>மொத்த வருவாய்</v>
      </c>
      <c r="D226" s="6" t="str">
        <f>IFERROR(__xludf.DUMMYFUNCTION("GOOGLETRANSLATE(B226, ""en"", ""hi"")"),"कुल कमाई")</f>
        <v>कुल कमाई</v>
      </c>
      <c r="E226" s="6" t="str">
        <f>IFERROR(__xludf.DUMMYFUNCTION("GOOGLETRANSLATE(B226, ""en"", ""kn"")"),"ಒಟ್ಟು ಗಳಿಕೆಗಳು")</f>
        <v>ಒಟ್ಟು ಗಳಿಕೆಗಳು</v>
      </c>
      <c r="F226" s="7" t="str">
        <f>IFERROR(__xludf.DUMMYFUNCTION("GOOGLETRANSLATE(B226, ""en"", ""ml"")"),"ആകെ വരുമാനം")</f>
        <v>ആകെ വരുമാനം</v>
      </c>
      <c r="G226" s="7" t="str">
        <f>IFERROR(__xludf.DUMMYFUNCTION("GOOGLETRANSLATE(B226, ""en"", ""te"")"),"మొత్తం ఆదాయాలు")</f>
        <v>మొత్తం ఆదాయాలు</v>
      </c>
    </row>
    <row r="227">
      <c r="A227" s="4" t="s">
        <v>443</v>
      </c>
      <c r="B227" s="5" t="s">
        <v>444</v>
      </c>
      <c r="C227" s="6" t="str">
        <f>IFERROR(__xludf.DUMMYFUNCTION("GOOGLETRANSLATE(B227, ""en"", ""ta"")"),"நிலுவைத் தொகையைச் செலுத்துங்கள்")</f>
        <v>நிலுவைத் தொகையைச் செலுத்துங்கள்</v>
      </c>
      <c r="D227" s="6" t="str">
        <f>IFERROR(__xludf.DUMMYFUNCTION("GOOGLETRANSLATE(B227, ""en"", ""hi"")"),"देय राशि का भुगतान करें")</f>
        <v>देय राशि का भुगतान करें</v>
      </c>
      <c r="E227" s="6" t="str">
        <f>IFERROR(__xludf.DUMMYFUNCTION("GOOGLETRANSLATE(B227, ""en"", ""kn"")"),"ಬಾಕಿ ಮೊತ್ತವನ್ನು ಪಾವತಿಸಿ")</f>
        <v>ಬಾಕಿ ಮೊತ್ತವನ್ನು ಪಾವತಿಸಿ</v>
      </c>
      <c r="F227" s="7" t="str">
        <f>IFERROR(__xludf.DUMMYFUNCTION("GOOGLETRANSLATE(B227, ""en"", ""ml"")"),"കുടിശ്ശിക തുക അടയ്ക്കുക")</f>
        <v>കുടിശ്ശിക തുക അടയ്ക്കുക</v>
      </c>
      <c r="G227" s="7" t="str">
        <f>IFERROR(__xludf.DUMMYFUNCTION("GOOGLETRANSLATE(B227, ""en"", ""te"")"),"బకాయి మొత్తాన్ని చెల్లించండి")</f>
        <v>బకాయి మొత్తాన్ని చెల్లించండి</v>
      </c>
    </row>
    <row r="228">
      <c r="A228" s="4" t="s">
        <v>445</v>
      </c>
      <c r="B228" s="5" t="s">
        <v>446</v>
      </c>
      <c r="C228" s="6" t="str">
        <f>IFERROR(__xludf.DUMMYFUNCTION("GOOGLETRANSLATE(B228, ""en"", ""ta"")"),"அடுத்த நிலுவைத் தேதி")</f>
        <v>அடுத்த நிலுவைத் தேதி</v>
      </c>
      <c r="D228" s="6" t="str">
        <f>IFERROR(__xludf.DUMMYFUNCTION("GOOGLETRANSLATE(B228, ""en"", ""hi"")"),"अगली नियत तिथि")</f>
        <v>अगली नियत तिथि</v>
      </c>
      <c r="E228" s="6" t="str">
        <f>IFERROR(__xludf.DUMMYFUNCTION("GOOGLETRANSLATE(B228, ""en"", ""kn"")"),"ಮುಂದಿನ ಅಂತಿಮ ದಿನಾಂಕ")</f>
        <v>ಮುಂದಿನ ಅಂತಿಮ ದಿನಾಂಕ</v>
      </c>
      <c r="F228" s="7" t="str">
        <f>IFERROR(__xludf.DUMMYFUNCTION("GOOGLETRANSLATE(B228, ""en"", ""ml"")"),"അടുത്ത അവസാന തീയതി")</f>
        <v>അടുത്ത അവസാന തീയതി</v>
      </c>
      <c r="G228" s="7" t="str">
        <f>IFERROR(__xludf.DUMMYFUNCTION("GOOGLETRANSLATE(B228, ""en"", ""te"")"),"తదుపరి గడువు తేదీ")</f>
        <v>తదుపరి గడువు తేదీ</v>
      </c>
    </row>
    <row r="229">
      <c r="A229" s="4" t="s">
        <v>447</v>
      </c>
      <c r="B229" s="5" t="s">
        <v>448</v>
      </c>
      <c r="C229" s="6" t="str">
        <f>IFERROR(__xludf.DUMMYFUNCTION("GOOGLETRANSLATE(B229, ""en"", ""ta"")"),"இப்போதே பணம் செலுத்துங்கள்")</f>
        <v>இப்போதே பணம் செலுத்துங்கள்</v>
      </c>
      <c r="D229" s="6" t="str">
        <f>IFERROR(__xludf.DUMMYFUNCTION("GOOGLETRANSLATE(B229, ""en"", ""hi"")"),"अब भुगतान करें")</f>
        <v>अब भुगतान करें</v>
      </c>
      <c r="E229" s="6" t="str">
        <f>IFERROR(__xludf.DUMMYFUNCTION("GOOGLETRANSLATE(B229, ""en"", ""kn"")"),"ಈಗಲೇ ಪಾವತಿಸಿ")</f>
        <v>ಈಗಲೇ ಪಾವತಿಸಿ</v>
      </c>
      <c r="F229" s="7" t="str">
        <f>IFERROR(__xludf.DUMMYFUNCTION("GOOGLETRANSLATE(B229, ""en"", ""ml"")"),"ഇപ്പോൾ പണമടയ്‌ക്കുക")</f>
        <v>ഇപ്പോൾ പണമടയ്‌ക്കുക</v>
      </c>
      <c r="G229" s="7" t="str">
        <f>IFERROR(__xludf.DUMMYFUNCTION("GOOGLETRANSLATE(B229, ""en"", ""te"")"),"ఇప్పుడే చెల్లించండి")</f>
        <v>ఇప్పుడే చెల్లించండి</v>
      </c>
    </row>
    <row r="230">
      <c r="A230" s="4" t="s">
        <v>387</v>
      </c>
      <c r="B230" s="5" t="s">
        <v>388</v>
      </c>
      <c r="C230" s="6" t="str">
        <f>IFERROR(__xludf.DUMMYFUNCTION("GOOGLETRANSLATE(B230, ""en"", ""ta"")"),"வருவாய்")</f>
        <v>வருவாய்</v>
      </c>
      <c r="D230" s="6" t="str">
        <f>IFERROR(__xludf.DUMMYFUNCTION("GOOGLETRANSLATE(B230, ""en"", ""hi"")"),"आय")</f>
        <v>आय</v>
      </c>
      <c r="E230" s="6" t="str">
        <f>IFERROR(__xludf.DUMMYFUNCTION("GOOGLETRANSLATE(B230, ""en"", ""kn"")"),"ಗಳಿಕೆಗಳು")</f>
        <v>ಗಳಿಕೆಗಳು</v>
      </c>
      <c r="F230" s="7" t="str">
        <f>IFERROR(__xludf.DUMMYFUNCTION("GOOGLETRANSLATE(B230, ""en"", ""ml"")"),"വരുമാനം")</f>
        <v>വരുമാനം</v>
      </c>
      <c r="G230" s="7" t="str">
        <f>IFERROR(__xludf.DUMMYFUNCTION("GOOGLETRANSLATE(B230, ""en"", ""te"")"),"ఆదాయాలు")</f>
        <v>ఆదాయాలు</v>
      </c>
    </row>
    <row r="231">
      <c r="A231" s="4" t="s">
        <v>449</v>
      </c>
      <c r="B231" s="5" t="s">
        <v>450</v>
      </c>
      <c r="C231" s="6" t="str">
        <f>IFERROR(__xludf.DUMMYFUNCTION("GOOGLETRANSLATE(B231, ""en"", ""ta"")"),"பரிவர்த்தனைகள்")</f>
        <v>பரிவர்த்தனைகள்</v>
      </c>
      <c r="D231" s="6" t="str">
        <f>IFERROR(__xludf.DUMMYFUNCTION("GOOGLETRANSLATE(B231, ""en"", ""hi"")"),"लेनदेन")</f>
        <v>लेनदेन</v>
      </c>
      <c r="E231" s="6" t="str">
        <f>IFERROR(__xludf.DUMMYFUNCTION("GOOGLETRANSLATE(B231, ""en"", ""kn"")"),"ವಹಿವಾಟುಗಳು")</f>
        <v>ವಹಿವಾಟುಗಳು</v>
      </c>
      <c r="F231" s="7" t="str">
        <f>IFERROR(__xludf.DUMMYFUNCTION("GOOGLETRANSLATE(B231, ""en"", ""ml"")"),"ഇടപാടുകൾ")</f>
        <v>ഇടപാടുകൾ</v>
      </c>
      <c r="G231" s="7" t="str">
        <f>IFERROR(__xludf.DUMMYFUNCTION("GOOGLETRANSLATE(B231, ""en"", ""te"")"),"లావాదేవీలు")</f>
        <v>లావాదేవీలు</v>
      </c>
    </row>
    <row r="232">
      <c r="A232" s="4" t="s">
        <v>103</v>
      </c>
      <c r="B232" s="5" t="s">
        <v>104</v>
      </c>
      <c r="C232" s="6" t="str">
        <f>IFERROR(__xludf.DUMMYFUNCTION("GOOGLETRANSLATE(B232, ""en"", ""ta"")"),"வாகன வகை")</f>
        <v>வாகன வகை</v>
      </c>
      <c r="D232" s="6" t="str">
        <f>IFERROR(__xludf.DUMMYFUNCTION("GOOGLETRANSLATE(B232, ""en"", ""hi"")"),"वाहन का प्रकार")</f>
        <v>वाहन का प्रकार</v>
      </c>
      <c r="E232" s="6" t="str">
        <f>IFERROR(__xludf.DUMMYFUNCTION("GOOGLETRANSLATE(B232, ""en"", ""kn"")"),"ವಾಹನದ ಪ್ರಕಾರ")</f>
        <v>ವಾಹನದ ಪ್ರಕಾರ</v>
      </c>
      <c r="F232" s="7" t="str">
        <f>IFERROR(__xludf.DUMMYFUNCTION("GOOGLETRANSLATE(B232, ""en"", ""ml"")"),"വാഹന തരം")</f>
        <v>വാഹന തരം</v>
      </c>
      <c r="G232" s="7" t="str">
        <f>IFERROR(__xludf.DUMMYFUNCTION("GOOGLETRANSLATE(B232, ""en"", ""te"")"),"వాహన రకం")</f>
        <v>వాహన రకం</v>
      </c>
    </row>
    <row r="233">
      <c r="A233" s="4" t="s">
        <v>451</v>
      </c>
      <c r="B233" s="5" t="s">
        <v>452</v>
      </c>
      <c r="C233" s="6" t="str">
        <f>IFERROR(__xludf.DUMMYFUNCTION("GOOGLETRANSLATE(B233, ""en"", ""ta"")"),"பயணிகள் கட்டணம்")</f>
        <v>பயணிகள் கட்டணம்</v>
      </c>
      <c r="D233" s="6" t="str">
        <f>IFERROR(__xludf.DUMMYFUNCTION("GOOGLETRANSLATE(B233, ""en"", ""hi"")"),"यात्री भुगतान")</f>
        <v>यात्री भुगतान</v>
      </c>
      <c r="E233" s="6" t="str">
        <f>IFERROR(__xludf.DUMMYFUNCTION("GOOGLETRANSLATE(B233, ""en"", ""kn"")"),"ಪ್ಯಾಸೆಂಜರ್ ಪಾವತಿ")</f>
        <v>ಪ್ಯಾಸೆಂಜರ್ ಪಾವತಿ</v>
      </c>
      <c r="F233" s="7" t="str">
        <f>IFERROR(__xludf.DUMMYFUNCTION("GOOGLETRANSLATE(B233, ""en"", ""ml"")"),"പാസഞ്ചർ പേയ്‌മെന്റ്")</f>
        <v>പാസഞ്ചർ പേയ്‌മെന്റ്</v>
      </c>
      <c r="G233" s="7" t="str">
        <f>IFERROR(__xludf.DUMMYFUNCTION("GOOGLETRANSLATE(B233, ""en"", ""te"")"),"ప్యాసింజర్ చెల్లింపు")</f>
        <v>ప్యాసింజర్ చెల్లింపు</v>
      </c>
    </row>
    <row r="234">
      <c r="A234" s="4" t="s">
        <v>453</v>
      </c>
      <c r="B234" s="5" t="s">
        <v>454</v>
      </c>
      <c r="C234" s="6" t="str">
        <f>IFERROR(__xludf.DUMMYFUNCTION("GOOGLETRANSLATE(B234, ""en"", ""ta"")"),"நிலுவைத் தொகை")</f>
        <v>நிலுவைத் தொகை</v>
      </c>
      <c r="D234" s="6" t="str">
        <f>IFERROR(__xludf.DUMMYFUNCTION("GOOGLETRANSLATE(B234, ""en"", ""hi"")"),"नियत स्थिति")</f>
        <v>नियत स्थिति</v>
      </c>
      <c r="E234" s="6" t="str">
        <f>IFERROR(__xludf.DUMMYFUNCTION("GOOGLETRANSLATE(B234, ""en"", ""kn"")"),"ಬಾಕಿ ಸ್ಥಿತಿ")</f>
        <v>ಬಾಕಿ ಸ್ಥಿತಿ</v>
      </c>
      <c r="F234" s="7" t="str">
        <f>IFERROR(__xludf.DUMMYFUNCTION("GOOGLETRANSLATE(B234, ""en"", ""ml"")"),"ഡ്യൂ സ്റ്റാറ്റസ്")</f>
        <v>ഡ്യൂ സ്റ്റാറ്റസ്</v>
      </c>
      <c r="G234" s="7" t="str">
        <f>IFERROR(__xludf.DUMMYFUNCTION("GOOGLETRANSLATE(B234, ""en"", ""te"")"),"గడువు స్థితి")</f>
        <v>గడువు స్థితి</v>
      </c>
    </row>
    <row r="235">
      <c r="A235" s="4" t="s">
        <v>455</v>
      </c>
      <c r="B235" s="5" t="s">
        <v>456</v>
      </c>
      <c r="C235" s="6" t="str">
        <f>IFERROR(__xludf.DUMMYFUNCTION("GOOGLETRANSLATE(B235, ""en"", ""ta"")"),"கூடுதல் கட்டணங்களை ஏற்றுகிறது...")</f>
        <v>கூடுதல் கட்டணங்களை ஏற்றுகிறது...</v>
      </c>
      <c r="D235" s="6" t="str">
        <f>IFERROR(__xludf.DUMMYFUNCTION("GOOGLETRANSLATE(B235, ""en"", ""hi"")"),"और भुगतान लोड हो रहे हैं...")</f>
        <v>और भुगतान लोड हो रहे हैं...</v>
      </c>
      <c r="E235" s="6" t="str">
        <f>IFERROR(__xludf.DUMMYFUNCTION("GOOGLETRANSLATE(B235, ""en"", ""kn"")"),"ಇನ್ನಷ್ಟು ಪಾವತಿಗಳನ್ನು ಲೋಡ್ ಮಾಡಲಾಗುತ್ತಿದೆ...")</f>
        <v>ಇನ್ನಷ್ಟು ಪಾವತಿಗಳನ್ನು ಲೋಡ್ ಮಾಡಲಾಗುತ್ತಿದೆ...</v>
      </c>
      <c r="F235" s="7" t="str">
        <f>IFERROR(__xludf.DUMMYFUNCTION("GOOGLETRANSLATE(B235, ""en"", ""ml"")"),"കൂടുതൽ പേയ്‌മെന്റുകൾ ലോഡ് ചെയ്യുന്നു...")</f>
        <v>കൂടുതൽ പേയ്‌മെന്റുകൾ ലോഡ് ചെയ്യുന്നു...</v>
      </c>
      <c r="G235" s="7" t="str">
        <f>IFERROR(__xludf.DUMMYFUNCTION("GOOGLETRANSLATE(B235, ""en"", ""te"")"),"మరిన్ని చెల్లింపులు లోడ్ అవుతున్నాయి...")</f>
        <v>మరిన్ని చెల్లింపులు లోడ్ అవుతున్నాయి...</v>
      </c>
    </row>
    <row r="236">
      <c r="A236" s="4" t="s">
        <v>457</v>
      </c>
      <c r="B236" s="5" t="s">
        <v>458</v>
      </c>
      <c r="C236" s="6" t="str">
        <f>IFERROR(__xludf.DUMMYFUNCTION("GOOGLETRANSLATE(B236, ""en"", ""ta"")"),"பணம் எதுவும் கிடைக்கவில்லை.")</f>
        <v>பணம் எதுவும் கிடைக்கவில்லை.</v>
      </c>
      <c r="D236" s="6" t="str">
        <f>IFERROR(__xludf.DUMMYFUNCTION("GOOGLETRANSLATE(B236, ""en"", ""hi"")"),"कोई भुगतान नहीं मिला")</f>
        <v>कोई भुगतान नहीं मिला</v>
      </c>
      <c r="E236" s="6" t="str">
        <f>IFERROR(__xludf.DUMMYFUNCTION("GOOGLETRANSLATE(B236, ""en"", ""kn"")"),"ಯಾವುದೇ ಪಾವತಿಗಳು ಕಂಡುಬಂದಿಲ್ಲ.")</f>
        <v>ಯಾವುದೇ ಪಾವತಿಗಳು ಕಂಡುಬಂದಿಲ್ಲ.</v>
      </c>
      <c r="F236" s="7" t="str">
        <f>IFERROR(__xludf.DUMMYFUNCTION("GOOGLETRANSLATE(B236, ""en"", ""ml"")"),"പേയ്‌മെന്റുകളൊന്നും കണ്ടെത്തിയില്ല")</f>
        <v>പേയ്‌മെന്റുകളൊന്നും കണ്ടെത്തിയില്ല</v>
      </c>
      <c r="G236" s="7" t="str">
        <f>IFERROR(__xludf.DUMMYFUNCTION("GOOGLETRANSLATE(B236, ""en"", ""te"")"),"చెల్లింపులు ఏవీ కనుగొనబడలేదు")</f>
        <v>చెల్లింపులు ఏవీ కనుగొనబడలేదు</v>
      </c>
    </row>
    <row r="237">
      <c r="A237" s="4" t="s">
        <v>459</v>
      </c>
      <c r="B237" s="5" t="s">
        <v>460</v>
      </c>
      <c r="C237" s="6" t="str">
        <f>IFERROR(__xludf.DUMMYFUNCTION("GOOGLETRANSLATE(B237, ""en"", ""ta"")"),"தேர்ந்தெடுத்த தேதி வரம்பிற்கு இன்னும் உங்களுக்கு எந்தப் பணப் பரிமாற்றமும் கிடைக்கவில்லை.")</f>
        <v>தேர்ந்தெடுத்த தேதி வரம்பிற்கு இன்னும் உங்களுக்கு எந்தப் பணப் பரிமாற்றமும் கிடைக்கவில்லை.</v>
      </c>
      <c r="D237" s="6" t="str">
        <f>IFERROR(__xludf.DUMMYFUNCTION("GOOGLETRANSLATE(B237, ""en"", ""hi"")"),"चुनी गई तिथि सीमा के लिए आपको अभी तक कोई भुगतान प्राप्त नहीं हुआ है।")</f>
        <v>चुनी गई तिथि सीमा के लिए आपको अभी तक कोई भुगतान प्राप्त नहीं हुआ है।</v>
      </c>
      <c r="E237" s="6" t="str">
        <f>IFERROR(__xludf.DUMMYFUNCTION("GOOGLETRANSLATE(B237, ""en"", ""kn"")"),"ಆಯ್ಕೆ ಮಾಡಿದ ದಿನಾಂಕ ಶ್ರೇಣಿಗೆ ನೀವು ಇನ್ನೂ ಯಾವುದೇ ಪಾವತಿಗಳನ್ನು ಸ್ವೀಕರಿಸಿಲ್ಲ.")</f>
        <v>ಆಯ್ಕೆ ಮಾಡಿದ ದಿನಾಂಕ ಶ್ರೇಣಿಗೆ ನೀವು ಇನ್ನೂ ಯಾವುದೇ ಪಾವತಿಗಳನ್ನು ಸ್ವೀಕರಿಸಿಲ್ಲ.</v>
      </c>
      <c r="F237" s="7" t="str">
        <f>IFERROR(__xludf.DUMMYFUNCTION("GOOGLETRANSLATE(B237, ""en"", ""ml"")"),"തിരഞ്ഞെടുത്ത തീയതി ശ്രേണിയിൽ നിങ്ങൾക്ക് ഇതുവരെ പേയ്‌മെന്റുകളൊന്നും ലഭിച്ചിട്ടില്ല.")</f>
        <v>തിരഞ്ഞെടുത്ത തീയതി ശ്രേണിയിൽ നിങ്ങൾക്ക് ഇതുവരെ പേയ്‌മെന്റുകളൊന്നും ലഭിച്ചിട്ടില്ല.</v>
      </c>
      <c r="G237" s="7" t="str">
        <f>IFERROR(__xludf.DUMMYFUNCTION("GOOGLETRANSLATE(B237, ""en"", ""te"")"),"ఎంచుకున్న తేదీ పరిధికి మీకు ఇంకా చెల్లింపులు రాలేదు.")</f>
        <v>ఎంచుకున్న తేదీ పరిధికి మీకు ఇంకా చెల్లింపులు రాలేదు.</v>
      </c>
    </row>
    <row r="238">
      <c r="A238" s="4" t="s">
        <v>461</v>
      </c>
      <c r="B238" s="5" t="s">
        <v>462</v>
      </c>
      <c r="C238" s="6" t="str">
        <f>IFERROR(__xludf.DUMMYFUNCTION("GOOGLETRANSLATE(B238, ""en"", ""ta"")"),"தொகை")</f>
        <v>தொகை</v>
      </c>
      <c r="D238" s="6" t="str">
        <f>IFERROR(__xludf.DUMMYFUNCTION("GOOGLETRANSLATE(B238, ""en"", ""hi"")"),"मात्रा")</f>
        <v>मात्रा</v>
      </c>
      <c r="E238" s="6" t="str">
        <f>IFERROR(__xludf.DUMMYFUNCTION("GOOGLETRANSLATE(B238, ""en"", ""kn"")"),"ಮೊತ್ತ")</f>
        <v>ಮೊತ್ತ</v>
      </c>
      <c r="F238" s="7" t="str">
        <f>IFERROR(__xludf.DUMMYFUNCTION("GOOGLETRANSLATE(B238, ""en"", ""ml"")"),"തുക")</f>
        <v>തുക</v>
      </c>
      <c r="G238" s="7" t="str">
        <f>IFERROR(__xludf.DUMMYFUNCTION("GOOGLETRANSLATE(B238, ""en"", ""te"")"),"మొత్తం")</f>
        <v>మొత్తం</v>
      </c>
    </row>
    <row r="239">
      <c r="A239" s="4" t="s">
        <v>463</v>
      </c>
      <c r="B239" s="5" t="s">
        <v>464</v>
      </c>
      <c r="C239" s="6" t="str">
        <f>IFERROR(__xludf.DUMMYFUNCTION("GOOGLETRANSLATE(B239, ""en"", ""ta"")"),"நாணயம்")</f>
        <v>நாணயம்</v>
      </c>
      <c r="D239" s="6" t="str">
        <f>IFERROR(__xludf.DUMMYFUNCTION("GOOGLETRANSLATE(B239, ""en"", ""hi"")"),"मुद्रा")</f>
        <v>मुद्रा</v>
      </c>
      <c r="E239" s="6" t="str">
        <f>IFERROR(__xludf.DUMMYFUNCTION("GOOGLETRANSLATE(B239, ""en"", ""kn"")"),"ಕರೆನ್ಸಿ")</f>
        <v>ಕರೆನ್ಸಿ</v>
      </c>
      <c r="F239" s="7" t="str">
        <f>IFERROR(__xludf.DUMMYFUNCTION("GOOGLETRANSLATE(B239, ""en"", ""ml"")"),"കറൻസി")</f>
        <v>കറൻസി</v>
      </c>
      <c r="G239" s="7" t="str">
        <f>IFERROR(__xludf.DUMMYFUNCTION("GOOGLETRANSLATE(B239, ""en"", ""te"")"),"కరెన్సీ")</f>
        <v>కరెన్సీ</v>
      </c>
    </row>
    <row r="240">
      <c r="A240" s="4" t="s">
        <v>465</v>
      </c>
      <c r="B240" s="5" t="s">
        <v>466</v>
      </c>
      <c r="C240" s="6" t="str">
        <f>IFERROR(__xludf.DUMMYFUNCTION("GOOGLETRANSLATE(B240, ""en"", ""ta"")"),"கட்டண ஐடி")</f>
        <v>கட்டண ஐடி</v>
      </c>
      <c r="D240" s="6" t="str">
        <f>IFERROR(__xludf.DUMMYFUNCTION("GOOGLETRANSLATE(B240, ""en"", ""hi"")"),"भुगतान आईडी")</f>
        <v>भुगतान आईडी</v>
      </c>
      <c r="E240" s="6" t="str">
        <f>IFERROR(__xludf.DUMMYFUNCTION("GOOGLETRANSLATE(B240, ""en"", ""kn"")"),"ಪಾವತಿ ಐಡಿ")</f>
        <v>ಪಾವತಿ ಐಡಿ</v>
      </c>
      <c r="F240" s="7" t="str">
        <f>IFERROR(__xludf.DUMMYFUNCTION("GOOGLETRANSLATE(B240, ""en"", ""ml"")"),"പേയ്‌മെന്റ് ഐഡി")</f>
        <v>പേയ്‌മെന്റ് ഐഡി</v>
      </c>
      <c r="G240" s="7" t="str">
        <f>IFERROR(__xludf.DUMMYFUNCTION("GOOGLETRANSLATE(B240, ""en"", ""te"")"),"చెల్లింపు ఐడి")</f>
        <v>చెల్లింపు ఐడి</v>
      </c>
    </row>
    <row r="241">
      <c r="A241" s="4" t="s">
        <v>467</v>
      </c>
      <c r="B241" s="5" t="s">
        <v>468</v>
      </c>
      <c r="C241" s="6" t="str">
        <f>IFERROR(__xludf.DUMMYFUNCTION("GOOGLETRANSLATE(B241, ""en"", ""ta"")"),"ரசீது")</f>
        <v>ரசீது</v>
      </c>
      <c r="D241" s="6" t="str">
        <f>IFERROR(__xludf.DUMMYFUNCTION("GOOGLETRANSLATE(B241, ""en"", ""hi"")"),"रसीद")</f>
        <v>रसीद</v>
      </c>
      <c r="E241" s="6" t="str">
        <f>IFERROR(__xludf.DUMMYFUNCTION("GOOGLETRANSLATE(B241, ""en"", ""kn"")"),"ರಶೀದಿ")</f>
        <v>ರಶೀದಿ</v>
      </c>
      <c r="F241" s="7" t="str">
        <f>IFERROR(__xludf.DUMMYFUNCTION("GOOGLETRANSLATE(B241, ""en"", ""ml"")"),"രസീത്")</f>
        <v>രസീത്</v>
      </c>
      <c r="G241" s="7" t="str">
        <f>IFERROR(__xludf.DUMMYFUNCTION("GOOGLETRANSLATE(B241, ""en"", ""te"")"),"రసీదు")</f>
        <v>రసీదు</v>
      </c>
    </row>
    <row r="242">
      <c r="A242" s="4" t="s">
        <v>469</v>
      </c>
      <c r="B242" s="5" t="s">
        <v>470</v>
      </c>
      <c r="C242" s="6" t="str">
        <f>IFERROR(__xludf.DUMMYFUNCTION("GOOGLETRANSLATE(B242, ""en"", ""ta"")"),"மேலும் பரிவர்த்தனைகளை ஏற்றுகிறது...")</f>
        <v>மேலும் பரிவர்த்தனைகளை ஏற்றுகிறது...</v>
      </c>
      <c r="D242" s="6" t="str">
        <f>IFERROR(__xludf.DUMMYFUNCTION("GOOGLETRANSLATE(B242, ""en"", ""hi"")"),"और लेन-देन लोड हो रहे हैं...")</f>
        <v>और लेन-देन लोड हो रहे हैं...</v>
      </c>
      <c r="E242" s="6" t="str">
        <f>IFERROR(__xludf.DUMMYFUNCTION("GOOGLETRANSLATE(B242, ""en"", ""kn"")"),"ಹೆಚ್ಚಿನ ವಹಿವಾಟುಗಳನ್ನು ಲೋಡ್ ಮಾಡಲಾಗುತ್ತಿದೆ...")</f>
        <v>ಹೆಚ್ಚಿನ ವಹಿವಾಟುಗಳನ್ನು ಲೋಡ್ ಮಾಡಲಾಗುತ್ತಿದೆ...</v>
      </c>
      <c r="F242" s="7" t="str">
        <f>IFERROR(__xludf.DUMMYFUNCTION("GOOGLETRANSLATE(B242, ""en"", ""ml"")"),"കൂടുതൽ ഇടപാടുകൾ ലോഡ് ചെയ്യുന്നു...")</f>
        <v>കൂടുതൽ ഇടപാടുകൾ ലോഡ് ചെയ്യുന്നു...</v>
      </c>
      <c r="G242" s="7" t="str">
        <f>IFERROR(__xludf.DUMMYFUNCTION("GOOGLETRANSLATE(B242, ""en"", ""te"")"),"మరిన్ని లావాదేవీలను లోడ్ చేస్తోంది...")</f>
        <v>మరిన్ని లావాదేవీలను లోడ్ చేస్తోంది...</v>
      </c>
    </row>
    <row r="243">
      <c r="A243" s="4" t="s">
        <v>471</v>
      </c>
      <c r="B243" s="5" t="s">
        <v>472</v>
      </c>
      <c r="C243" s="6" t="str">
        <f>IFERROR(__xludf.DUMMYFUNCTION("GOOGLETRANSLATE(B243, ""en"", ""ta"")"),"எந்தப் பரிவர்த்தனைகளும் இல்லை.")</f>
        <v>எந்தப் பரிவர்த்தனைகளும் இல்லை.</v>
      </c>
      <c r="D243" s="6" t="str">
        <f>IFERROR(__xludf.DUMMYFUNCTION("GOOGLETRANSLATE(B243, ""en"", ""hi"")"),"कोई परिणाम नहीं मिले")</f>
        <v>कोई परिणाम नहीं मिले</v>
      </c>
      <c r="E243" s="6" t="str">
        <f>IFERROR(__xludf.DUMMYFUNCTION("GOOGLETRANSLATE(B243, ""en"", ""kn"")"),"ಯಾವುದೇ ವಹಿವಾಟುಗಳು ಕಂಡುಬಂದಿಲ್ಲ.")</f>
        <v>ಯಾವುದೇ ವಹಿವಾಟುಗಳು ಕಂಡುಬಂದಿಲ್ಲ.</v>
      </c>
      <c r="F243" s="7" t="str">
        <f>IFERROR(__xludf.DUMMYFUNCTION("GOOGLETRANSLATE(B243, ""en"", ""ml"")"),"ഇടപാടുകളൊന്നും കണ്ടെത്തിയില്ല")</f>
        <v>ഇടപാടുകളൊന്നും കണ്ടെത്തിയില്ല</v>
      </c>
      <c r="G243" s="7" t="str">
        <f>IFERROR(__xludf.DUMMYFUNCTION("GOOGLETRANSLATE(B243, ""en"", ""te"")"),"లావాదేవీలు ఏవీ కనుగొనబడలేదు")</f>
        <v>లావాదేవీలు ఏవీ కనుగొనబడలేదు</v>
      </c>
    </row>
    <row r="244">
      <c r="A244" s="4" t="s">
        <v>473</v>
      </c>
      <c r="B244" s="5" t="s">
        <v>474</v>
      </c>
      <c r="C244" s="6" t="str">
        <f>IFERROR(__xludf.DUMMYFUNCTION("GOOGLETRANSLATE(B244, ""en"", ""ta"")"),"தேர்ந்தெடுத்த தேதி வரம்பிற்கு நீங்கள் இன்னும் எந்தப் பரிவர்த்தனைகளையும் செய்யவில்லை.")</f>
        <v>தேர்ந்தெடுத்த தேதி வரம்பிற்கு நீங்கள் இன்னும் எந்தப் பரிவர்த்தனைகளையும் செய்யவில்லை.</v>
      </c>
      <c r="D244" s="6" t="str">
        <f>IFERROR(__xludf.DUMMYFUNCTION("GOOGLETRANSLATE(B244, ""en"", ""hi"")"),"आपने चुनी गई तिथि सीमा के लिए अभी तक कोई लेन-देन नहीं किया है।")</f>
        <v>आपने चुनी गई तिथि सीमा के लिए अभी तक कोई लेन-देन नहीं किया है।</v>
      </c>
      <c r="E244" s="6" t="str">
        <f>IFERROR(__xludf.DUMMYFUNCTION("GOOGLETRANSLATE(B244, ""en"", ""kn"")"),"ಆಯ್ಕೆ ಮಾಡಿದ ದಿನಾಂಕ ವ್ಯಾಪ್ತಿಯಲ್ಲಿ ನೀವು ಇನ್ನೂ ಯಾವುದೇ ವಹಿವಾಟುಗಳನ್ನು ಮಾಡಿಲ್ಲ.")</f>
        <v>ಆಯ್ಕೆ ಮಾಡಿದ ದಿನಾಂಕ ವ್ಯಾಪ್ತಿಯಲ್ಲಿ ನೀವು ಇನ್ನೂ ಯಾವುದೇ ವಹಿವಾಟುಗಳನ್ನು ಮಾಡಿಲ್ಲ.</v>
      </c>
      <c r="F244" s="7" t="str">
        <f>IFERROR(__xludf.DUMMYFUNCTION("GOOGLETRANSLATE(B244, ""en"", ""ml"")"),"തിരഞ്ഞെടുത്ത തീയതി ശ്രേണിയിൽ നിങ്ങൾ ഇതുവരെ ഇടപാടുകളൊന്നും നടത്തിയിട്ടില്ല.")</f>
        <v>തിരഞ്ഞെടുത്ത തീയതി ശ്രേണിയിൽ നിങ്ങൾ ഇതുവരെ ഇടപാടുകളൊന്നും നടത്തിയിട്ടില്ല.</v>
      </c>
      <c r="G244" s="7" t="str">
        <f>IFERROR(__xludf.DUMMYFUNCTION("GOOGLETRANSLATE(B244, ""en"", ""te"")"),"ఎంచుకున్న తేదీ పరిధిలో మీరు ఇంకా ఎటువంటి లావాదేవీలు చేయలేదు.")</f>
        <v>ఎంచుకున్న తేదీ పరిధిలో మీరు ఇంకా ఎటువంటి లావాదేవీలు చేయలేదు.</v>
      </c>
    </row>
    <row r="245">
      <c r="A245" s="4" t="s">
        <v>475</v>
      </c>
      <c r="B245" s="5" t="s">
        <v>476</v>
      </c>
      <c r="C245" s="6" t="str">
        <f>IFERROR(__xludf.DUMMYFUNCTION("GOOGLETRANSLATE(B245, ""en"", ""ta"")"),"ஓட்டுநர் கட்டணம்")</f>
        <v>ஓட்டுநர் கட்டணம்</v>
      </c>
      <c r="D245" s="6" t="str">
        <f>IFERROR(__xludf.DUMMYFUNCTION("GOOGLETRANSLATE(B245, ""en"", ""hi"")"),"ड्राइवर के कारण")</f>
        <v>ड्राइवर के कारण</v>
      </c>
      <c r="E245" s="6" t="str">
        <f>IFERROR(__xludf.DUMMYFUNCTION("GOOGLETRANSLATE(B245, ""en"", ""kn"")"),"ಚಾಲಕ ಬಾಕಿ")</f>
        <v>ಚಾಲಕ ಬಾಕಿ</v>
      </c>
      <c r="F245" s="7" t="str">
        <f>IFERROR(__xludf.DUMMYFUNCTION("GOOGLETRANSLATE(B245, ""en"", ""ml"")"),"ഡ്രൈവർ ഡ്യൂ")</f>
        <v>ഡ്രൈവർ ഡ്യൂ</v>
      </c>
      <c r="G245" s="7" t="str">
        <f>IFERROR(__xludf.DUMMYFUNCTION("GOOGLETRANSLATE(B245, ""en"", ""te"")"),"డ్రైవర్ డ్యూ")</f>
        <v>డ్రైవర్ డ్యూ</v>
      </c>
    </row>
    <row r="246">
      <c r="A246" s="4" t="s">
        <v>477</v>
      </c>
      <c r="B246" s="5" t="s">
        <v>478</v>
      </c>
      <c r="C246" s="6" t="str">
        <f>IFERROR(__xludf.DUMMYFUNCTION("GOOGLETRANSLATE(B246, ""en"", ""ta"")"),"ஓட்டுநர் வருவாய்")</f>
        <v>ஓட்டுநர் வருவாய்</v>
      </c>
      <c r="D246" s="6" t="str">
        <f>IFERROR(__xludf.DUMMYFUNCTION("GOOGLETRANSLATE(B246, ""en"", ""hi"")"),"ड्राइवर की कमाई")</f>
        <v>ड्राइवर की कमाई</v>
      </c>
      <c r="E246" s="6" t="str">
        <f>IFERROR(__xludf.DUMMYFUNCTION("GOOGLETRANSLATE(B246, ""en"", ""kn"")"),"ಚಾಲಕ ಗಳಿಕೆ")</f>
        <v>ಚಾಲಕ ಗಳಿಕೆ</v>
      </c>
      <c r="F246" s="7" t="str">
        <f>IFERROR(__xludf.DUMMYFUNCTION("GOOGLETRANSLATE(B246, ""en"", ""ml"")"),"ഡ്രൈവർ വരുമാനം")</f>
        <v>ഡ്രൈവർ വരുമാനം</v>
      </c>
      <c r="G246" s="7" t="str">
        <f>IFERROR(__xludf.DUMMYFUNCTION("GOOGLETRANSLATE(B246, ""en"", ""te"")"),"డ్రైవర్ ఆదాయాలు")</f>
        <v>డ్రైవర్ ఆదాయాలు</v>
      </c>
    </row>
    <row r="247">
      <c r="A247" s="4" t="s">
        <v>479</v>
      </c>
      <c r="B247" s="5" t="s">
        <v>480</v>
      </c>
      <c r="C247" s="6" t="str">
        <f>IFERROR(__xludf.DUMMYFUNCTION("GOOGLETRANSLATE(B247, ""en"", ""ta"")"),"உள்நுழைந்த வாகன விவரங்கள்")</f>
        <v>உள்நுழைந்த வாகன விவரங்கள்</v>
      </c>
      <c r="D247" s="6" t="str">
        <f>IFERROR(__xludf.DUMMYFUNCTION("GOOGLETRANSLATE(B247, ""en"", ""hi"")"),"लॉग इन वाहन विवरण")</f>
        <v>लॉग इन वाहन विवरण</v>
      </c>
      <c r="E247" s="6" t="str">
        <f>IFERROR(__xludf.DUMMYFUNCTION("GOOGLETRANSLATE(B247, ""en"", ""kn"")"),"ಲಾಗಿನ್ ಆಗಿರುವ ವಾಹನದ ವಿವರಗಳು")</f>
        <v>ಲಾಗಿನ್ ಆಗಿರುವ ವಾಹನದ ವಿವರಗಳು</v>
      </c>
      <c r="F247" s="7" t="str">
        <f>IFERROR(__xludf.DUMMYFUNCTION("GOOGLETRANSLATE(B247, ""en"", ""ml"")"),"ലോഗിൻ ചെയ്ത വാഹന വിശദാംശങ്ങൾ")</f>
        <v>ലോഗിൻ ചെയ്ത വാഹന വിശദാംശങ്ങൾ</v>
      </c>
      <c r="G247" s="7" t="str">
        <f>IFERROR(__xludf.DUMMYFUNCTION("GOOGLETRANSLATE(B247, ""en"", ""te"")"),"లాగిన్ అయిన వాహన వివరాలు")</f>
        <v>లాగిన్ అయిన వాహన వివరాలు</v>
      </c>
    </row>
    <row r="248">
      <c r="A248" s="4" t="s">
        <v>481</v>
      </c>
      <c r="B248" s="5" t="s">
        <v>482</v>
      </c>
      <c r="C248" s="6" t="str">
        <f>IFERROR(__xludf.DUMMYFUNCTION("GOOGLETRANSLATE(B248, ""en"", ""ta"")"),"வாகனத்திலிருந்து வெளியேறு")</f>
        <v>வாகனத்திலிருந்து வெளியேறு</v>
      </c>
      <c r="D248" s="6" t="str">
        <f>IFERROR(__xludf.DUMMYFUNCTION("GOOGLETRANSLATE(B248, ""en"", ""hi"")"),"वाहन से लॉगआउट करें")</f>
        <v>वाहन से लॉगआउट करें</v>
      </c>
      <c r="E248" s="6" t="str">
        <f>IFERROR(__xludf.DUMMYFUNCTION("GOOGLETRANSLATE(B248, ""en"", ""kn"")"),"ವಾಹನದಿಂದ ಲಾಗ್ ಔಟ್ ಮಾಡಿ")</f>
        <v>ವಾಹನದಿಂದ ಲಾಗ್ ಔಟ್ ಮಾಡಿ</v>
      </c>
      <c r="F248" s="7" t="str">
        <f>IFERROR(__xludf.DUMMYFUNCTION("GOOGLETRANSLATE(B248, ""en"", ""ml"")"),"വാഹനത്തിൽ നിന്ന് ലോഗ്ഔട്ട് ചെയ്യുക")</f>
        <v>വാഹനത്തിൽ നിന്ന് ലോഗ്ഔട്ട് ചെയ്യുക</v>
      </c>
      <c r="G248" s="7" t="str">
        <f>IFERROR(__xludf.DUMMYFUNCTION("GOOGLETRANSLATE(B248, ""en"", ""te"")"),"వాహనం నుండి లాగ్ అవుట్ చేయండి")</f>
        <v>వాహనం నుండి లాగ్ అవుట్ చేయండి</v>
      </c>
    </row>
    <row r="249">
      <c r="A249" s="4" t="s">
        <v>483</v>
      </c>
      <c r="B249" s="5" t="s">
        <v>484</v>
      </c>
      <c r="C249" s="6" t="str">
        <f>IFERROR(__xludf.DUMMYFUNCTION("GOOGLETRANSLATE(B249, ""en"", ""ta"")"),"வாகனத்தைத் தேர்வுசெய்க")</f>
        <v>வாகனத்தைத் தேர்வுசெய்க</v>
      </c>
      <c r="D249" s="6" t="str">
        <f>IFERROR(__xludf.DUMMYFUNCTION("GOOGLETRANSLATE(B249, ""en"", ""hi"")"),"वाहन चुनें")</f>
        <v>वाहन चुनें</v>
      </c>
      <c r="E249" s="6" t="str">
        <f>IFERROR(__xludf.DUMMYFUNCTION("GOOGLETRANSLATE(B249, ""en"", ""kn"")"),"ವಾಹನವನ್ನು ಆರಿಸಿ")</f>
        <v>ವಾಹನವನ್ನು ಆರಿಸಿ</v>
      </c>
      <c r="F249" s="7" t="str">
        <f>IFERROR(__xludf.DUMMYFUNCTION("GOOGLETRANSLATE(B249, ""en"", ""ml"")"),"വാഹനം തിരഞ്ഞെടുക്കുക")</f>
        <v>വാഹനം തിരഞ്ഞെടുക്കുക</v>
      </c>
      <c r="G249" s="7" t="str">
        <f>IFERROR(__xludf.DUMMYFUNCTION("GOOGLETRANSLATE(B249, ""en"", ""te"")"),"వాహనాన్ని ఎంచుకోండి")</f>
        <v>వాహనాన్ని ఎంచుకోండి</v>
      </c>
    </row>
    <row r="250">
      <c r="A250" s="4" t="s">
        <v>485</v>
      </c>
      <c r="B250" s="5" t="s">
        <v>486</v>
      </c>
      <c r="C250" s="6" t="str">
        <f>IFERROR(__xludf.DUMMYFUNCTION("GOOGLETRANSLATE(B250, ""en"", ""ta"")"),"கிடைக்கவில்லை")</f>
        <v>கிடைக்கவில்லை</v>
      </c>
      <c r="D250" s="6" t="str">
        <f>IFERROR(__xludf.DUMMYFUNCTION("GOOGLETRANSLATE(B250, ""en"", ""hi"")"),"उपलब्ध नहीं है")</f>
        <v>उपलब्ध नहीं है</v>
      </c>
      <c r="E250" s="6" t="str">
        <f>IFERROR(__xludf.DUMMYFUNCTION("GOOGLETRANSLATE(B250, ""en"", ""kn"")"),"ಲಭ್ಯವಿಲ್ಲ")</f>
        <v>ಲಭ್ಯವಿಲ್ಲ</v>
      </c>
      <c r="F250" s="7" t="str">
        <f>IFERROR(__xludf.DUMMYFUNCTION("GOOGLETRANSLATE(B250, ""en"", ""ml"")"),"ലഭ്യമല്ല")</f>
        <v>ലഭ്യമല്ല</v>
      </c>
      <c r="G250" s="7" t="str">
        <f>IFERROR(__xludf.DUMMYFUNCTION("GOOGLETRANSLATE(B250, ""en"", ""te"")"),"అందుబాటులో లేదు")</f>
        <v>అందుబాటులో లేదు</v>
      </c>
    </row>
    <row r="251">
      <c r="A251" s="4" t="s">
        <v>487</v>
      </c>
      <c r="B251" s="5" t="s">
        <v>488</v>
      </c>
      <c r="C251" s="6" t="str">
        <f>IFERROR(__xludf.DUMMYFUNCTION("GOOGLETRANSLATE(B251, ""en"", ""ta"")"),"ஏற்கனவே ஓட்டுநருக்கு ஒதுக்கப்பட்டுள்ளது")</f>
        <v>ஏற்கனவே ஓட்டுநருக்கு ஒதுக்கப்பட்டுள்ளது</v>
      </c>
      <c r="D251" s="6" t="str">
        <f>IFERROR(__xludf.DUMMYFUNCTION("GOOGLETRANSLATE(B251, ""en"", ""hi"")"),"ड्राइवर को पहले ही आवंटित कर दिया गया है")</f>
        <v>ड्राइवर को पहले ही आवंटित कर दिया गया है</v>
      </c>
      <c r="E251" s="6" t="str">
        <f>IFERROR(__xludf.DUMMYFUNCTION("GOOGLETRANSLATE(B251, ""en"", ""kn"")"),"ಈಗಾಗಲೇ ಚಾಲಕನಿಗೆ ನಿಯೋಜಿಸಲಾಗಿದೆ")</f>
        <v>ಈಗಾಗಲೇ ಚಾಲಕನಿಗೆ ನಿಯೋಜಿಸಲಾಗಿದೆ</v>
      </c>
      <c r="F251" s="7" t="str">
        <f>IFERROR(__xludf.DUMMYFUNCTION("GOOGLETRANSLATE(B251, ""en"", ""ml"")"),"ഡ്രൈവർക്ക് ഇതിനകം നിയോഗിച്ചിട്ടുണ്ട്")</f>
        <v>ഡ്രൈവർക്ക് ഇതിനകം നിയോഗിച്ചിട്ടുണ്ട്</v>
      </c>
      <c r="G251" s="7" t="str">
        <f>IFERROR(__xludf.DUMMYFUNCTION("GOOGLETRANSLATE(B251, ""en"", ""te"")"),"ఇప్పటికే డ్రైవర్‌కు కేటాయించబడింది")</f>
        <v>ఇప్పటికే డ్రైవర్‌కు కేటాయించబడింది</v>
      </c>
    </row>
    <row r="252">
      <c r="A252" s="4" t="s">
        <v>489</v>
      </c>
      <c r="B252" s="5" t="s">
        <v>490</v>
      </c>
      <c r="C252" s="6" t="str">
        <f>IFERROR(__xludf.DUMMYFUNCTION("GOOGLETRANSLATE(B252, ""en"", ""ta"")"),"வாகனங்கள் எதுவும் இல்லை")</f>
        <v>வாகனங்கள் எதுவும் இல்லை</v>
      </c>
      <c r="D252" s="6" t="str">
        <f>IFERROR(__xludf.DUMMYFUNCTION("GOOGLETRANSLATE(B252, ""en"", ""hi"")"),"कोई वाहन उपलब्ध नहीं है")</f>
        <v>कोई वाहन उपलब्ध नहीं है</v>
      </c>
      <c r="E252" s="6" t="str">
        <f>IFERROR(__xludf.DUMMYFUNCTION("GOOGLETRANSLATE(B252, ""en"", ""kn"")"),"ಯಾವುದೇ ವಾಹನಗಳು ಲಭ್ಯವಿಲ್ಲ.")</f>
        <v>ಯಾವುದೇ ವಾಹನಗಳು ಲಭ್ಯವಿಲ್ಲ.</v>
      </c>
      <c r="F252" s="7" t="str">
        <f>IFERROR(__xludf.DUMMYFUNCTION("GOOGLETRANSLATE(B252, ""en"", ""ml"")"),"വാഹനങ്ങളൊന്നും ലഭ്യമല്ല.")</f>
        <v>വാഹനങ്ങളൊന്നും ലഭ്യമല്ല.</v>
      </c>
      <c r="G252" s="7" t="str">
        <f>IFERROR(__xludf.DUMMYFUNCTION("GOOGLETRANSLATE(B252, ""en"", ""te"")"),"వాహనాలు అందుబాటులో లేవు")</f>
        <v>వాహనాలు అందుబాటులో లేవు</v>
      </c>
    </row>
    <row r="253">
      <c r="A253" s="4" t="s">
        <v>491</v>
      </c>
      <c r="B253" s="5" t="s">
        <v>492</v>
      </c>
      <c r="C253" s="6" t="str">
        <f>IFERROR(__xludf.DUMMYFUNCTION("GOOGLETRANSLATE(B253, ""en"", ""ta"")"),"உங்கள் நிர்வாகியைத் தொடர்பு கொள்ளவும்.")</f>
        <v>உங்கள் நிர்வாகியைத் தொடர்பு கொள்ளவும்.</v>
      </c>
      <c r="D253" s="6" t="str">
        <f>IFERROR(__xludf.DUMMYFUNCTION("GOOGLETRANSLATE(B253, ""en"", ""hi"")"),"कृपया अपने प्रशासक से संपर्क करें")</f>
        <v>कृपया अपने प्रशासक से संपर्क करें</v>
      </c>
      <c r="E253" s="6" t="str">
        <f>IFERROR(__xludf.DUMMYFUNCTION("GOOGLETRANSLATE(B253, ""en"", ""kn"")"),"ದಯವಿಟ್ಟು ನಿಮ್ಮ ನಿರ್ವಾಹಕರನ್ನು ಸಂಪರ್ಕಿಸಿ.")</f>
        <v>ದಯವಿಟ್ಟು ನಿಮ್ಮ ನಿರ್ವಾಹಕರನ್ನು ಸಂಪರ್ಕಿಸಿ.</v>
      </c>
      <c r="F253" s="7" t="str">
        <f>IFERROR(__xludf.DUMMYFUNCTION("GOOGLETRANSLATE(B253, ""en"", ""ml"")"),"നിങ്ങളുടെ അഡ്മിനിസ്ട്രേറ്ററെ ബന്ധപ്പെടുക.")</f>
        <v>നിങ്ങളുടെ അഡ്മിനിസ്ട്രേറ്ററെ ബന്ധപ്പെടുക.</v>
      </c>
      <c r="G253" s="7" t="str">
        <f>IFERROR(__xludf.DUMMYFUNCTION("GOOGLETRANSLATE(B253, ""en"", ""te"")"),"దయచేసి మీ నిర్వాహకుడిని సంప్రదించండి")</f>
        <v>దయచేసి మీ నిర్వాహకుడిని సంప్రదించండి</v>
      </c>
    </row>
    <row r="254">
      <c r="A254" s="4" t="s">
        <v>493</v>
      </c>
      <c r="B254" s="5" t="s">
        <v>494</v>
      </c>
      <c r="C254" s="6" t="str">
        <f>IFERROR(__xludf.DUMMYFUNCTION("GOOGLETRANSLATE(B254, ""en"", ""ta"")"),"வாகனங்களை ஏற்றுகிறது...")</f>
        <v>வாகனங்களை ஏற்றுகிறது...</v>
      </c>
      <c r="D254" s="6" t="str">
        <f>IFERROR(__xludf.DUMMYFUNCTION("GOOGLETRANSLATE(B254, ""en"", ""hi"")"),"वाहनों में सामान लोड किया जा रहा है...")</f>
        <v>वाहनों में सामान लोड किया जा रहा है...</v>
      </c>
      <c r="E254" s="6" t="str">
        <f>IFERROR(__xludf.DUMMYFUNCTION("GOOGLETRANSLATE(B254, ""en"", ""kn"")"),"ವಾಹನಗಳನ್ನು ಲೋಡ್ ಮಾಡಲಾಗುತ್ತಿದೆ...")</f>
        <v>ವಾಹನಗಳನ್ನು ಲೋಡ್ ಮಾಡಲಾಗುತ್ತಿದೆ...</v>
      </c>
      <c r="F254" s="7" t="str">
        <f>IFERROR(__xludf.DUMMYFUNCTION("GOOGLETRANSLATE(B254, ""en"", ""ml"")"),"വാഹനങ്ങൾ കയറ്റുന്നു...")</f>
        <v>വാഹനങ്ങൾ കയറ്റുന്നു...</v>
      </c>
      <c r="G254" s="7" t="str">
        <f>IFERROR(__xludf.DUMMYFUNCTION("GOOGLETRANSLATE(B254, ""en"", ""te"")"),"వాహనాలను లోడ్ చేస్తోంది...")</f>
        <v>వాహనాలను లోడ్ చేస్తోంది...</v>
      </c>
    </row>
    <row r="255">
      <c r="A255" s="4" t="s">
        <v>495</v>
      </c>
      <c r="B255" s="5" t="s">
        <v>496</v>
      </c>
      <c r="C255" s="6" t="str">
        <f>IFERROR(__xludf.DUMMYFUNCTION("GOOGLETRANSLATE(B255, ""en"", ""ta"")"),"கிடைக்கக்கூடிய வாகனங்களிலிருந்து தேர்வு செய்யவும்")</f>
        <v>கிடைக்கக்கூடிய வாகனங்களிலிருந்து தேர்வு செய்யவும்</v>
      </c>
      <c r="D255" s="6" t="str">
        <f>IFERROR(__xludf.DUMMYFUNCTION("GOOGLETRANSLATE(B255, ""en"", ""hi"")"),"उपलब्ध वाहनों में से चुनें")</f>
        <v>उपलब्ध वाहनों में से चुनें</v>
      </c>
      <c r="E255" s="6" t="str">
        <f>IFERROR(__xludf.DUMMYFUNCTION("GOOGLETRANSLATE(B255, ""en"", ""kn"")"),"ಲಭ್ಯವಿರುವ ವಾಹನಗಳಿಂದ ಆರಿಸಿ")</f>
        <v>ಲಭ್ಯವಿರುವ ವಾಹನಗಳಿಂದ ಆರಿಸಿ</v>
      </c>
      <c r="F255" s="7" t="str">
        <f>IFERROR(__xludf.DUMMYFUNCTION("GOOGLETRANSLATE(B255, ""en"", ""ml"")"),"ലഭ്യമായ വാഹനങ്ങളിൽ നിന്ന് തിരഞ്ഞെടുക്കുക")</f>
        <v>ലഭ്യമായ വാഹനങ്ങളിൽ നിന്ന് തിരഞ്ഞെടുക്കുക</v>
      </c>
      <c r="G255" s="7" t="str">
        <f>IFERROR(__xludf.DUMMYFUNCTION("GOOGLETRANSLATE(B255, ""en"", ""te"")"),"అందుబాటులో ఉన్న వాహనాల నుండి ఎంచుకోండి")</f>
        <v>అందుబాటులో ఉన్న వాహనాల నుండి ఎంచుకోండి</v>
      </c>
    </row>
    <row r="256">
      <c r="A256" s="4" t="s">
        <v>497</v>
      </c>
      <c r="B256" s="5" t="s">
        <v>498</v>
      </c>
      <c r="C256" s="6" t="str">
        <f>IFERROR(__xludf.DUMMYFUNCTION("GOOGLETRANSLATE(B256, ""en"", ""ta"")"),"கிடைக்கும் வாகனங்கள்")</f>
        <v>கிடைக்கும் வாகனங்கள்</v>
      </c>
      <c r="D256" s="6" t="str">
        <f>IFERROR(__xludf.DUMMYFUNCTION("GOOGLETRANSLATE(B256, ""en"", ""hi"")"),"उपलब्ध वाहन")</f>
        <v>उपलब्ध वाहन</v>
      </c>
      <c r="E256" s="6" t="str">
        <f>IFERROR(__xludf.DUMMYFUNCTION("GOOGLETRANSLATE(B256, ""en"", ""kn"")"),"ಲಭ್ಯವಿರುವ ವಾಹನಗಳು")</f>
        <v>ಲಭ್ಯವಿರುವ ವಾಹನಗಳು</v>
      </c>
      <c r="F256" s="7" t="str">
        <f>IFERROR(__xludf.DUMMYFUNCTION("GOOGLETRANSLATE(B256, ""en"", ""ml"")"),"ലഭ്യമായ വാഹനങ്ങൾ")</f>
        <v>ലഭ്യമായ വാഹനങ്ങൾ</v>
      </c>
      <c r="G256" s="7" t="str">
        <f>IFERROR(__xludf.DUMMYFUNCTION("GOOGLETRANSLATE(B256, ""en"", ""te"")"),"అందుబాటులో ఉన్న వాహనాలు")</f>
        <v>అందుబాటులో ఉన్న వాహనాలు</v>
      </c>
    </row>
    <row r="257">
      <c r="A257" s="4" t="s">
        <v>499</v>
      </c>
      <c r="B257" s="5" t="s">
        <v>500</v>
      </c>
      <c r="C257" s="6" t="str">
        <f>IFERROR(__xludf.DUMMYFUNCTION("GOOGLETRANSLATE(B257, ""en"", ""ta"")"),"தடுக்கப்பட்டது")</f>
        <v>தடுக்கப்பட்டது</v>
      </c>
      <c r="D257" s="6" t="str">
        <f>IFERROR(__xludf.DUMMYFUNCTION("GOOGLETRANSLATE(B257, ""en"", ""hi"")"),"अवरोधित")</f>
        <v>अवरोधित</v>
      </c>
      <c r="E257" s="6" t="str">
        <f>IFERROR(__xludf.DUMMYFUNCTION("GOOGLETRANSLATE(B257, ""en"", ""kn"")"),"ನಿರ್ಬಂಧಿಸಲಾಗಿದೆ")</f>
        <v>ನಿರ್ಬಂಧಿಸಲಾಗಿದೆ</v>
      </c>
      <c r="F257" s="7" t="str">
        <f>IFERROR(__xludf.DUMMYFUNCTION("GOOGLETRANSLATE(B257, ""en"", ""ml"")"),"ബ്ലോക്ക് ചെയ്‌തു")</f>
        <v>ബ്ലോക്ക് ചെയ്‌തു</v>
      </c>
      <c r="G257" s="7" t="str">
        <f>IFERROR(__xludf.DUMMYFUNCTION("GOOGLETRANSLATE(B257, ""en"", ""te"")"),"బ్లాక్ చేయబడింది")</f>
        <v>బ్లాక్ చేయబడింది</v>
      </c>
    </row>
    <row r="258">
      <c r="A258" s="4" t="s">
        <v>501</v>
      </c>
      <c r="B258" s="5" t="s">
        <v>502</v>
      </c>
      <c r="C258" s="6" t="str">
        <f>IFERROR(__xludf.DUMMYFUNCTION("GOOGLETRANSLATE(B258, ""en"", ""ta"")"),"கிடைக்கும்")</f>
        <v>கிடைக்கும்</v>
      </c>
      <c r="D258" s="6" t="str">
        <f>IFERROR(__xludf.DUMMYFUNCTION("GOOGLETRANSLATE(B258, ""en"", ""hi"")"),"उपलब्ध")</f>
        <v>उपलब्ध</v>
      </c>
      <c r="E258" s="6" t="str">
        <f>IFERROR(__xludf.DUMMYFUNCTION("GOOGLETRANSLATE(B258, ""en"", ""kn"")"),"ಲಭ್ಯವಿದೆ")</f>
        <v>ಲಭ್ಯವಿದೆ</v>
      </c>
      <c r="F258" s="7" t="str">
        <f>IFERROR(__xludf.DUMMYFUNCTION("GOOGLETRANSLATE(B258, ""en"", ""ml"")"),"ലഭ്യമാണ്")</f>
        <v>ലഭ്യമാണ്</v>
      </c>
      <c r="G258" s="7" t="str">
        <f>IFERROR(__xludf.DUMMYFUNCTION("GOOGLETRANSLATE(B258, ""en"", ""te"")"),"అందుబాటులో ఉంది")</f>
        <v>అందుబాటులో ఉంది</v>
      </c>
    </row>
    <row r="259">
      <c r="A259" s="4" t="s">
        <v>503</v>
      </c>
      <c r="B259" s="5" t="s">
        <v>504</v>
      </c>
      <c r="C259" s="6" t="str">
        <f>IFERROR(__xludf.DUMMYFUNCTION("GOOGLETRANSLATE(B259, ""en"", ""ta"")"),"பணம் பெறப்பட்டது")</f>
        <v>பணம் பெறப்பட்டது</v>
      </c>
      <c r="D259" s="6" t="str">
        <f>IFERROR(__xludf.DUMMYFUNCTION("GOOGLETRANSLATE(B259, ""en"", ""hi"")"),"भुगतान प्राप्त")</f>
        <v>भुगतान प्राप्त</v>
      </c>
      <c r="E259" s="6" t="str">
        <f>IFERROR(__xludf.DUMMYFUNCTION("GOOGLETRANSLATE(B259, ""en"", ""kn"")"),"ಪಾವತಿ ಸ್ವೀಕರಿಸಲಾಗಿದೆ")</f>
        <v>ಪಾವತಿ ಸ್ವೀಕರಿಸಲಾಗಿದೆ</v>
      </c>
      <c r="F259" s="7" t="str">
        <f>IFERROR(__xludf.DUMMYFUNCTION("GOOGLETRANSLATE(B259, ""en"", ""ml"")"),"പേയ്‌മെന്റ് ലഭിച്ചു")</f>
        <v>പേയ്‌മെന്റ് ലഭിച്ചു</v>
      </c>
      <c r="G259" s="7" t="str">
        <f>IFERROR(__xludf.DUMMYFUNCTION("GOOGLETRANSLATE(B259, ""en"", ""te"")"),"చెల్లింపు అందింది")</f>
        <v>చెల్లింపు అందింది</v>
      </c>
    </row>
    <row r="260">
      <c r="A260" s="4" t="s">
        <v>505</v>
      </c>
      <c r="B260" s="5" t="s">
        <v>506</v>
      </c>
      <c r="C260" s="6" t="str">
        <f>IFERROR(__xludf.DUMMYFUNCTION("GOOGLETRANSLATE(B260, ""en"", ""ta"")"),"கட்டண முறையைத் தேர்ந்தெடுக்கவும்.")</f>
        <v>கட்டண முறையைத் தேர்ந்தெடுக்கவும்.</v>
      </c>
      <c r="D260" s="6" t="str">
        <f>IFERROR(__xludf.DUMMYFUNCTION("GOOGLETRANSLATE(B260, ""en"", ""hi"")"),"एक भुगतान पद्धति का चयन करें")</f>
        <v>एक भुगतान पद्धति का चयन करें</v>
      </c>
      <c r="E260" s="6" t="str">
        <f>IFERROR(__xludf.DUMMYFUNCTION("GOOGLETRANSLATE(B260, ""en"", ""kn"")"),"ದಯವಿಟ್ಟು ಪಾವತಿ ವಿಧಾನವನ್ನು ಆಯ್ಕೆಮಾಡಿ.")</f>
        <v>ದಯವಿಟ್ಟು ಪಾವತಿ ವಿಧಾನವನ್ನು ಆಯ್ಕೆಮಾಡಿ.</v>
      </c>
      <c r="F260" s="7" t="str">
        <f>IFERROR(__xludf.DUMMYFUNCTION("GOOGLETRANSLATE(B260, ""en"", ""ml"")"),"ഒരു പേയ്‌മെന്റ് രീതി തിരഞ്ഞെടുക്കുക.")</f>
        <v>ഒരു പേയ്‌മെന്റ് രീതി തിരഞ്ഞെടുക്കുക.</v>
      </c>
      <c r="G260" s="7" t="str">
        <f>IFERROR(__xludf.DUMMYFUNCTION("GOOGLETRANSLATE(B260, ""en"", ""te"")"),"దయచేసి చెల్లింపు పద్ధతిని ఎంచుకోండి.")</f>
        <v>దయచేసి చెల్లింపు పద్ధతిని ఎంచుకోండి.</v>
      </c>
    </row>
    <row r="261">
      <c r="A261" s="4" t="s">
        <v>507</v>
      </c>
      <c r="B261" s="5" t="s">
        <v>508</v>
      </c>
      <c r="C261" s="6" t="str">
        <f>IFERROR(__xludf.DUMMYFUNCTION("GOOGLETRANSLATE(B261, ""en"", ""ta"")"),"பயணக் கட்டணம்")</f>
        <v>பயணக் கட்டணம்</v>
      </c>
      <c r="D261" s="6" t="str">
        <f>IFERROR(__xludf.DUMMYFUNCTION("GOOGLETRANSLATE(B261, ""en"", ""hi"")"),"सवारी का किराया")</f>
        <v>सवारी का किराया</v>
      </c>
      <c r="E261" s="6" t="str">
        <f>IFERROR(__xludf.DUMMYFUNCTION("GOOGLETRANSLATE(B261, ""en"", ""kn"")"),"ಸವಾರಿ ದರ")</f>
        <v>ಸವಾರಿ ದರ</v>
      </c>
      <c r="F261" s="7" t="str">
        <f>IFERROR(__xludf.DUMMYFUNCTION("GOOGLETRANSLATE(B261, ""en"", ""ml"")"),"യാത്രാക്കൂലി")</f>
        <v>യാത്രാക്കൂലി</v>
      </c>
      <c r="G261" s="7" t="str">
        <f>IFERROR(__xludf.DUMMYFUNCTION("GOOGLETRANSLATE(B261, ""en"", ""te"")"),"రైడ్ ఛార్జీలు")</f>
        <v>రైడ్ ఛార్జీలు</v>
      </c>
    </row>
    <row r="262">
      <c r="A262" s="4" t="s">
        <v>509</v>
      </c>
      <c r="B262" s="5" t="s">
        <v>510</v>
      </c>
      <c r="C262" s="6" t="str">
        <f>IFERROR(__xludf.DUMMYFUNCTION("GOOGLETRANSLATE(B262, ""en"", ""ta"")"),"இருப்பிட விவரங்கள்")</f>
        <v>இருப்பிட விவரங்கள்</v>
      </c>
      <c r="D262" s="6" t="str">
        <f>IFERROR(__xludf.DUMMYFUNCTION("GOOGLETRANSLATE(B262, ""en"", ""hi"")"),"स्थान विवरण")</f>
        <v>स्थान विवरण</v>
      </c>
      <c r="E262" s="6" t="str">
        <f>IFERROR(__xludf.DUMMYFUNCTION("GOOGLETRANSLATE(B262, ""en"", ""kn"")"),"ಸ್ಥಳದ ವಿವರಗಳು")</f>
        <v>ಸ್ಥಳದ ವಿವರಗಳು</v>
      </c>
      <c r="F262" s="7" t="str">
        <f>IFERROR(__xludf.DUMMYFUNCTION("GOOGLETRANSLATE(B262, ""en"", ""ml"")"),"ലൊക്കേഷൻ വിശദാംശങ്ങൾ")</f>
        <v>ലൊക്കേഷൻ വിശദാംശങ്ങൾ</v>
      </c>
      <c r="G262" s="7" t="str">
        <f>IFERROR(__xludf.DUMMYFUNCTION("GOOGLETRANSLATE(B262, ""en"", ""te"")"),"స్థాన వివరాలు")</f>
        <v>స్థాన వివరాలు</v>
      </c>
    </row>
    <row r="263">
      <c r="A263" s="4" t="s">
        <v>511</v>
      </c>
      <c r="B263" s="5" t="s">
        <v>512</v>
      </c>
      <c r="C263" s="6" t="str">
        <f>IFERROR(__xludf.DUMMYFUNCTION("GOOGLETRANSLATE(B263, ""en"", ""ta"")"),"கட்டண விவரங்கள்")</f>
        <v>கட்டண விவரங்கள்</v>
      </c>
      <c r="D263" s="6" t="str">
        <f>IFERROR(__xludf.DUMMYFUNCTION("GOOGLETRANSLATE(B263, ""en"", ""hi"")"),"भुगतान विवरण")</f>
        <v>भुगतान विवरण</v>
      </c>
      <c r="E263" s="6" t="str">
        <f>IFERROR(__xludf.DUMMYFUNCTION("GOOGLETRANSLATE(B263, ""en"", ""kn"")"),"ಪಾವತಿ ವಿವರಗಳು")</f>
        <v>ಪಾವತಿ ವಿವರಗಳು</v>
      </c>
      <c r="F263" s="7" t="str">
        <f>IFERROR(__xludf.DUMMYFUNCTION("GOOGLETRANSLATE(B263, ""en"", ""ml"")"),"പേയ്‌മെന്റ് വിശദാംശങ്ങൾ")</f>
        <v>പേയ്‌മെന്റ് വിശദാംശങ്ങൾ</v>
      </c>
      <c r="G263" s="7" t="str">
        <f>IFERROR(__xludf.DUMMYFUNCTION("GOOGLETRANSLATE(B263, ""en"", ""te"")"),"చెల్లింపు వివరాలు")</f>
        <v>చెల్లింపు వివరాలు</v>
      </c>
    </row>
    <row r="264">
      <c r="A264" s="4" t="s">
        <v>513</v>
      </c>
      <c r="B264" s="5" t="s">
        <v>514</v>
      </c>
      <c r="C264" s="6" t="str">
        <f>IFERROR(__xludf.DUMMYFUNCTION("GOOGLETRANSLATE(B264, ""en"", ""ta"")"),"கூப்பன்")</f>
        <v>கூப்பன்</v>
      </c>
      <c r="D264" s="6" t="str">
        <f>IFERROR(__xludf.DUMMYFUNCTION("GOOGLETRANSLATE(B264, ""en"", ""hi"")"),"कूपन")</f>
        <v>कूपन</v>
      </c>
      <c r="E264" s="6" t="str">
        <f>IFERROR(__xludf.DUMMYFUNCTION("GOOGLETRANSLATE(B264, ""en"", ""kn"")"),"ಕೂಪನ್")</f>
        <v>ಕೂಪನ್</v>
      </c>
      <c r="F264" s="7" t="str">
        <f>IFERROR(__xludf.DUMMYFUNCTION("GOOGLETRANSLATE(B264, ""en"", ""ml"")"),"കൂപ്പൺ")</f>
        <v>കൂപ്പൺ</v>
      </c>
      <c r="G264" s="7" t="str">
        <f>IFERROR(__xludf.DUMMYFUNCTION("GOOGLETRANSLATE(B264, ""en"", ""te"")"),"కూపన్")</f>
        <v>కూపన్</v>
      </c>
    </row>
    <row r="265">
      <c r="A265" s="4" t="s">
        <v>515</v>
      </c>
      <c r="B265" s="5" t="s">
        <v>516</v>
      </c>
      <c r="C265" s="6" t="str">
        <f>IFERROR(__xludf.DUMMYFUNCTION("GOOGLETRANSLATE(B265, ""en"", ""ta"")"),"காரணமாக")</f>
        <v>காரணமாக</v>
      </c>
      <c r="D265" s="6" t="str">
        <f>IFERROR(__xludf.DUMMYFUNCTION("GOOGLETRANSLATE(B265, ""en"", ""hi"")"),"देय")</f>
        <v>देय</v>
      </c>
      <c r="E265" s="6" t="str">
        <f>IFERROR(__xludf.DUMMYFUNCTION("GOOGLETRANSLATE(B265, ""en"", ""kn"")"),"ಬಾಕಿ")</f>
        <v>ಬಾಕಿ</v>
      </c>
      <c r="F265" s="7" t="str">
        <f>IFERROR(__xludf.DUMMYFUNCTION("GOOGLETRANSLATE(B265, ""en"", ""ml"")"),"കാരണം")</f>
        <v>കാരണം</v>
      </c>
      <c r="G265" s="7" t="str">
        <f>IFERROR(__xludf.DUMMYFUNCTION("GOOGLETRANSLATE(B265, ""en"", ""te"")"),"గడువు")</f>
        <v>గడువు</v>
      </c>
    </row>
    <row r="266">
      <c r="A266" s="4" t="s">
        <v>387</v>
      </c>
      <c r="B266" s="5" t="s">
        <v>388</v>
      </c>
      <c r="C266" s="6" t="str">
        <f>IFERROR(__xludf.DUMMYFUNCTION("GOOGLETRANSLATE(B266, ""en"", ""ta"")"),"வருவாய்")</f>
        <v>வருவாய்</v>
      </c>
      <c r="D266" s="6" t="str">
        <f>IFERROR(__xludf.DUMMYFUNCTION("GOOGLETRANSLATE(B266, ""en"", ""hi"")"),"आय")</f>
        <v>आय</v>
      </c>
      <c r="E266" s="6" t="str">
        <f>IFERROR(__xludf.DUMMYFUNCTION("GOOGLETRANSLATE(B266, ""en"", ""kn"")"),"ಗಳಿಕೆಗಳು")</f>
        <v>ಗಳಿಕೆಗಳು</v>
      </c>
      <c r="F266" s="7" t="str">
        <f>IFERROR(__xludf.DUMMYFUNCTION("GOOGLETRANSLATE(B266, ""en"", ""ml"")"),"വരുമാനം")</f>
        <v>വരുമാനം</v>
      </c>
      <c r="G266" s="7" t="str">
        <f>IFERROR(__xludf.DUMMYFUNCTION("GOOGLETRANSLATE(B266, ""en"", ""te"")"),"ఆదాయాలు")</f>
        <v>ఆదాయాలు</v>
      </c>
    </row>
    <row r="267">
      <c r="A267" s="4" t="s">
        <v>517</v>
      </c>
      <c r="B267" s="5" t="s">
        <v>517</v>
      </c>
      <c r="C267" s="6" t="str">
        <f>IFERROR(__xludf.DUMMYFUNCTION("GOOGLETRANSLATE(B267, ""en"", ""ta"")"),"கூட்டுத்தொகை")</f>
        <v>கூட்டுத்தொகை</v>
      </c>
      <c r="D267" s="6" t="str">
        <f>IFERROR(__xludf.DUMMYFUNCTION("GOOGLETRANSLATE(B267, ""en"", ""hi"")"),"उप-योग")</f>
        <v>उप-योग</v>
      </c>
      <c r="E267" s="6" t="str">
        <f>IFERROR(__xludf.DUMMYFUNCTION("GOOGLETRANSLATE(B267, ""en"", ""kn"")"),"ಉಪಮೊತ್ತ")</f>
        <v>ಉಪಮೊತ್ತ</v>
      </c>
      <c r="F267" s="7" t="str">
        <f>IFERROR(__xludf.DUMMYFUNCTION("GOOGLETRANSLATE(B267, ""en"", ""ml"")"),"ആകെത്തുക")</f>
        <v>ആകെത്തുക</v>
      </c>
      <c r="G267" s="7" t="str">
        <f>IFERROR(__xludf.DUMMYFUNCTION("GOOGLETRANSLATE(B267, ""en"", ""te"")"),"ఉపమొత్తం")</f>
        <v>ఉపమొత్తం</v>
      </c>
    </row>
    <row r="268">
      <c r="A268" s="4" t="s">
        <v>518</v>
      </c>
      <c r="B268" s="5" t="s">
        <v>519</v>
      </c>
      <c r="C268" s="6" t="str">
        <f>IFERROR(__xludf.DUMMYFUNCTION("GOOGLETRANSLATE(B268, ""en"", ""ta"")"),"மொத்தம்")</f>
        <v>மொத்தம்</v>
      </c>
      <c r="D268" s="6" t="str">
        <f>IFERROR(__xludf.DUMMYFUNCTION("GOOGLETRANSLATE(B268, ""en"", ""hi"")"),"कुल")</f>
        <v>कुल</v>
      </c>
      <c r="E268" s="6" t="str">
        <f>IFERROR(__xludf.DUMMYFUNCTION("GOOGLETRANSLATE(B268, ""en"", ""kn"")"),"ಒಟ್ಟು")</f>
        <v>ಒಟ್ಟು</v>
      </c>
      <c r="F268" s="7" t="str">
        <f>IFERROR(__xludf.DUMMYFUNCTION("GOOGLETRANSLATE(B268, ""en"", ""ml"")"),"ആകെ")</f>
        <v>ആകെ</v>
      </c>
      <c r="G268" s="7" t="str">
        <f>IFERROR(__xludf.DUMMYFUNCTION("GOOGLETRANSLATE(B268, ""en"", ""te"")"),"మొత్తం")</f>
        <v>మొత్తం</v>
      </c>
    </row>
    <row r="269">
      <c r="A269" s="4" t="s">
        <v>520</v>
      </c>
      <c r="B269" s="5" t="s">
        <v>521</v>
      </c>
      <c r="C269" s="6" t="str">
        <f>IFERROR(__xludf.DUMMYFUNCTION("GOOGLETRANSLATE(B269, ""en"", ""ta"")"),"பணம் செலுத்தும் முறை")</f>
        <v>பணம் செலுத்தும் முறை</v>
      </c>
      <c r="D269" s="6" t="str">
        <f>IFERROR(__xludf.DUMMYFUNCTION("GOOGLETRANSLATE(B269, ""en"", ""hi"")"),"भुगतान विधि")</f>
        <v>भुगतान विधि</v>
      </c>
      <c r="E269" s="6" t="str">
        <f>IFERROR(__xludf.DUMMYFUNCTION("GOOGLETRANSLATE(B269, ""en"", ""kn"")"),"ಪಾವತಿ ವಿಧಾನ")</f>
        <v>ಪಾವತಿ ವಿಧಾನ</v>
      </c>
      <c r="F269" s="7" t="str">
        <f>IFERROR(__xludf.DUMMYFUNCTION("GOOGLETRANSLATE(B269, ""en"", ""ml"")"),"പണമടയ്ക്കൽ രീതി")</f>
        <v>പണമടയ്ക്കൽ രീതി</v>
      </c>
      <c r="G269" s="7" t="str">
        <f>IFERROR(__xludf.DUMMYFUNCTION("GOOGLETRANSLATE(B269, ""en"", ""te"")"),"చెల్లింపు విధానం")</f>
        <v>చెల్లింపు విధానం</v>
      </c>
    </row>
    <row r="270">
      <c r="A270" s="4" t="s">
        <v>522</v>
      </c>
      <c r="B270" s="5" t="s">
        <v>523</v>
      </c>
      <c r="C270" s="6" t="str">
        <f>IFERROR(__xludf.DUMMYFUNCTION("GOOGLETRANSLATE(B270, ""en"", ""ta"")"),"விலைப்பட்டியல்")</f>
        <v>விலைப்பட்டியல்</v>
      </c>
      <c r="D270" s="6" t="str">
        <f>IFERROR(__xludf.DUMMYFUNCTION("GOOGLETRANSLATE(B270, ""en"", ""hi"")"),"चालान")</f>
        <v>चालान</v>
      </c>
      <c r="E270" s="6" t="str">
        <f>IFERROR(__xludf.DUMMYFUNCTION("GOOGLETRANSLATE(B270, ""en"", ""kn"")"),"ಸರಕುಪಟ್ಟಿ")</f>
        <v>ಸರಕುಪಟ್ಟಿ</v>
      </c>
      <c r="F270" s="7" t="str">
        <f>IFERROR(__xludf.DUMMYFUNCTION("GOOGLETRANSLATE(B270, ""en"", ""ml"")"),"ഇൻവോയ്സ്")</f>
        <v>ഇൻവോയ്സ്</v>
      </c>
      <c r="G270" s="7" t="str">
        <f>IFERROR(__xludf.DUMMYFUNCTION("GOOGLETRANSLATE(B270, ""en"", ""te"")"),"ఇన్‌వాయిస్")</f>
        <v>ఇన్‌వాయిస్</v>
      </c>
    </row>
    <row r="271">
      <c r="A271" s="4" t="s">
        <v>524</v>
      </c>
      <c r="B271" s="5" t="s">
        <v>525</v>
      </c>
      <c r="C271" s="6" t="str">
        <f>IFERROR(__xludf.DUMMYFUNCTION("GOOGLETRANSLATE(B271, ""en"", ""ta"")"),"சப்ளையர் தகவல்")</f>
        <v>சப்ளையர் தகவல்</v>
      </c>
      <c r="D271" s="6" t="str">
        <f>IFERROR(__xludf.DUMMYFUNCTION("GOOGLETRANSLATE(B271, ""en"", ""hi"")"),"आपूर्तिकर्ता जानकारी")</f>
        <v>आपूर्तिकर्ता जानकारी</v>
      </c>
      <c r="E271" s="6" t="str">
        <f>IFERROR(__xludf.DUMMYFUNCTION("GOOGLETRANSLATE(B271, ""en"", ""kn"")"),"ಪೂರೈಕೆದಾರರ ಮಾಹಿತಿ")</f>
        <v>ಪೂರೈಕೆದಾರರ ಮಾಹಿತಿ</v>
      </c>
      <c r="F271" s="7" t="str">
        <f>IFERROR(__xludf.DUMMYFUNCTION("GOOGLETRANSLATE(B271, ""en"", ""ml"")"),"വിതരണക്കാരന്റെ വിവരങ്ങൾ")</f>
        <v>വിതരണക്കാരന്റെ വിവരങ്ങൾ</v>
      </c>
      <c r="G271" s="7" t="str">
        <f>IFERROR(__xludf.DUMMYFUNCTION("GOOGLETRANSLATE(B271, ""en"", ""te"")"),"సరఫరాదారు సమాచారం")</f>
        <v>సరఫరాదారు సమాచారం</v>
      </c>
    </row>
    <row r="272">
      <c r="A272" s="4" t="s">
        <v>526</v>
      </c>
      <c r="B272" s="5" t="s">
        <v>527</v>
      </c>
      <c r="C272" s="6" t="str">
        <f>IFERROR(__xludf.DUMMYFUNCTION("GOOGLETRANSLATE(B272, ""en"", ""ta"")"),"சவாரி வகை")</f>
        <v>சவாரி வகை</v>
      </c>
      <c r="D272" s="6" t="str">
        <f>IFERROR(__xludf.DUMMYFUNCTION("GOOGLETRANSLATE(B272, ""en"", ""hi"")"),"सवारी का प्रकार")</f>
        <v>सवारी का प्रकार</v>
      </c>
      <c r="E272" s="6" t="str">
        <f>IFERROR(__xludf.DUMMYFUNCTION("GOOGLETRANSLATE(B272, ""en"", ""kn"")"),"ಸವಾರಿ ಪ್ರಕಾರ")</f>
        <v>ಸವಾರಿ ಪ್ರಕಾರ</v>
      </c>
      <c r="F272" s="7" t="str">
        <f>IFERROR(__xludf.DUMMYFUNCTION("GOOGLETRANSLATE(B272, ""en"", ""ml"")"),"റൈഡ് തരം")</f>
        <v>റൈഡ് തരം</v>
      </c>
      <c r="G272" s="7" t="str">
        <f>IFERROR(__xludf.DUMMYFUNCTION("GOOGLETRANSLATE(B272, ""en"", ""te"")"),"రైడ్ రకం")</f>
        <v>రైడ్ రకం</v>
      </c>
    </row>
    <row r="273">
      <c r="A273" s="4" t="s">
        <v>528</v>
      </c>
      <c r="B273" s="5" t="s">
        <v>529</v>
      </c>
      <c r="C273" s="6" t="str">
        <f>IFERROR(__xludf.DUMMYFUNCTION("GOOGLETRANSLATE(B273, ""en"", ""ta"")"),"விலைப்பட்டியல் விவரம்")</f>
        <v>விலைப்பட்டியல் விவரம்</v>
      </c>
      <c r="D273" s="6" t="str">
        <f>IFERROR(__xludf.DUMMYFUNCTION("GOOGLETRANSLATE(B273, ""en"", ""hi"")"),"बिल का विवरण")</f>
        <v>बिल का विवरण</v>
      </c>
      <c r="E273" s="6" t="str">
        <f>IFERROR(__xludf.DUMMYFUNCTION("GOOGLETRANSLATE(B273, ""en"", ""kn"")"),"ಇನ್‌ವಾಯ್ಸ್ ವಿಭಜನೆ")</f>
        <v>ಇನ್‌ವಾಯ್ಸ್ ವಿಭಜನೆ</v>
      </c>
      <c r="F273" s="7" t="str">
        <f>IFERROR(__xludf.DUMMYFUNCTION("GOOGLETRANSLATE(B273, ""en"", ""ml"")"),"ഇൻവോയ്‌സ് ബ്രേക്ക്ഡൗൺ")</f>
        <v>ഇൻവോയ്‌സ് ബ്രേക്ക്ഡൗൺ</v>
      </c>
      <c r="G273" s="7" t="str">
        <f>IFERROR(__xludf.DUMMYFUNCTION("GOOGLETRANSLATE(B273, ""en"", ""te"")"),"ఇన్‌వాయిస్ విభజన")</f>
        <v>ఇన్‌వాయిస్ విభజన</v>
      </c>
    </row>
    <row r="274">
      <c r="A274" s="4" t="s">
        <v>530</v>
      </c>
      <c r="B274" s="5" t="s">
        <v>531</v>
      </c>
      <c r="C274" s="6" t="str">
        <f>IFERROR(__xludf.DUMMYFUNCTION("GOOGLETRANSLATE(B274, ""en"", ""ta"")"),"பயணச் செலவு")</f>
        <v>பயணச் செலவு</v>
      </c>
      <c r="D274" s="6" t="str">
        <f>IFERROR(__xludf.DUMMYFUNCTION("GOOGLETRANSLATE(B274, ""en"", ""hi"")"),"सवारी की लागत")</f>
        <v>सवारी की लागत</v>
      </c>
      <c r="E274" s="6" t="str">
        <f>IFERROR(__xludf.DUMMYFUNCTION("GOOGLETRANSLATE(B274, ""en"", ""kn"")"),"ಸವಾರಿ ವೆಚ್ಚ")</f>
        <v>ಸವಾರಿ ವೆಚ್ಚ</v>
      </c>
      <c r="F274" s="7" t="str">
        <f>IFERROR(__xludf.DUMMYFUNCTION("GOOGLETRANSLATE(B274, ""en"", ""ml"")"),"യാത്രാ ചെലവ്")</f>
        <v>യാത്രാ ചെലവ്</v>
      </c>
      <c r="G274" s="7" t="str">
        <f>IFERROR(__xludf.DUMMYFUNCTION("GOOGLETRANSLATE(B274, ""en"", ""te"")"),"రైడ్ ఖర్చు")</f>
        <v>రైడ్ ఖర్చు</v>
      </c>
    </row>
    <row r="275">
      <c r="A275" s="4" t="s">
        <v>532</v>
      </c>
      <c r="B275" s="5" t="s">
        <v>533</v>
      </c>
      <c r="C275" s="6" t="str">
        <f>IFERROR(__xludf.DUMMYFUNCTION("GOOGLETRANSLATE(B275, ""en"", ""ta"")"),"காத்திருப்பு செலவு")</f>
        <v>காத்திருப்பு செலவு</v>
      </c>
      <c r="D275" s="6" t="str">
        <f>IFERROR(__xludf.DUMMYFUNCTION("GOOGLETRANSLATE(B275, ""en"", ""hi"")"),"प्रतीक्षा लागत")</f>
        <v>प्रतीक्षा लागत</v>
      </c>
      <c r="E275" s="6" t="str">
        <f>IFERROR(__xludf.DUMMYFUNCTION("GOOGLETRANSLATE(B275, ""en"", ""kn"")"),"ಕಾಯುವ ವೆಚ್ಚ")</f>
        <v>ಕಾಯುವ ವೆಚ್ಚ</v>
      </c>
      <c r="F275" s="7" t="str">
        <f>IFERROR(__xludf.DUMMYFUNCTION("GOOGLETRANSLATE(B275, ""en"", ""ml"")"),"കാത്തിരിപ്പ് ചെലവ്")</f>
        <v>കാത്തിരിപ്പ് ചെലവ്</v>
      </c>
      <c r="G275" s="7" t="str">
        <f>IFERROR(__xludf.DUMMYFUNCTION("GOOGLETRANSLATE(B275, ""en"", ""te"")"),"వేచి ఉండే ఖర్చు")</f>
        <v>వేచి ఉండే ఖర్చు</v>
      </c>
    </row>
    <row r="276">
      <c r="A276" s="4" t="s">
        <v>534</v>
      </c>
      <c r="B276" s="5" t="s">
        <v>535</v>
      </c>
      <c r="C276" s="6" t="str">
        <f>IFERROR(__xludf.DUMMYFUNCTION("GOOGLETRANSLATE(B276, ""en"", ""ta"")"),"கூப்பன் தள்ளுபடி")</f>
        <v>கூப்பன் தள்ளுபடி</v>
      </c>
      <c r="D276" s="6" t="str">
        <f>IFERROR(__xludf.DUMMYFUNCTION("GOOGLETRANSLATE(B276, ""en"", ""hi"")"),"कूपन छूट")</f>
        <v>कूपन छूट</v>
      </c>
      <c r="E276" s="6" t="str">
        <f>IFERROR(__xludf.DUMMYFUNCTION("GOOGLETRANSLATE(B276, ""en"", ""kn"")"),"ಕೂಪನ್ ರಿಯಾಯಿತಿ")</f>
        <v>ಕೂಪನ್ ರಿಯಾಯಿತಿ</v>
      </c>
      <c r="F276" s="7" t="str">
        <f>IFERROR(__xludf.DUMMYFUNCTION("GOOGLETRANSLATE(B276, ""en"", ""ml"")"),"കൂപ്പൺ കിഴിവ്")</f>
        <v>കൂപ്പൺ കിഴിവ്</v>
      </c>
      <c r="G276" s="7" t="str">
        <f>IFERROR(__xludf.DUMMYFUNCTION("GOOGLETRANSLATE(B276, ""en"", ""te"")"),"కూపన్ డిస్కౌంట్")</f>
        <v>కూపన్ డిస్కౌంట్</v>
      </c>
    </row>
    <row r="277">
      <c r="A277" s="4" t="s">
        <v>536</v>
      </c>
      <c r="B277" s="5" t="s">
        <v>537</v>
      </c>
      <c r="C277" s="6" t="str">
        <f>IFERROR(__xludf.DUMMYFUNCTION("GOOGLETRANSLATE(B277, ""en"", ""ta"")"),"பயணத்தை ரத்துசெய்")</f>
        <v>பயணத்தை ரத்துசெய்</v>
      </c>
      <c r="D277" s="6" t="str">
        <f>IFERROR(__xludf.DUMMYFUNCTION("GOOGLETRANSLATE(B277, ""en"", ""hi"")"),"यात्रा रद्द करें")</f>
        <v>यात्रा रद्द करें</v>
      </c>
      <c r="E277" s="6" t="str">
        <f>IFERROR(__xludf.DUMMYFUNCTION("GOOGLETRANSLATE(B277, ""en"", ""kn"")"),"ಪ್ರವಾಸ ರದ್ದುಗೊಳಿಸಿ")</f>
        <v>ಪ್ರವಾಸ ರದ್ದುಗೊಳಿಸಿ</v>
      </c>
      <c r="F277" s="7" t="str">
        <f>IFERROR(__xludf.DUMMYFUNCTION("GOOGLETRANSLATE(B277, ""en"", ""ml"")"),"യാത്ര റദ്ദാക്കുക")</f>
        <v>യാത്ര റദ്ദാക്കുക</v>
      </c>
      <c r="G277" s="7" t="str">
        <f>IFERROR(__xludf.DUMMYFUNCTION("GOOGLETRANSLATE(B277, ""en"", ""te"")"),"ట్రిప్ రద్దు చేయి")</f>
        <v>ట్రిప్ రద్దు చేయి</v>
      </c>
    </row>
    <row r="278">
      <c r="A278" s="4" t="s">
        <v>538</v>
      </c>
      <c r="B278" s="5" t="s">
        <v>539</v>
      </c>
      <c r="C278" s="6" t="str">
        <f>IFERROR(__xludf.DUMMYFUNCTION("GOOGLETRANSLATE(B278, ""en"", ""ta"")"),"அடிப்படை விவரங்கள்")</f>
        <v>அடிப்படை விவரங்கள்</v>
      </c>
      <c r="D278" s="6" t="str">
        <f>IFERROR(__xludf.DUMMYFUNCTION("GOOGLETRANSLATE(B278, ""en"", ""hi"")"),"बुनियादी विवरण")</f>
        <v>बुनियादी विवरण</v>
      </c>
      <c r="E278" s="6" t="str">
        <f>IFERROR(__xludf.DUMMYFUNCTION("GOOGLETRANSLATE(B278, ""en"", ""kn"")"),"ಮೂಲ ವಿವರಗಳು")</f>
        <v>ಮೂಲ ವಿವರಗಳು</v>
      </c>
      <c r="F278" s="7" t="str">
        <f>IFERROR(__xludf.DUMMYFUNCTION("GOOGLETRANSLATE(B278, ""en"", ""ml"")"),"അടിസ്ഥാന വിശദാംശങ്ങൾ")</f>
        <v>അടിസ്ഥാന വിശദാംശങ്ങൾ</v>
      </c>
      <c r="G278" s="7" t="str">
        <f>IFERROR(__xludf.DUMMYFUNCTION("GOOGLETRANSLATE(B278, ""en"", ""te"")"),"ప్రాథమిక వివరాలు")</f>
        <v>ప్రాథమిక వివరాలు</v>
      </c>
    </row>
    <row r="279">
      <c r="A279" s="4" t="s">
        <v>540</v>
      </c>
      <c r="B279" s="5" t="s">
        <v>541</v>
      </c>
      <c r="C279" s="6" t="str">
        <f>IFERROR(__xludf.DUMMYFUNCTION("GOOGLETRANSLATE(B279, ""en"", ""ta"")"),"விமர்சனங்கள்:")</f>
        <v>விமர்சனங்கள்:</v>
      </c>
      <c r="D279" s="6" t="str">
        <f>IFERROR(__xludf.DUMMYFUNCTION("GOOGLETRANSLATE(B279, ""en"", ""hi"")"),"समीक्षाएँ:")</f>
        <v>समीक्षाएँ:</v>
      </c>
      <c r="E279" s="6" t="str">
        <f>IFERROR(__xludf.DUMMYFUNCTION("GOOGLETRANSLATE(B279, ""en"", ""kn"")"),"ವಿಮರ್ಶೆಗಳು:")</f>
        <v>ವಿಮರ್ಶೆಗಳು:</v>
      </c>
      <c r="F279" s="7" t="str">
        <f>IFERROR(__xludf.DUMMYFUNCTION("GOOGLETRANSLATE(B279, ""en"", ""ml"")"),"അവലോകനങ്ങൾ:")</f>
        <v>അവലോകനങ്ങൾ:</v>
      </c>
      <c r="G279" s="7" t="str">
        <f>IFERROR(__xludf.DUMMYFUNCTION("GOOGLETRANSLATE(B279, ""en"", ""te"")"),"సమీక్షలు:")</f>
        <v>సమీక్షలు:</v>
      </c>
    </row>
    <row r="280">
      <c r="A280" s="4" t="s">
        <v>542</v>
      </c>
      <c r="B280" s="5" t="s">
        <v>543</v>
      </c>
      <c r="C280" s="6" t="str">
        <f>IFERROR(__xludf.DUMMYFUNCTION("GOOGLETRANSLATE(B280, ""en"", ""ta"")"),"செயலில்")</f>
        <v>செயலில்</v>
      </c>
      <c r="D280" s="6" t="str">
        <f>IFERROR(__xludf.DUMMYFUNCTION("GOOGLETRANSLATE(B280, ""en"", ""hi"")"),"सक्रिय")</f>
        <v>सक्रिय</v>
      </c>
      <c r="E280" s="6" t="str">
        <f>IFERROR(__xludf.DUMMYFUNCTION("GOOGLETRANSLATE(B280, ""en"", ""kn"")"),"ಸಕ್ರಿಯ")</f>
        <v>ಸಕ್ರಿಯ</v>
      </c>
      <c r="F280" s="7" t="str">
        <f>IFERROR(__xludf.DUMMYFUNCTION("GOOGLETRANSLATE(B280, ""en"", ""ml"")"),"സജീവം")</f>
        <v>സജീവം</v>
      </c>
      <c r="G280" s="7" t="str">
        <f>IFERROR(__xludf.DUMMYFUNCTION("GOOGLETRANSLATE(B280, ""en"", ""te"")"),"యాక్టివ్")</f>
        <v>యాక్టివ్</v>
      </c>
    </row>
    <row r="281">
      <c r="A281" s="4" t="s">
        <v>544</v>
      </c>
      <c r="B281" s="5" t="s">
        <v>545</v>
      </c>
      <c r="C281" s="6" t="str">
        <f>IFERROR(__xludf.DUMMYFUNCTION("GOOGLETRANSLATE(B281, ""en"", ""ta"")"),"ஆவணங்களைத் திருத்த விரும்புகிறீர்களா?")</f>
        <v>ஆவணங்களைத் திருத்த விரும்புகிறீர்களா?</v>
      </c>
      <c r="D281" s="6" t="str">
        <f>IFERROR(__xludf.DUMMYFUNCTION("GOOGLETRANSLATE(B281, ""en"", ""hi"")"),"क्या आप वाकई दस्तावेज़ों को संपादित करना चाहते हैं?")</f>
        <v>क्या आप वाकई दस्तावेज़ों को संपादित करना चाहते हैं?</v>
      </c>
      <c r="E281" s="6" t="str">
        <f>IFERROR(__xludf.DUMMYFUNCTION("GOOGLETRANSLATE(B281, ""en"", ""kn"")"),"ನೀವು ಡಾಕ್ಯುಮೆಂಟ್‌ಗಳನ್ನು ಸಂಪಾದಿಸಲು ಖಚಿತವಾಗಿ ಬಯಸುವಿರಾ?")</f>
        <v>ನೀವು ಡಾಕ್ಯುಮೆಂಟ್‌ಗಳನ್ನು ಸಂಪಾದಿಸಲು ಖಚಿತವಾಗಿ ಬಯಸುವಿರಾ?</v>
      </c>
      <c r="F281" s="7" t="str">
        <f>IFERROR(__xludf.DUMMYFUNCTION("GOOGLETRANSLATE(B281, ""en"", ""ml"")"),"പ്രമാണങ്ങൾ എഡിറ്റ് ചെയ്യണമെന്ന് നിങ്ങൾക്ക് ഉറപ്പാണോ?")</f>
        <v>പ്രമാണങ്ങൾ എഡിറ്റ് ചെയ്യണമെന്ന് നിങ്ങൾക്ക് ഉറപ്പാണോ?</v>
      </c>
      <c r="G281" s="7" t="str">
        <f>IFERROR(__xludf.DUMMYFUNCTION("GOOGLETRANSLATE(B281, ""en"", ""te"")"),"మీరు ఖచ్చితంగా పత్రాలను సవరించాలనుకుంటున్నారా?")</f>
        <v>మీరు ఖచ్చితంగా పత్రాలను సవరించాలనుకుంటున్నారా?</v>
      </c>
    </row>
    <row r="282">
      <c r="A282" s="4" t="s">
        <v>546</v>
      </c>
      <c r="B282" s="5" t="s">
        <v>547</v>
      </c>
      <c r="C282" s="6" t="str">
        <f>IFERROR(__xludf.DUMMYFUNCTION("GOOGLETRANSLATE(B282, ""en"", ""ta"")"),"திருத்தம் தொடங்கியதும், ஆவணங்கள் சரிபார்க்கப்பட்டு அங்கீகரிக்கப்படும் வரை உங்கள் கணக்கு நிறுத்தி வைக்கப்படும்.")</f>
        <v>திருத்தம் தொடங்கியதும், ஆவணங்கள் சரிபார்க்கப்பட்டு அங்கீகரிக்கப்படும் வரை உங்கள் கணக்கு நிறுத்தி வைக்கப்படும்.</v>
      </c>
      <c r="D282" s="6" t="str">
        <f>IFERROR(__xludf.DUMMYFUNCTION("GOOGLETRANSLATE(B282, ""en"", ""hi"")"),"एक बार संपादन शुरू हो जाने के बाद, दस्तावेज़ों के सत्यापन और अनुमोदन होने तक आपका खाता रोक दिया जाएगा।")</f>
        <v>एक बार संपादन शुरू हो जाने के बाद, दस्तावेज़ों के सत्यापन और अनुमोदन होने तक आपका खाता रोक दिया जाएगा।</v>
      </c>
      <c r="E282" s="6" t="str">
        <f>IFERROR(__xludf.DUMMYFUNCTION("GOOGLETRANSLATE(B282, ""en"", ""kn"")"),"ಒಮ್ಮೆ ಸಂಪಾದನೆ ಪ್ರಾರಂಭವಾದ ನಂತರ ನಿಮ್ಮ ಖಾತೆಯು ದಾಖಲೆಗಳನ್ನು ಪರಿಶೀಲಿಸಿ ಅನುಮೋದಿಸುವವರೆಗೆ ತಡೆಹಿಡಿಯಲ್ಪಡುತ್ತದೆ.")</f>
        <v>ಒಮ್ಮೆ ಸಂಪಾದನೆ ಪ್ರಾರಂಭವಾದ ನಂತರ ನಿಮ್ಮ ಖಾತೆಯು ದಾಖಲೆಗಳನ್ನು ಪರಿಶೀಲಿಸಿ ಅನುಮೋದಿಸುವವರೆಗೆ ತಡೆಹಿಡಿಯಲ್ಪಡುತ್ತದೆ.</v>
      </c>
      <c r="F282" s="7" t="str">
        <f>IFERROR(__xludf.DUMMYFUNCTION("GOOGLETRANSLATE(B282, ""en"", ""ml"")"),"എഡിറ്റ് ആരംഭിച്ചുകഴിഞ്ഞാൽ, രേഖകൾ പരിശോധിച്ച് അംഗീകരിക്കുന്നതുവരെ നിങ്ങളുടെ അക്കൗണ്ട് ഹോൾഡ് ചെയ്യപ്പെടും.")</f>
        <v>എഡിറ്റ് ആരംഭിച്ചുകഴിഞ്ഞാൽ, രേഖകൾ പരിശോധിച്ച് അംഗീകരിക്കുന്നതുവരെ നിങ്ങളുടെ അക്കൗണ്ട് ഹോൾഡ് ചെയ്യപ്പെടും.</v>
      </c>
      <c r="G282" s="7" t="str">
        <f>IFERROR(__xludf.DUMMYFUNCTION("GOOGLETRANSLATE(B282, ""en"", ""te"")"),"సవరణ ప్రారంభమైన తర్వాత, పత్రాలు ధృవీకరించబడి ఆమోదించబడే వరకు మీ ఖాతా హోల్డ్‌లో ఉంటుంది.")</f>
        <v>సవరణ ప్రారంభమైన తర్వాత, పత్రాలు ధృవీకరించబడి ఆమోదించబడే వరకు మీ ఖాతా హోల్డ్‌లో ఉంటుంది.</v>
      </c>
    </row>
    <row r="283">
      <c r="A283" s="4" t="s">
        <v>548</v>
      </c>
      <c r="B283" s="5" t="s">
        <v>549</v>
      </c>
      <c r="C283" s="6" t="str">
        <f>IFERROR(__xludf.DUMMYFUNCTION("GOOGLETRANSLATE(B283, ""en"", ""ta"")"),"அதுவரை நீங்கள் பயணங்களை மேற்கொள்ள முடியாது.")</f>
        <v>அதுவரை நீங்கள் பயணங்களை மேற்கொள்ள முடியாது.</v>
      </c>
      <c r="D283" s="6" t="str">
        <f>IFERROR(__xludf.DUMMYFUNCTION("GOOGLETRANSLATE(B283, ""en"", ""hi"")"),"तब तक आप यात्रा नहीं कर सकते।")</f>
        <v>तब तक आप यात्रा नहीं कर सकते।</v>
      </c>
      <c r="E283" s="6" t="str">
        <f>IFERROR(__xludf.DUMMYFUNCTION("GOOGLETRANSLATE(B283, ""en"", ""kn"")"),"ಅಲ್ಲಿಯವರೆಗೆ ನೀವು ಪ್ರವಾಸಗಳನ್ನು ತೆಗೆದುಕೊಳ್ಳಲು ಸಾಧ್ಯವಿಲ್ಲ.")</f>
        <v>ಅಲ್ಲಿಯವರೆಗೆ ನೀವು ಪ್ರವಾಸಗಳನ್ನು ತೆಗೆದುಕೊಳ್ಳಲು ಸಾಧ್ಯವಿಲ್ಲ.</v>
      </c>
      <c r="F283" s="7" t="str">
        <f>IFERROR(__xludf.DUMMYFUNCTION("GOOGLETRANSLATE(B283, ""en"", ""ml"")"),"അതുവരെ നിങ്ങൾക്ക് യാത്രകൾ നടത്താൻ കഴിയില്ല.")</f>
        <v>അതുവരെ നിങ്ങൾക്ക് യാത്രകൾ നടത്താൻ കഴിയില്ല.</v>
      </c>
      <c r="G283" s="7" t="str">
        <f>IFERROR(__xludf.DUMMYFUNCTION("GOOGLETRANSLATE(B283, ""en"", ""te"")"),"అప్పటి వరకు మీరు ప్రయాణాలు చేయలేరు.")</f>
        <v>అప్పటి వరకు మీరు ప్రయాణాలు చేయలేరు.</v>
      </c>
    </row>
    <row r="284">
      <c r="A284" s="4" t="s">
        <v>550</v>
      </c>
      <c r="B284" s="5" t="s">
        <v>551</v>
      </c>
      <c r="C284" s="6" t="str">
        <f>IFERROR(__xludf.DUMMYFUNCTION("GOOGLETRANSLATE(B284, ""en"", ""ta"")"),"உங்களிடம் நிலுவைத் தொகை இருந்தால், தயவுசெய்து அனைத்து நிலுவைத் தொகையையும் முன்கூட்டியே செலுத்துங்கள்.")</f>
        <v>உங்களிடம் நிலுவைத் தொகை இருந்தால், தயவுசெய்து அனைத்து நிலுவைத் தொகையையும் முன்கூட்டியே செலுத்துங்கள்.</v>
      </c>
      <c r="D284" s="6" t="str">
        <f>IFERROR(__xludf.DUMMYFUNCTION("GOOGLETRANSLATE(B284, ""en"", ""hi"")"),"यदि आपकी कोई बकाया राशि है, तो कृपया उससे पहले सभी बकाया राशि का भुगतान कर दें।")</f>
        <v>यदि आपकी कोई बकाया राशि है, तो कृपया उससे पहले सभी बकाया राशि का भुगतान कर दें।</v>
      </c>
      <c r="E284" s="6" t="str">
        <f>IFERROR(__xludf.DUMMYFUNCTION("GOOGLETRANSLATE(B284, ""en"", ""kn"")"),"ನಿಮ್ಮಲ್ಲಿ ಬಾಕಿ ಮೊತ್ತವಿದ್ದರೆ, ದಯವಿಟ್ಟು ಮುಂಚಿತವಾಗಿ ಎಲ್ಲಾ ಬಾಕಿ ಮೊತ್ತವನ್ನು ಪಾವತಿಸಿ.")</f>
        <v>ನಿಮ್ಮಲ್ಲಿ ಬಾಕಿ ಮೊತ್ತವಿದ್ದರೆ, ದಯವಿಟ್ಟು ಮುಂಚಿತವಾಗಿ ಎಲ್ಲಾ ಬಾಕಿ ಮೊತ್ತವನ್ನು ಪಾವತಿಸಿ.</v>
      </c>
      <c r="F284" s="7" t="str">
        <f>IFERROR(__xludf.DUMMYFUNCTION("GOOGLETRANSLATE(B284, ""en"", ""ml"")"),"നിങ്ങളുടെ കുടിശ്ശിക തുക ബാക്കിയുണ്ടെങ്കിൽ, ദയവായി എല്ലാ കുടിശ്ശികകളും മുൻകൂട്ടി തീർക്കുക.")</f>
        <v>നിങ്ങളുടെ കുടിശ്ശിക തുക ബാക്കിയുണ്ടെങ്കിൽ, ദയവായി എല്ലാ കുടിശ്ശികകളും മുൻകൂട്ടി തീർക്കുക.</v>
      </c>
      <c r="G284" s="7" t="str">
        <f>IFERROR(__xludf.DUMMYFUNCTION("GOOGLETRANSLATE(B284, ""en"", ""te"")"),"మీకు ఇంకా బకాయిలు ఉంటే, దయచేసి ముందుగా అన్ని బకాయిలను చెల్లించండి.")</f>
        <v>మీకు ఇంకా బకాయిలు ఉంటే, దయచేసి ముందుగా అన్ని బకాయిలను చెల్లించండి.</v>
      </c>
    </row>
    <row r="285">
      <c r="A285" s="4" t="s">
        <v>552</v>
      </c>
      <c r="B285" s="5" t="s">
        <v>553</v>
      </c>
      <c r="C285" s="6" t="str">
        <f>IFERROR(__xludf.DUMMYFUNCTION("GOOGLETRANSLATE(B285, ""en"", ""ta"")"),"தனிப்பட்ட தகவல்")</f>
        <v>தனிப்பட்ட தகவல்</v>
      </c>
      <c r="D285" s="6" t="str">
        <f>IFERROR(__xludf.DUMMYFUNCTION("GOOGLETRANSLATE(B285, ""en"", ""hi"")"),"व्यक्तिगत जानकारी")</f>
        <v>व्यक्तिगत जानकारी</v>
      </c>
      <c r="E285" s="6" t="str">
        <f>IFERROR(__xludf.DUMMYFUNCTION("GOOGLETRANSLATE(B285, ""en"", ""kn"")"),"ವೈಯಕ್ತಿಕ ಮಾಹಿತಿ")</f>
        <v>ವೈಯಕ್ತಿಕ ಮಾಹಿತಿ</v>
      </c>
      <c r="F285" s="7" t="str">
        <f>IFERROR(__xludf.DUMMYFUNCTION("GOOGLETRANSLATE(B285, ""en"", ""ml"")"),"സ്വകാര്യ വിവരം")</f>
        <v>സ്വകാര്യ വിവരം</v>
      </c>
      <c r="G285" s="7" t="str">
        <f>IFERROR(__xludf.DUMMYFUNCTION("GOOGLETRANSLATE(B285, ""en"", ""te"")"),"వ్యక్తిగత సమాచారం")</f>
        <v>వ్యక్తిగత సమాచారం</v>
      </c>
    </row>
    <row r="286">
      <c r="A286" s="4" t="s">
        <v>554</v>
      </c>
      <c r="B286" s="5" t="s">
        <v>555</v>
      </c>
      <c r="C286" s="6" t="str">
        <f>IFERROR(__xludf.DUMMYFUNCTION("GOOGLETRANSLATE(B286, ""en"", ""ta"")"),"சான்று ஆவணங்கள்")</f>
        <v>சான்று ஆவணங்கள்</v>
      </c>
      <c r="D286" s="6" t="str">
        <f>IFERROR(__xludf.DUMMYFUNCTION("GOOGLETRANSLATE(B286, ""en"", ""hi"")"),"प्रमाण दस्तावेज़")</f>
        <v>प्रमाण दस्तावेज़</v>
      </c>
      <c r="E286" s="6" t="str">
        <f>IFERROR(__xludf.DUMMYFUNCTION("GOOGLETRANSLATE(B286, ""en"", ""kn"")"),"ಪುರಾವೆ ದಾಖಲೆಗಳು")</f>
        <v>ಪುರಾವೆ ದಾಖಲೆಗಳು</v>
      </c>
      <c r="F286" s="7" t="str">
        <f>IFERROR(__xludf.DUMMYFUNCTION("GOOGLETRANSLATE(B286, ""en"", ""ml"")"),"തെളിവ് രേഖകൾ")</f>
        <v>തെളിവ് രേഖകൾ</v>
      </c>
      <c r="G286" s="7" t="str">
        <f>IFERROR(__xludf.DUMMYFUNCTION("GOOGLETRANSLATE(B286, ""en"", ""te"")"),"రుజువు పత్రాలు")</f>
        <v>రుజువు పత్రాలు</v>
      </c>
    </row>
    <row r="287">
      <c r="A287" s="4" t="s">
        <v>556</v>
      </c>
      <c r="B287" s="5" t="s">
        <v>557</v>
      </c>
      <c r="C287" s="6" t="str">
        <f>IFERROR(__xludf.DUMMYFUNCTION("GOOGLETRANSLATE(B287, ""en"", ""ta"")"),"வங்கி கணக்கு")</f>
        <v>வங்கி கணக்கு</v>
      </c>
      <c r="D287" s="6" t="str">
        <f>IFERROR(__xludf.DUMMYFUNCTION("GOOGLETRANSLATE(B287, ""en"", ""hi"")"),"बैंक खाता")</f>
        <v>बैंक खाता</v>
      </c>
      <c r="E287" s="6" t="str">
        <f>IFERROR(__xludf.DUMMYFUNCTION("GOOGLETRANSLATE(B287, ""en"", ""kn"")"),"ಬ್ಯಾಂಕ್ ಖಾತೆ")</f>
        <v>ಬ್ಯಾಂಕ್ ಖಾತೆ</v>
      </c>
      <c r="F287" s="7" t="str">
        <f>IFERROR(__xludf.DUMMYFUNCTION("GOOGLETRANSLATE(B287, ""en"", ""ml"")"),"ബാങ്ക് അക്കൗണ്ട്")</f>
        <v>ബാങ്ക് അക്കൗണ്ട്</v>
      </c>
      <c r="G287" s="7" t="str">
        <f>IFERROR(__xludf.DUMMYFUNCTION("GOOGLETRANSLATE(B287, ""en"", ""te"")"),"బ్యాంకు ఖాతా")</f>
        <v>బ్యాంకు ఖాతా</v>
      </c>
    </row>
    <row r="288">
      <c r="A288" s="4" t="s">
        <v>554</v>
      </c>
      <c r="B288" s="5" t="s">
        <v>555</v>
      </c>
      <c r="C288" s="6" t="str">
        <f>IFERROR(__xludf.DUMMYFUNCTION("GOOGLETRANSLATE(B288, ""en"", ""ta"")"),"சான்று ஆவணங்கள்")</f>
        <v>சான்று ஆவணங்கள்</v>
      </c>
      <c r="D288" s="6" t="str">
        <f>IFERROR(__xludf.DUMMYFUNCTION("GOOGLETRANSLATE(B288, ""en"", ""hi"")"),"प्रमाण दस्तावेज़")</f>
        <v>प्रमाण दस्तावेज़</v>
      </c>
      <c r="E288" s="6" t="str">
        <f>IFERROR(__xludf.DUMMYFUNCTION("GOOGLETRANSLATE(B288, ""en"", ""kn"")"),"ಪುರಾವೆ ದಾಖಲೆಗಳು")</f>
        <v>ಪುರಾವೆ ದಾಖಲೆಗಳು</v>
      </c>
      <c r="F288" s="7" t="str">
        <f>IFERROR(__xludf.DUMMYFUNCTION("GOOGLETRANSLATE(B288, ""en"", ""ml"")"),"തെളിവ് രേഖകൾ")</f>
        <v>തെളിവ് രേഖകൾ</v>
      </c>
      <c r="G288" s="7" t="str">
        <f>IFERROR(__xludf.DUMMYFUNCTION("GOOGLETRANSLATE(B288, ""en"", ""te"")"),"రుజువు పత్రాలు")</f>
        <v>రుజువు పత్రాలు</v>
      </c>
    </row>
    <row r="289">
      <c r="A289" s="4" t="s">
        <v>558</v>
      </c>
      <c r="B289" s="5" t="s">
        <v>559</v>
      </c>
      <c r="C289" s="6" t="str">
        <f>IFERROR(__xludf.DUMMYFUNCTION("GOOGLETRANSLATE(B289, ""en"", ""ta"")"),"சரிவு சவாரி")</f>
        <v>சரிவு சவாரி</v>
      </c>
      <c r="D289" s="6" t="str">
        <f>IFERROR(__xludf.DUMMYFUNCTION("GOOGLETRANSLATE(B289, ""en"", ""hi"")"),"ढलान वाली सवारी")</f>
        <v>ढलान वाली सवारी</v>
      </c>
      <c r="E289" s="6" t="str">
        <f>IFERROR(__xludf.DUMMYFUNCTION("GOOGLETRANSLATE(B289, ""en"", ""kn"")"),"ಇಳಿಜಾರಿನ ಸವಾರಿ")</f>
        <v>ಇಳಿಜಾರಿನ ಸವಾರಿ</v>
      </c>
      <c r="F289" s="7" t="str">
        <f>IFERROR(__xludf.DUMMYFUNCTION("GOOGLETRANSLATE(B289, ""en"", ""ml"")"),"ഡെക്ലിൻ റൈഡ്")</f>
        <v>ഡെക്ലിൻ റൈഡ്</v>
      </c>
      <c r="G289" s="7" t="str">
        <f>IFERROR(__xludf.DUMMYFUNCTION("GOOGLETRANSLATE(B289, ""en"", ""te"")"),"తిరోగమన రైడ్")</f>
        <v>తిరోగమన రైడ్</v>
      </c>
    </row>
    <row r="290">
      <c r="A290" s="4" t="s">
        <v>560</v>
      </c>
      <c r="B290" s="5" t="s">
        <v>561</v>
      </c>
      <c r="C290" s="6" t="str">
        <f>IFERROR(__xludf.DUMMYFUNCTION("GOOGLETRANSLATE(B290, ""en"", ""ta"")"),"சவாரியை ஏற்றுக்கொள்")</f>
        <v>சவாரியை ஏற்றுக்கொள்</v>
      </c>
      <c r="D290" s="6" t="str">
        <f>IFERROR(__xludf.DUMMYFUNCTION("GOOGLETRANSLATE(B290, ""en"", ""hi"")"),"सवारी स्वीकार करें")</f>
        <v>सवारी स्वीकार करें</v>
      </c>
      <c r="E290" s="6" t="str">
        <f>IFERROR(__xludf.DUMMYFUNCTION("GOOGLETRANSLATE(B290, ""en"", ""kn"")"),"ಸವಾರಿಯನ್ನು ಸ್ವೀಕರಿಸಿ")</f>
        <v>ಸವಾರಿಯನ್ನು ಸ್ವೀಕರಿಸಿ</v>
      </c>
      <c r="F290" s="7" t="str">
        <f>IFERROR(__xludf.DUMMYFUNCTION("GOOGLETRANSLATE(B290, ""en"", ""ml"")"),"സവാരി സ്വീകരിക്കുക")</f>
        <v>സവാരി സ്വീകരിക്കുക</v>
      </c>
      <c r="G290" s="7" t="str">
        <f>IFERROR(__xludf.DUMMYFUNCTION("GOOGLETRANSLATE(B290, ""en"", ""te"")"),"రైడ్‌ను అంగీకరించండి")</f>
        <v>రైడ్‌ను అంగీకరించండి</v>
      </c>
    </row>
    <row r="291">
      <c r="A291" s="4" t="s">
        <v>562</v>
      </c>
      <c r="B291" s="5" t="s">
        <v>563</v>
      </c>
      <c r="C291" s="6" t="str">
        <f>IFERROR(__xludf.DUMMYFUNCTION("GOOGLETRANSLATE(B291, ""en"", ""ta"")"),"முன்பதிவு செய்யப்பட்டது")</f>
        <v>முன்பதிவு செய்யப்பட்டது</v>
      </c>
      <c r="D291" s="6" t="str">
        <f>IFERROR(__xludf.DUMMYFUNCTION("GOOGLETRANSLATE(B291, ""en"", ""hi"")"),"बुक किया गया")</f>
        <v>बुक किया गया</v>
      </c>
      <c r="E291" s="6" t="str">
        <f>IFERROR(__xludf.DUMMYFUNCTION("GOOGLETRANSLATE(B291, ""en"", ""kn"")"),"ಬುಕ್ ಮಾಡಲಾಗಿದೆ")</f>
        <v>ಬುಕ್ ಮಾಡಲಾಗಿದೆ</v>
      </c>
      <c r="F291" s="7" t="str">
        <f>IFERROR(__xludf.DUMMYFUNCTION("GOOGLETRANSLATE(B291, ""en"", ""ml"")"),"ബുക്ക് ചെയ്തത്")</f>
        <v>ബുക്ക് ചെയ്തത്</v>
      </c>
      <c r="G291" s="7" t="str">
        <f>IFERROR(__xludf.DUMMYFUNCTION("GOOGLETRANSLATE(B291, ""en"", ""te"")"),"బుక్ చేయబడింది")</f>
        <v>బుక్ చేయబడింది</v>
      </c>
    </row>
    <row r="292">
      <c r="A292" s="4" t="s">
        <v>564</v>
      </c>
      <c r="B292" s="5" t="s">
        <v>565</v>
      </c>
      <c r="C292" s="6" t="str">
        <f>IFERROR(__xludf.DUMMYFUNCTION("GOOGLETRANSLATE(B292, ""en"", ""ta"")"),"வழிசெலுத்தலைத் தொடங்கு")</f>
        <v>வழிசெலுத்தலைத் தொடங்கு</v>
      </c>
      <c r="D292" s="6" t="str">
        <f>IFERROR(__xludf.DUMMYFUNCTION("GOOGLETRANSLATE(B292, ""en"", ""hi"")"),"नेविगेशन शुरू करें")</f>
        <v>नेविगेशन शुरू करें</v>
      </c>
      <c r="E292" s="6" t="str">
        <f>IFERROR(__xludf.DUMMYFUNCTION("GOOGLETRANSLATE(B292, ""en"", ""kn"")"),"ನ್ಯಾವಿಗೇಷನ್ ಪ್ರಾರಂಭಿಸಿ")</f>
        <v>ನ್ಯಾವಿಗೇಷನ್ ಪ್ರಾರಂಭಿಸಿ</v>
      </c>
      <c r="F292" s="7" t="str">
        <f>IFERROR(__xludf.DUMMYFUNCTION("GOOGLETRANSLATE(B292, ""en"", ""ml"")"),"നാവിഗേഷൻ ആരംഭിക്കുക")</f>
        <v>നാവിഗേഷൻ ആരംഭിക്കുക</v>
      </c>
      <c r="G292" s="7" t="str">
        <f>IFERROR(__xludf.DUMMYFUNCTION("GOOGLETRANSLATE(B292, ""en"", ""te"")"),"నావిగేషన్ ప్రారంభించండి")</f>
        <v>నావిగేషన్ ప్రారంభించండి</v>
      </c>
    </row>
    <row r="293">
      <c r="A293" s="4" t="s">
        <v>566</v>
      </c>
      <c r="B293" s="5" t="s">
        <v>567</v>
      </c>
      <c r="C293" s="6" t="str">
        <f>IFERROR(__xludf.DUMMYFUNCTION("GOOGLETRANSLATE(B293, ""en"", ""ta"")"),"காத்திருக்கும் நேரம்:")</f>
        <v>காத்திருக்கும் நேரம்:</v>
      </c>
      <c r="D293" s="6" t="str">
        <f>IFERROR(__xludf.DUMMYFUNCTION("GOOGLETRANSLATE(B293, ""en"", ""hi"")"),"इंतज़ार का समय:")</f>
        <v>इंतज़ार का समय:</v>
      </c>
      <c r="E293" s="6" t="str">
        <f>IFERROR(__xludf.DUMMYFUNCTION("GOOGLETRANSLATE(B293, ""en"", ""kn"")"),"ಕಾಯುವ ಸಮಯ:")</f>
        <v>ಕಾಯುವ ಸಮಯ:</v>
      </c>
      <c r="F293" s="7" t="str">
        <f>IFERROR(__xludf.DUMMYFUNCTION("GOOGLETRANSLATE(B293, ""en"", ""ml"")"),"കാത്തിരിപ്പ് സമയം:")</f>
        <v>കാത്തിരിപ്പ് സമയം:</v>
      </c>
      <c r="G293" s="7" t="str">
        <f>IFERROR(__xludf.DUMMYFUNCTION("GOOGLETRANSLATE(B293, ""en"", ""te"")"),"వేచి ఉండే సమయం:")</f>
        <v>వేచి ఉండే సమయం:</v>
      </c>
    </row>
    <row r="294">
      <c r="A294" s="4" t="s">
        <v>568</v>
      </c>
      <c r="B294" s="5" t="s">
        <v>569</v>
      </c>
      <c r="C294" s="6" t="str">
        <f>IFERROR(__xludf.DUMMYFUNCTION("GOOGLETRANSLATE(B294, ""en"", ""ta"")"),"டைமரை நிறுத்து")</f>
        <v>டைமரை நிறுத்து</v>
      </c>
      <c r="D294" s="6" t="str">
        <f>IFERROR(__xludf.DUMMYFUNCTION("GOOGLETRANSLATE(B294, ""en"", ""hi"")"),"टाइमर रोकें")</f>
        <v>टाइमर रोकें</v>
      </c>
      <c r="E294" s="6" t="str">
        <f>IFERROR(__xludf.DUMMYFUNCTION("GOOGLETRANSLATE(B294, ""en"", ""kn"")"),"ಟೈಮರ್ ನಿಲ್ಲಿಸಿ")</f>
        <v>ಟೈಮರ್ ನಿಲ್ಲಿಸಿ</v>
      </c>
      <c r="F294" s="7" t="str">
        <f>IFERROR(__xludf.DUMMYFUNCTION("GOOGLETRANSLATE(B294, ""en"", ""ml"")"),"ടൈമർ നിർത്തുക")</f>
        <v>ടൈമർ നിർത്തുക</v>
      </c>
      <c r="G294" s="7" t="str">
        <f>IFERROR(__xludf.DUMMYFUNCTION("GOOGLETRANSLATE(B294, ""en"", ""te"")"),"టైమర్ ఆపు")</f>
        <v>టైమర్ ఆపు</v>
      </c>
    </row>
    <row r="295">
      <c r="A295" s="4" t="s">
        <v>570</v>
      </c>
      <c r="B295" s="5" t="s">
        <v>571</v>
      </c>
      <c r="C295" s="6" t="str">
        <f>IFERROR(__xludf.DUMMYFUNCTION("GOOGLETRANSLATE(B295, ""en"", ""ta"")"),"அடைந்தது")</f>
        <v>அடைந்தது</v>
      </c>
      <c r="D295" s="6" t="str">
        <f>IFERROR(__xludf.DUMMYFUNCTION("GOOGLETRANSLATE(B295, ""en"", ""hi"")"),"पहुँच गया")</f>
        <v>पहुँच गया</v>
      </c>
      <c r="E295" s="6" t="str">
        <f>IFERROR(__xludf.DUMMYFUNCTION("GOOGLETRANSLATE(B295, ""en"", ""kn"")"),"ತಲುಪಲಾಗಿದೆ")</f>
        <v>ತಲುಪಲಾಗಿದೆ</v>
      </c>
      <c r="F295" s="7" t="str">
        <f>IFERROR(__xludf.DUMMYFUNCTION("GOOGLETRANSLATE(B295, ""en"", ""ml"")"),"എത്തിച്ചേർന്നു")</f>
        <v>എത്തിച്ചേർന്നു</v>
      </c>
      <c r="G295" s="7" t="str">
        <f>IFERROR(__xludf.DUMMYFUNCTION("GOOGLETRANSLATE(B295, ""en"", ""te"")"),"చేరుకున్నారు")</f>
        <v>చేరుకున్నారు</v>
      </c>
    </row>
    <row r="296">
      <c r="A296" s="4" t="s">
        <v>572</v>
      </c>
      <c r="B296" s="5" t="s">
        <v>573</v>
      </c>
      <c r="C296" s="6" t="str">
        <f>IFERROR(__xludf.DUMMYFUNCTION("GOOGLETRANSLATE(B296, ""en"", ""ta"")"),"நிலையைப் புதுப்பிக்க அழுத்தவும்.")</f>
        <v>நிலையைப் புதுப்பிக்க அழுத்தவும்.</v>
      </c>
      <c r="D296" s="6" t="str">
        <f>IFERROR(__xludf.DUMMYFUNCTION("GOOGLETRANSLATE(B296, ""en"", ""hi"")"),"स्थिति अपडेट करने के लिए दबाएँ")</f>
        <v>स्थिति अपडेट करने के लिए दबाएँ</v>
      </c>
      <c r="E296" s="6" t="str">
        <f>IFERROR(__xludf.DUMMYFUNCTION("GOOGLETRANSLATE(B296, ""en"", ""kn"")"),"ಸ್ಥಿತಿಯನ್ನು ನವೀಕರಿಸಲು ಒತ್ತಿರಿ")</f>
        <v>ಸ್ಥಿತಿಯನ್ನು ನವೀಕರಿಸಲು ಒತ್ತಿರಿ</v>
      </c>
      <c r="F296" s="7" t="str">
        <f>IFERROR(__xludf.DUMMYFUNCTION("GOOGLETRANSLATE(B296, ""en"", ""ml"")"),"സ്റ്റാറ്റസ് അപ്ഡേറ്റ് ചെയ്യാൻ അമർത്തുക")</f>
        <v>സ്റ്റാറ്റസ് അപ്ഡേറ്റ് ചെയ്യാൻ അമർത്തുക</v>
      </c>
      <c r="G296" s="7" t="str">
        <f>IFERROR(__xludf.DUMMYFUNCTION("GOOGLETRANSLATE(B296, ""en"", ""te"")"),"స్థితిని నవీకరించడానికి నొక్కండి")</f>
        <v>స్థితిని నవీకరించడానికి నొక్కండి</v>
      </c>
    </row>
    <row r="297">
      <c r="A297" s="4" t="s">
        <v>574</v>
      </c>
      <c r="B297" s="5" t="s">
        <v>575</v>
      </c>
      <c r="C297" s="6" t="str">
        <f>IFERROR(__xludf.DUMMYFUNCTION("GOOGLETRANSLATE(B297, ""en"", ""ta"")"),"பிக்அப் இடத்திற்கு வந்து சேர்ந்தீர்களா?")</f>
        <v>பிக்அப் இடத்திற்கு வந்து சேர்ந்தீர்களா?</v>
      </c>
      <c r="D297" s="6" t="str">
        <f>IFERROR(__xludf.DUMMYFUNCTION("GOOGLETRANSLATE(B297, ""en"", ""hi"")"),"पिकअप स्थान पर पहुंच गए?")</f>
        <v>पिकअप स्थान पर पहुंच गए?</v>
      </c>
      <c r="E297" s="6" t="str">
        <f>IFERROR(__xludf.DUMMYFUNCTION("GOOGLETRANSLATE(B297, ""en"", ""kn"")"),"ಪಿಕಪ್ ಸ್ಥಳಕ್ಕೆ ಬಂದಿದ್ದೀರಾ?")</f>
        <v>ಪಿಕಪ್ ಸ್ಥಳಕ್ಕೆ ಬಂದಿದ್ದೀರಾ?</v>
      </c>
      <c r="F297" s="7" t="str">
        <f>IFERROR(__xludf.DUMMYFUNCTION("GOOGLETRANSLATE(B297, ""en"", ""ml"")"),"പിക്കപ്പ് ലൊക്കേഷനിൽ എത്തിയോ?")</f>
        <v>പിക്കപ്പ് ലൊക്കേഷനിൽ എത്തിയോ?</v>
      </c>
      <c r="G297" s="7" t="str">
        <f>IFERROR(__xludf.DUMMYFUNCTION("GOOGLETRANSLATE(B297, ""en"", ""te"")"),"పికప్ లొకేషన్‌కి వచ్చారా?")</f>
        <v>పికప్ లొకేషన్‌కి వచ్చారా?</v>
      </c>
    </row>
    <row r="298">
      <c r="A298" s="4" t="s">
        <v>576</v>
      </c>
      <c r="B298" s="5" t="s">
        <v>577</v>
      </c>
      <c r="C298" s="6" t="str">
        <f>IFERROR(__xludf.DUMMYFUNCTION("GOOGLETRANSLATE(B298, ""en"", ""ta"")"),"எச்சரிக்கை")</f>
        <v>எச்சரிக்கை</v>
      </c>
      <c r="D298" s="6" t="str">
        <f>IFERROR(__xludf.DUMMYFUNCTION("GOOGLETRANSLATE(B298, ""en"", ""hi"")"),"चेतावनी")</f>
        <v>चेतावनी</v>
      </c>
      <c r="E298" s="6" t="str">
        <f>IFERROR(__xludf.DUMMYFUNCTION("GOOGLETRANSLATE(B298, ""en"", ""kn"")"),"ಎಚ್ಚರಿಕೆ")</f>
        <v>ಎಚ್ಚರಿಕೆ</v>
      </c>
      <c r="F298" s="7" t="str">
        <f>IFERROR(__xludf.DUMMYFUNCTION("GOOGLETRANSLATE(B298, ""en"", ""ml"")"),"അലേർട്ട്")</f>
        <v>അലേർട്ട്</v>
      </c>
      <c r="G298" s="7" t="str">
        <f>IFERROR(__xludf.DUMMYFUNCTION("GOOGLETRANSLATE(B298, ""en"", ""te"")"),"హెచ్చరిక")</f>
        <v>హెచ్చరిక</v>
      </c>
    </row>
    <row r="299">
      <c r="A299" s="4" t="s">
        <v>578</v>
      </c>
      <c r="B299" s="5" t="s">
        <v>579</v>
      </c>
      <c r="C299" s="6" t="str">
        <f>IFERROR(__xludf.DUMMYFUNCTION("GOOGLETRANSLATE(B299, ""en"", ""ta"")"),"OTP ஐ உள்ளிடவும்")</f>
        <v>OTP ஐ உள்ளிடவும்</v>
      </c>
      <c r="D299" s="6" t="str">
        <f>IFERROR(__xludf.DUMMYFUNCTION("GOOGLETRANSLATE(B299, ""en"", ""hi"")"),"ओटीपी दर्ज करें")</f>
        <v>ओटीपी दर्ज करें</v>
      </c>
      <c r="E299" s="6" t="str">
        <f>IFERROR(__xludf.DUMMYFUNCTION("GOOGLETRANSLATE(B299, ""en"", ""kn"")"),"ಒಟಿಪಿ ನಮೂದಿಸಿ")</f>
        <v>ಒಟಿಪಿ ನಮೂದಿಸಿ</v>
      </c>
      <c r="F299" s="7" t="str">
        <f>IFERROR(__xludf.DUMMYFUNCTION("GOOGLETRANSLATE(B299, ""en"", ""ml"")"),"OTP നൽകുക")</f>
        <v>OTP നൽകുക</v>
      </c>
      <c r="G299" s="7" t="str">
        <f>IFERROR(__xludf.DUMMYFUNCTION("GOOGLETRANSLATE(B299, ""en"", ""te"")"),"OTP ని నమోదు చేయండి")</f>
        <v>OTP ని నమోదు చేయండి</v>
      </c>
    </row>
    <row r="300">
      <c r="A300" s="4" t="s">
        <v>580</v>
      </c>
      <c r="B300" s="5" t="s">
        <v>581</v>
      </c>
      <c r="C300" s="6" t="str">
        <f>IFERROR(__xludf.DUMMYFUNCTION("GOOGLETRANSLATE(B300, ""en"", ""ta"")"),"நீங்கள் வெற்றிகரமாக உங்கள் இலக்கை அடைந்துவிட்டீர்கள்.")</f>
        <v>நீங்கள் வெற்றிகரமாக உங்கள் இலக்கை அடைந்துவிட்டீர்கள்.</v>
      </c>
      <c r="D300" s="6" t="str">
        <f>IFERROR(__xludf.DUMMYFUNCTION("GOOGLETRANSLATE(B300, ""en"", ""hi"")"),"आप सफलतापूर्वक अपने गंतव्य तक पहुंच गए हैं।")</f>
        <v>आप सफलतापूर्वक अपने गंतव्य तक पहुंच गए हैं।</v>
      </c>
      <c r="E300" s="6" t="str">
        <f>IFERROR(__xludf.DUMMYFUNCTION("GOOGLETRANSLATE(B300, ""en"", ""kn"")"),"ನೀವು ನಿಮ್ಮ ಗಮ್ಯಸ್ಥಾನವನ್ನು ಯಶಸ್ವಿಯಾಗಿ ತಲುಪಿದ್ದೀರಿ.")</f>
        <v>ನೀವು ನಿಮ್ಮ ಗಮ್ಯಸ್ಥಾನವನ್ನು ಯಶಸ್ವಿಯಾಗಿ ತಲುಪಿದ್ದೀರಿ.</v>
      </c>
      <c r="F300" s="7" t="str">
        <f>IFERROR(__xludf.DUMMYFUNCTION("GOOGLETRANSLATE(B300, ""en"", ""ml"")"),"നിങ്ങൾ വിജയകരമായി നിങ്ങളുടെ ലക്ഷ്യസ്ഥാനത്ത് എത്തിയിരിക്കുന്നു.")</f>
        <v>നിങ്ങൾ വിജയകരമായി നിങ്ങളുടെ ലക്ഷ്യസ്ഥാനത്ത് എത്തിയിരിക്കുന്നു.</v>
      </c>
      <c r="G300" s="7" t="str">
        <f>IFERROR(__xludf.DUMMYFUNCTION("GOOGLETRANSLATE(B300, ""en"", ""te"")"),"మీరు మీ గమ్యస్థానాన్ని విజయవంతంగా చేరుకున్నారు.")</f>
        <v>మీరు మీ గమ్యస్థానాన్ని విజయవంతంగా చేరుకున్నారు.</v>
      </c>
    </row>
    <row r="301">
      <c r="A301" s="4" t="s">
        <v>582</v>
      </c>
      <c r="B301" s="5" t="s">
        <v>583</v>
      </c>
      <c r="C301" s="6" t="str">
        <f>IFERROR(__xludf.DUMMYFUNCTION("GOOGLETRANSLATE(B301, ""en"", ""ta"")"),"பயணத்தை முடிக்கவும்")</f>
        <v>பயணத்தை முடிக்கவும்</v>
      </c>
      <c r="D301" s="6" t="str">
        <f>IFERROR(__xludf.DUMMYFUNCTION("GOOGLETRANSLATE(B301, ""en"", ""hi"")"),"यात्रा समाप्त")</f>
        <v>यात्रा समाप्त</v>
      </c>
      <c r="E301" s="6" t="str">
        <f>IFERROR(__xludf.DUMMYFUNCTION("GOOGLETRANSLATE(B301, ""en"", ""kn"")"),"ಪ್ರವಾಸ ಅಂತ್ಯಗೊಳಿಸಿ")</f>
        <v>ಪ್ರವಾಸ ಅಂತ್ಯಗೊಳಿಸಿ</v>
      </c>
      <c r="F301" s="7" t="str">
        <f>IFERROR(__xludf.DUMMYFUNCTION("GOOGLETRANSLATE(B301, ""en"", ""ml"")"),"യാത്ര അവസാനിപ്പിക്കുക")</f>
        <v>യാത്ര അവസാനിപ്പിക്കുക</v>
      </c>
      <c r="G301" s="7" t="str">
        <f>IFERROR(__xludf.DUMMYFUNCTION("GOOGLETRANSLATE(B301, ""en"", ""te"")"),"యాత్రను ముగించు")</f>
        <v>యాత్రను ముగించు</v>
      </c>
    </row>
    <row r="302">
      <c r="A302" s="4" t="s">
        <v>584</v>
      </c>
      <c r="B302" s="5" t="s">
        <v>585</v>
      </c>
      <c r="C302" s="6" t="str">
        <f>IFERROR(__xludf.DUMMYFUNCTION("GOOGLETRANSLATE(B302, ""en"", ""ta"")"),"தேவையான அனுமதிகளை இயக்கவும்.")</f>
        <v>தேவையான அனுமதிகளை இயக்கவும்.</v>
      </c>
      <c r="D302" s="6" t="str">
        <f>IFERROR(__xludf.DUMMYFUNCTION("GOOGLETRANSLATE(B302, ""en"", ""hi"")"),"कृपया आवश्यक अनुमतियाँ सक्षम करें")</f>
        <v>कृपया आवश्यक अनुमतियाँ सक्षम करें</v>
      </c>
      <c r="E302" s="6" t="str">
        <f>IFERROR(__xludf.DUMMYFUNCTION("GOOGLETRANSLATE(B302, ""en"", ""kn"")"),"ದಯವಿಟ್ಟು ಅಗತ್ಯವಿರುವ ಅನುಮತಿಗಳನ್ನು ಸಕ್ರಿಯಗೊಳಿಸಿ.")</f>
        <v>ದಯವಿಟ್ಟು ಅಗತ್ಯವಿರುವ ಅನುಮತಿಗಳನ್ನು ಸಕ್ರಿಯಗೊಳಿಸಿ.</v>
      </c>
      <c r="F302" s="7" t="str">
        <f>IFERROR(__xludf.DUMMYFUNCTION("GOOGLETRANSLATE(B302, ""en"", ""ml"")"),"ആവശ്യമായ അനുമതികൾ പ്രവർത്തനക്ഷമമാക്കുക.")</f>
        <v>ആവശ്യമായ അനുമതികൾ പ്രവർത്തനക്ഷമമാക്കുക.</v>
      </c>
      <c r="G302" s="7" t="str">
        <f>IFERROR(__xludf.DUMMYFUNCTION("GOOGLETRANSLATE(B302, ""en"", ""te"")"),"దయచేసి అవసరమైన అనుమతులను ప్రారంభించండి.")</f>
        <v>దయచేసి అవసరమైన అనుమతులను ప్రారంభించండి.</v>
      </c>
    </row>
    <row r="303">
      <c r="A303" s="4" t="s">
        <v>329</v>
      </c>
      <c r="B303" s="5" t="s">
        <v>330</v>
      </c>
      <c r="C303" s="6" t="str">
        <f>IFERROR(__xludf.DUMMYFUNCTION("GOOGLETRANSLATE(B303, ""en"", ""ta"")"),"இப்போதே இயக்கு")</f>
        <v>இப்போதே இயக்கு</v>
      </c>
      <c r="D303" s="6" t="str">
        <f>IFERROR(__xludf.DUMMYFUNCTION("GOOGLETRANSLATE(B303, ""en"", ""hi"")"),"अभी सक्षम करें")</f>
        <v>अभी सक्षम करें</v>
      </c>
      <c r="E303" s="6" t="str">
        <f>IFERROR(__xludf.DUMMYFUNCTION("GOOGLETRANSLATE(B303, ""en"", ""kn"")"),"ಈಗ ಸಕ್ರಿಯಗೊಳಿಸಿ")</f>
        <v>ಈಗ ಸಕ್ರಿಯಗೊಳಿಸಿ</v>
      </c>
      <c r="F303" s="7" t="str">
        <f>IFERROR(__xludf.DUMMYFUNCTION("GOOGLETRANSLATE(B303, ""en"", ""ml"")"),"ഇപ്പോൾ പ്രവർത്തനക്ഷമമാക്കുക")</f>
        <v>ഇപ്പോൾ പ്രവർത്തനക്ഷമമാക്കുക</v>
      </c>
      <c r="G303" s="7" t="str">
        <f>IFERROR(__xludf.DUMMYFUNCTION("GOOGLETRANSLATE(B303, ""en"", ""te"")"),"ఇప్పుడే ప్రారంభించు")</f>
        <v>ఇప్పుడే ప్రారంభించు</v>
      </c>
    </row>
    <row r="304">
      <c r="A304" s="4" t="s">
        <v>586</v>
      </c>
      <c r="B304" s="5" t="s">
        <v>587</v>
      </c>
      <c r="C304" s="6" t="str">
        <f>IFERROR(__xludf.DUMMYFUNCTION("GOOGLETRANSLATE(B304, ""en"", ""ta"")"),"இடம் கிடைக்கவில்லை.")</f>
        <v>இடம் கிடைக்கவில்லை.</v>
      </c>
      <c r="D304" s="6" t="str">
        <f>IFERROR(__xludf.DUMMYFUNCTION("GOOGLETRANSLATE(B304, ""en"", ""hi"")"),"स्थान नहीं मिला")</f>
        <v>स्थान नहीं मिला</v>
      </c>
      <c r="E304" s="6" t="str">
        <f>IFERROR(__xludf.DUMMYFUNCTION("GOOGLETRANSLATE(B304, ""en"", ""kn"")"),"ಸ್ಥಳ ಕಂಡುಬಂದಿಲ್ಲ.")</f>
        <v>ಸ್ಥಳ ಕಂಡುಬಂದಿಲ್ಲ.</v>
      </c>
      <c r="F304" s="7" t="str">
        <f>IFERROR(__xludf.DUMMYFUNCTION("GOOGLETRANSLATE(B304, ""en"", ""ml"")"),"സ്ഥലം കണ്ടെത്തിയില്ല.")</f>
        <v>സ്ഥലം കണ്ടെത്തിയില്ല.</v>
      </c>
      <c r="G304" s="7" t="str">
        <f>IFERROR(__xludf.DUMMYFUNCTION("GOOGLETRANSLATE(B304, ""en"", ""te"")"),"స్థానం కనుగొనబడలేదు")</f>
        <v>స్థానం కనుగొనబడలేదు</v>
      </c>
    </row>
    <row r="305">
      <c r="A305" s="4" t="s">
        <v>588</v>
      </c>
      <c r="B305" s="5" t="s">
        <v>589</v>
      </c>
      <c r="C305" s="6" t="str">
        <f>IFERROR(__xludf.DUMMYFUNCTION("GOOGLETRANSLATE(B305, ""en"", ""ta"")"),"மீண்டும் முயற்சிக்கவும்")</f>
        <v>மீண்டும் முயற்சிக்கவும்</v>
      </c>
      <c r="D305" s="6" t="str">
        <f>IFERROR(__xludf.DUMMYFUNCTION("GOOGLETRANSLATE(B305, ""en"", ""hi"")"),"पुनः प्रयास करें")</f>
        <v>पुनः प्रयास करें</v>
      </c>
      <c r="E305" s="6" t="str">
        <f>IFERROR(__xludf.DUMMYFUNCTION("GOOGLETRANSLATE(B305, ""en"", ""kn"")"),"ಮತ್ತೆ ಪ್ರಯತ್ನಿಸಿ")</f>
        <v>ಮತ್ತೆ ಪ್ರಯತ್ನಿಸಿ</v>
      </c>
      <c r="F305" s="7" t="str">
        <f>IFERROR(__xludf.DUMMYFUNCTION("GOOGLETRANSLATE(B305, ""en"", ""ml"")"),"വീണ്ടും ശ്രമിക്കുക")</f>
        <v>വീണ്ടും ശ്രമിക്കുക</v>
      </c>
      <c r="G305" s="7" t="str">
        <f>IFERROR(__xludf.DUMMYFUNCTION("GOOGLETRANSLATE(B305, ""en"", ""te"")"),"మళ్ళీ ప్రయత్నించండి")</f>
        <v>మళ్ళీ ప్రయత్నించండి</v>
      </c>
    </row>
    <row r="306">
      <c r="A306" s="4" t="s">
        <v>590</v>
      </c>
      <c r="B306" s="5" t="s">
        <v>591</v>
      </c>
      <c r="C306" s="6" t="str">
        <f>IFERROR(__xludf.DUMMYFUNCTION("GOOGLETRANSLATE(B306, ""en"", ""ta"")"),"தயவுசெய்து OTP ஐ உள்ளிடவும்.")</f>
        <v>தயவுசெய்து OTP ஐ உள்ளிடவும்.</v>
      </c>
      <c r="D306" s="6" t="str">
        <f>IFERROR(__xludf.DUMMYFUNCTION("GOOGLETRANSLATE(B306, ""en"", ""hi"")"),"कृपया ओटीपी दर्ज करें")</f>
        <v>कृपया ओटीपी दर्ज करें</v>
      </c>
      <c r="E306" s="6" t="str">
        <f>IFERROR(__xludf.DUMMYFUNCTION("GOOGLETRANSLATE(B306, ""en"", ""kn"")"),"ದಯವಿಟ್ಟು OTP ನಮೂದಿಸಿ")</f>
        <v>ದಯವಿಟ್ಟು OTP ನಮೂದಿಸಿ</v>
      </c>
      <c r="F306" s="7" t="str">
        <f>IFERROR(__xludf.DUMMYFUNCTION("GOOGLETRANSLATE(B306, ""en"", ""ml"")"),"ദയവായി OTP നൽകുക")</f>
        <v>ദയവായി OTP നൽകുക</v>
      </c>
      <c r="G306" s="7" t="str">
        <f>IFERROR(__xludf.DUMMYFUNCTION("GOOGLETRANSLATE(B306, ""en"", ""te"")"),"దయచేసి OTP ని నమోదు చేయండి")</f>
        <v>దయచేసి OTP ని నమోదు చేయండి</v>
      </c>
    </row>
    <row r="307">
      <c r="A307" s="4" t="s">
        <v>592</v>
      </c>
      <c r="B307" s="5" t="s">
        <v>593</v>
      </c>
      <c r="C307" s="6" t="str">
        <f>IFERROR(__xludf.DUMMYFUNCTION("GOOGLETRANSLATE(B307, ""en"", ""ta"")"),"நீங்கள் உங்கள் பிக்அப் இடத்தை அடைந்துவிட்டீர்கள்.")</f>
        <v>நீங்கள் உங்கள் பிக்அப் இடத்தை அடைந்துவிட்டீர்கள்.</v>
      </c>
      <c r="D307" s="6" t="str">
        <f>IFERROR(__xludf.DUMMYFUNCTION("GOOGLETRANSLATE(B307, ""en"", ""hi"")"),"आप अपने पिकअप स्थान पर पहुंच गए हैं।")</f>
        <v>आप अपने पिकअप स्थान पर पहुंच गए हैं।</v>
      </c>
      <c r="E307" s="6" t="str">
        <f>IFERROR(__xludf.DUMMYFUNCTION("GOOGLETRANSLATE(B307, ""en"", ""kn"")"),"ನೀವು ನಿಮ್ಮ ಪಿಕಪ್ ಸ್ಥಳವನ್ನು ತಲುಪಿದ್ದೀರಿ.")</f>
        <v>ನೀವು ನಿಮ್ಮ ಪಿಕಪ್ ಸ್ಥಳವನ್ನು ತಲುಪಿದ್ದೀರಿ.</v>
      </c>
      <c r="F307" s="7" t="str">
        <f>IFERROR(__xludf.DUMMYFUNCTION("GOOGLETRANSLATE(B307, ""en"", ""ml"")"),"നിങ്ങൾ പിക്കപ്പ് ലൊക്കേഷനിൽ എത്തിയിരിക്കുന്നു.")</f>
        <v>നിങ്ങൾ പിക്കപ്പ് ലൊക്കേഷനിൽ എത്തിയിരിക്കുന്നു.</v>
      </c>
      <c r="G307" s="7" t="str">
        <f>IFERROR(__xludf.DUMMYFUNCTION("GOOGLETRANSLATE(B307, ""en"", ""te"")"),"మీరు మీ పికప్ స్థానానికి చేరుకున్నారు.")</f>
        <v>మీరు మీ పికప్ స్థానానికి చేరుకున్నారు.</v>
      </c>
    </row>
    <row r="308">
      <c r="A308" s="4" t="s">
        <v>594</v>
      </c>
      <c r="B308" s="5" t="s">
        <v>595</v>
      </c>
      <c r="C308" s="6" t="str">
        <f>IFERROR(__xludf.DUMMYFUNCTION("GOOGLETRANSLATE(B308, ""en"", ""ta"")"),"தயவுசெய்து OTP ஐ உள்ளிடவும்.")</f>
        <v>தயவுசெய்து OTP ஐ உள்ளிடவும்.</v>
      </c>
      <c r="D308" s="6" t="str">
        <f>IFERROR(__xludf.DUMMYFUNCTION("GOOGLETRANSLATE(B308, ""en"", ""hi"")"),"कृपया ओटीपी दर्ज करें")</f>
        <v>कृपया ओटीपी दर्ज करें</v>
      </c>
      <c r="E308" s="6" t="str">
        <f>IFERROR(__xludf.DUMMYFUNCTION("GOOGLETRANSLATE(B308, ""en"", ""kn"")"),"ದಯವಿಟ್ಟು OTP ನಮೂದಿಸಿ")</f>
        <v>ದಯವಿಟ್ಟು OTP ನಮೂದಿಸಿ</v>
      </c>
      <c r="F308" s="7" t="str">
        <f>IFERROR(__xludf.DUMMYFUNCTION("GOOGLETRANSLATE(B308, ""en"", ""ml"")"),"ദയവായി OTP നൽകുക")</f>
        <v>ദയവായി OTP നൽകുക</v>
      </c>
      <c r="G308" s="7" t="str">
        <f>IFERROR(__xludf.DUMMYFUNCTION("GOOGLETRANSLATE(B308, ""en"", ""te"")"),"దయచేసి OTP ని నమోదు చేయండి")</f>
        <v>దయచేసి OTP ని నమోదు చేయండి</v>
      </c>
    </row>
    <row r="309">
      <c r="A309" s="4" t="s">
        <v>596</v>
      </c>
      <c r="B309" s="5" t="s">
        <v>597</v>
      </c>
      <c r="C309" s="6" t="str">
        <f>IFERROR(__xludf.DUMMYFUNCTION("GOOGLETRANSLATE(B309, ""en"", ""ta"")"),"நீங்கள் உங்கள் அடுத்த நிறுத்த இடத்தை அடைந்துவிட்டீர்கள்.")</f>
        <v>நீங்கள் உங்கள் அடுத்த நிறுத்த இடத்தை அடைந்துவிட்டீர்கள்.</v>
      </c>
      <c r="D309" s="6" t="str">
        <f>IFERROR(__xludf.DUMMYFUNCTION("GOOGLETRANSLATE(B309, ""en"", ""hi"")"),"आप अपने अगले पड़ाव पर पहुँच चुके हैं।")</f>
        <v>आप अपने अगले पड़ाव पर पहुँच चुके हैं।</v>
      </c>
      <c r="E309" s="6" t="str">
        <f>IFERROR(__xludf.DUMMYFUNCTION("GOOGLETRANSLATE(B309, ""en"", ""kn"")"),"ನೀವು ನಿಮ್ಮ ಮುಂದಿನ ನಿಲ್ದಾಣದ ಸ್ಥಳವನ್ನು ತಲುಪಿದ್ದೀರಿ.")</f>
        <v>ನೀವು ನಿಮ್ಮ ಮುಂದಿನ ನಿಲ್ದಾಣದ ಸ್ಥಳವನ್ನು ತಲುಪಿದ್ದೀರಿ.</v>
      </c>
      <c r="F309" s="7" t="str">
        <f>IFERROR(__xludf.DUMMYFUNCTION("GOOGLETRANSLATE(B309, ""en"", ""ml"")"),"നിങ്ങൾ അടുത്ത സ്റ്റോപ്പ് സ്ഥലത്ത് എത്തിയിരിക്കുന്നു.")</f>
        <v>നിങ്ങൾ അടുത്ത സ്റ്റോപ്പ് സ്ഥലത്ത് എത്തിയിരിക്കുന്നു.</v>
      </c>
      <c r="G309" s="7" t="str">
        <f>IFERROR(__xludf.DUMMYFUNCTION("GOOGLETRANSLATE(B309, ""en"", ""te"")"),"మీరు మీ తదుపరి స్టాప్ స్థానానికి చేరుకున్నారు.")</f>
        <v>మీరు మీ తదుపరి స్టాప్ స్థానానికి చేరుకున్నారు.</v>
      </c>
    </row>
    <row r="310">
      <c r="A310" s="4" t="s">
        <v>598</v>
      </c>
      <c r="B310" s="5" t="s">
        <v>599</v>
      </c>
      <c r="C310" s="6" t="str">
        <f>IFERROR(__xludf.DUMMYFUNCTION("GOOGLETRANSLATE(B310, ""en"", ""ta"")"),"இன்னும் ஏறவில்லை")</f>
        <v>இன்னும் ஏறவில்லை</v>
      </c>
      <c r="D310" s="6" t="str">
        <f>IFERROR(__xludf.DUMMYFUNCTION("GOOGLETRANSLATE(B310, ""en"", ""hi"")"),"अभी बोर्डिंग बाकी है")</f>
        <v>अभी बोर्डिंग बाकी है</v>
      </c>
      <c r="E310" s="6" t="str">
        <f>IFERROR(__xludf.DUMMYFUNCTION("GOOGLETRANSLATE(B310, ""en"", ""kn"")"),"ಇನ್ನೂ ಹತ್ತಬೇಕಿದೆ")</f>
        <v>ಇನ್ನೂ ಹತ್ತಬೇಕಿದೆ</v>
      </c>
      <c r="F310" s="7" t="str">
        <f>IFERROR(__xludf.DUMMYFUNCTION("GOOGLETRANSLATE(B310, ""en"", ""ml"")"),"ഇനിയും കയറേണ്ടതുണ്ട്")</f>
        <v>ഇനിയും കയറേണ്ടതുണ്ട്</v>
      </c>
      <c r="G310" s="7" t="str">
        <f>IFERROR(__xludf.DUMMYFUNCTION("GOOGLETRANSLATE(B310, ""en"", ""te"")"),"ఇంకా ఎక్కలేదు")</f>
        <v>ఇంకా ఎక్కలేదు</v>
      </c>
    </row>
    <row r="311">
      <c r="A311" s="4" t="s">
        <v>600</v>
      </c>
      <c r="B311" s="5" t="s">
        <v>601</v>
      </c>
      <c r="C311" s="6" t="str">
        <f>IFERROR(__xludf.DUMMYFUNCTION("GOOGLETRANSLATE(B311, ""en"", ""ta"")"),"வழிசெலுத்தல் பயன்முறையைத் தேர்வுசெய்க")</f>
        <v>வழிசெலுத்தல் பயன்முறையைத் தேர்வுசெய்க</v>
      </c>
      <c r="D311" s="6" t="str">
        <f>IFERROR(__xludf.DUMMYFUNCTION("GOOGLETRANSLATE(B311, ""en"", ""hi"")"),"नेविगेशन मोड चुनें")</f>
        <v>नेविगेशन मोड चुनें</v>
      </c>
      <c r="E311" s="6" t="str">
        <f>IFERROR(__xludf.DUMMYFUNCTION("GOOGLETRANSLATE(B311, ""en"", ""kn"")"),"ನ್ಯಾವಿಗೇಷನ್ ಮೋಡ್ ಆಯ್ಕೆಮಾಡಿ")</f>
        <v>ನ್ಯಾವಿಗೇಷನ್ ಮೋಡ್ ಆಯ್ಕೆಮಾಡಿ</v>
      </c>
      <c r="F311" s="7" t="str">
        <f>IFERROR(__xludf.DUMMYFUNCTION("GOOGLETRANSLATE(B311, ""en"", ""ml"")"),"നാവിഗേഷൻ മോഡ് തിരഞ്ഞെടുക്കുക")</f>
        <v>നാവിഗേഷൻ മോഡ് തിരഞ്ഞെടുക്കുക</v>
      </c>
      <c r="G311" s="7" t="str">
        <f>IFERROR(__xludf.DUMMYFUNCTION("GOOGLETRANSLATE(B311, ""en"", ""te"")"),"నావిగేషన్ మోడ్‌ను ఎంచుకోండి")</f>
        <v>నావిగేషన్ మోడ్‌ను ఎంచుకోండి</v>
      </c>
    </row>
    <row r="312">
      <c r="A312" s="4" t="s">
        <v>602</v>
      </c>
      <c r="B312" s="5" t="s">
        <v>603</v>
      </c>
      <c r="C312" s="6" t="str">
        <f>IFERROR(__xludf.DUMMYFUNCTION("GOOGLETRANSLATE(B312, ""en"", ""ta"")"),"கூகிள் வரைபடம்")</f>
        <v>கூகிள் வரைபடம்</v>
      </c>
      <c r="D312" s="6" t="str">
        <f>IFERROR(__xludf.DUMMYFUNCTION("GOOGLETRANSLATE(B312, ""en"", ""hi"")"),"गूगल नक़्शे")</f>
        <v>गूगल नक़्शे</v>
      </c>
      <c r="E312" s="6" t="str">
        <f>IFERROR(__xludf.DUMMYFUNCTION("GOOGLETRANSLATE(B312, ""en"", ""kn"")"),"ಗೂಗಲ್ ನಕ್ಷೆ")</f>
        <v>ಗೂಗಲ್ ನಕ್ಷೆ</v>
      </c>
      <c r="F312" s="7" t="str">
        <f>IFERROR(__xludf.DUMMYFUNCTION("GOOGLETRANSLATE(B312, ""en"", ""ml"")"),"ഗൂഗിൾ മാപ്പ്")</f>
        <v>ഗൂഗിൾ മാപ്പ്</v>
      </c>
      <c r="G312" s="7" t="str">
        <f>IFERROR(__xludf.DUMMYFUNCTION("GOOGLETRANSLATE(B312, ""en"", ""te"")"),"గూగుల్ మ్యాప్")</f>
        <v>గూగుల్ మ్యాప్</v>
      </c>
    </row>
    <row r="313">
      <c r="A313" s="4" t="s">
        <v>604</v>
      </c>
      <c r="B313" s="5" t="s">
        <v>605</v>
      </c>
      <c r="C313" s="6" t="str">
        <f>IFERROR(__xludf.DUMMYFUNCTION("GOOGLETRANSLATE(B313, ""en"", ""ta"")"),"VM வரைபடம்")</f>
        <v>VM வரைபடம்</v>
      </c>
      <c r="D313" s="6" t="str">
        <f>IFERROR(__xludf.DUMMYFUNCTION("GOOGLETRANSLATE(B313, ""en"", ""hi"")"),"वीएम मानचित्र")</f>
        <v>वीएम मानचित्र</v>
      </c>
      <c r="E313" s="6" t="str">
        <f>IFERROR(__xludf.DUMMYFUNCTION("GOOGLETRANSLATE(B313, ""en"", ""kn"")"),"VM ನಕ್ಷೆ")</f>
        <v>VM ನಕ್ಷೆ</v>
      </c>
      <c r="F313" s="7" t="str">
        <f>IFERROR(__xludf.DUMMYFUNCTION("GOOGLETRANSLATE(B313, ""en"", ""ml"")"),"VM മാപ്പ്")</f>
        <v>VM മാപ്പ്</v>
      </c>
      <c r="G313" s="7" t="str">
        <f>IFERROR(__xludf.DUMMYFUNCTION("GOOGLETRANSLATE(B313, ""en"", ""te"")"),"VM మ్యాప్")</f>
        <v>VM మ్యాప్</v>
      </c>
    </row>
    <row r="314">
      <c r="A314" s="4" t="s">
        <v>606</v>
      </c>
      <c r="B314" s="5" t="s">
        <v>607</v>
      </c>
      <c r="C314" s="6" t="str">
        <f>IFERROR(__xludf.DUMMYFUNCTION("GOOGLETRANSLATE(B314, ""en"", ""ta"")"),"செயலில் உள்ள பாதை இல்லை")</f>
        <v>செயலில் உள்ள பாதை இல்லை</v>
      </c>
      <c r="D314" s="6" t="str">
        <f>IFERROR(__xludf.DUMMYFUNCTION("GOOGLETRANSLATE(B314, ""en"", ""hi"")"),"कोई सक्रिय मार्ग नहीं")</f>
        <v>कोई सक्रिय मार्ग नहीं</v>
      </c>
      <c r="E314" s="6" t="str">
        <f>IFERROR(__xludf.DUMMYFUNCTION("GOOGLETRANSLATE(B314, ""en"", ""kn"")"),"ಯಾವುದೇ ಸಕ್ರಿಯ ಮಾರ್ಗವಿಲ್ಲ")</f>
        <v>ಯಾವುದೇ ಸಕ್ರಿಯ ಮಾರ್ಗವಿಲ್ಲ</v>
      </c>
      <c r="F314" s="7" t="str">
        <f>IFERROR(__xludf.DUMMYFUNCTION("GOOGLETRANSLATE(B314, ""en"", ""ml"")"),"സജീവമായ വഴിയില്ല")</f>
        <v>സജീവമായ വഴിയില്ല</v>
      </c>
      <c r="G314" s="7" t="str">
        <f>IFERROR(__xludf.DUMMYFUNCTION("GOOGLETRANSLATE(B314, ""en"", ""te"")"),"యాక్టివ్ రూట్ లేదు")</f>
        <v>యాక్టివ్ రూట్ లేదు</v>
      </c>
    </row>
    <row r="315">
      <c r="A315" s="4" t="s">
        <v>608</v>
      </c>
      <c r="B315" s="5" t="s">
        <v>609</v>
      </c>
      <c r="C315" s="6" t="str">
        <f>IFERROR(__xludf.DUMMYFUNCTION("GOOGLETRANSLATE(B315, ""en"", ""ta"")"),"பயணத்தை ரத்துசெய்")</f>
        <v>பயணத்தை ரத்துசெய்</v>
      </c>
      <c r="D315" s="6" t="str">
        <f>IFERROR(__xludf.DUMMYFUNCTION("GOOGLETRANSLATE(B315, ""en"", ""hi"")"),"राइड रद्द करें")</f>
        <v>राइड रद्द करें</v>
      </c>
      <c r="E315" s="6" t="str">
        <f>IFERROR(__xludf.DUMMYFUNCTION("GOOGLETRANSLATE(B315, ""en"", ""kn"")"),"ಸವಾರಿ ರದ್ದುಗೊಳಿಸಿ")</f>
        <v>ಸವಾರಿ ರದ್ದುಗೊಳಿಸಿ</v>
      </c>
      <c r="F315" s="7" t="str">
        <f>IFERROR(__xludf.DUMMYFUNCTION("GOOGLETRANSLATE(B315, ""en"", ""ml"")"),"റൈഡ് റദ്ദാക്കുക")</f>
        <v>റൈഡ് റദ്ദാക്കുക</v>
      </c>
      <c r="G315" s="7" t="str">
        <f>IFERROR(__xludf.DUMMYFUNCTION("GOOGLETRANSLATE(B315, ""en"", ""te"")"),"రైడ్‌ను రద్దు చేయి")</f>
        <v>రైడ్‌ను రద్దు చేయి</v>
      </c>
    </row>
    <row r="316">
      <c r="A316" s="10" t="s">
        <v>610</v>
      </c>
      <c r="B316" s="9" t="s">
        <v>611</v>
      </c>
      <c r="C316" s="6" t="str">
        <f>IFERROR(__xludf.DUMMYFUNCTION("GOOGLETRANSLATE(B316, ""en"", ""ta"")"),"பயணியை அடைய முடியவில்லை அல்லது பிக்அப் இடத்தில் இல்லை.")</f>
        <v>பயணியை அடைய முடியவில்லை அல்லது பிக்அப் இடத்தில் இல்லை.</v>
      </c>
      <c r="D316" s="6" t="str">
        <f>IFERROR(__xludf.DUMMYFUNCTION("GOOGLETRANSLATE(B316, ""en"", ""hi"")"),"राइडर से संपर्क नहीं हो पा रहा है या वह पिकअप स्थान पर मौजूद नहीं है")</f>
        <v>राइडर से संपर्क नहीं हो पा रहा है या वह पिकअप स्थान पर मौजूद नहीं है</v>
      </c>
      <c r="E316" s="6" t="str">
        <f>IFERROR(__xludf.DUMMYFUNCTION("GOOGLETRANSLATE(B316, ""en"", ""kn"")"),"ಸವಾರನನ್ನು ತಲುಪಲು ಸಾಧ್ಯವಾಗುತ್ತಿಲ್ಲ ಅಥವಾ ಪಿಕಪ್ ಸ್ಥಳದಲ್ಲಿ ಲಭ್ಯವಿಲ್ಲ.")</f>
        <v>ಸವಾರನನ್ನು ತಲುಪಲು ಸಾಧ್ಯವಾಗುತ್ತಿಲ್ಲ ಅಥವಾ ಪಿಕಪ್ ಸ್ಥಳದಲ್ಲಿ ಲಭ್ಯವಿಲ್ಲ.</v>
      </c>
      <c r="F316" s="7" t="str">
        <f>IFERROR(__xludf.DUMMYFUNCTION("GOOGLETRANSLATE(B316, ""en"", ""ml"")"),"റൈഡറെ ബന്ധപ്പെടാൻ കഴിയുന്നില്ല അല്ലെങ്കിൽ പിക്കപ്പ് ലൊക്കേഷനിൽ ഇല്ല.")</f>
        <v>റൈഡറെ ബന്ധപ്പെടാൻ കഴിയുന്നില്ല അല്ലെങ്കിൽ പിക്കപ്പ് ലൊക്കേഷനിൽ ഇല്ല.</v>
      </c>
      <c r="G316" s="7" t="str">
        <f>IFERROR(__xludf.DUMMYFUNCTION("GOOGLETRANSLATE(B316, ""en"", ""te"")"),"రైడర్ అందుబాటులో లేరు లేదా పికప్ లొకేషన్‌లో లేరు")</f>
        <v>రైడర్ అందుబాటులో లేరు లేదా పికప్ లొకేషన్‌లో లేరు</v>
      </c>
    </row>
    <row r="317">
      <c r="A317" s="10" t="s">
        <v>612</v>
      </c>
      <c r="B317" s="9" t="s">
        <v>613</v>
      </c>
      <c r="C317" s="6" t="str">
        <f>IFERROR(__xludf.DUMMYFUNCTION("GOOGLETRANSLATE(B317, ""en"", ""ta"")"),"தவறான அல்லது தொலைவில் உள்ள பிக்அப் இடம்")</f>
        <v>தவறான அல்லது தொலைவில் உள்ள பிக்அப் இடம்</v>
      </c>
      <c r="D317" s="6" t="str">
        <f>IFERROR(__xludf.DUMMYFUNCTION("GOOGLETRANSLATE(B317, ""en"", ""hi"")"),"गलत या बहुत दूर स्थित पिकअप स्थान")</f>
        <v>गलत या बहुत दूर स्थित पिकअप स्थान</v>
      </c>
      <c r="E317" s="6" t="str">
        <f>IFERROR(__xludf.DUMMYFUNCTION("GOOGLETRANSLATE(B317, ""en"", ""kn"")"),"ತಪ್ಪಾದ ಅಥವಾ ದೂರದ ಪಿಕಪ್ ಸ್ಥಳ")</f>
        <v>ತಪ್ಪಾದ ಅಥವಾ ದೂರದ ಪಿಕಪ್ ಸ್ಥಳ</v>
      </c>
      <c r="F317" s="7" t="str">
        <f>IFERROR(__xludf.DUMMYFUNCTION("GOOGLETRANSLATE(B317, ""en"", ""ml"")"),"തെറ്റായ അല്ലെങ്കിൽ അകലെയുള്ള പിക്കപ്പ് ലൊക്കേഷൻ")</f>
        <v>തെറ്റായ അല്ലെങ്കിൽ അകലെയുള്ള പിക്കപ്പ് ലൊക്കേഷൻ</v>
      </c>
      <c r="G317" s="7" t="str">
        <f>IFERROR(__xludf.DUMMYFUNCTION("GOOGLETRANSLATE(B317, ""en"", ""te"")"),"తప్పు లేదా దూరంగా పికప్ స్థానం")</f>
        <v>తప్పు లేదా దూరంగా పికప్ స్థానం</v>
      </c>
    </row>
    <row r="318">
      <c r="A318" s="10" t="s">
        <v>614</v>
      </c>
      <c r="B318" s="9" t="s">
        <v>615</v>
      </c>
      <c r="C318" s="6" t="str">
        <f>IFERROR(__xludf.DUMMYFUNCTION("GOOGLETRANSLATE(B318, ""en"", ""ta"")"),"சேருமிடம் மிக தொலைவில் அல்லது சேவைப் பகுதிக்கு வெளியே உள்ளது.")</f>
        <v>சேருமிடம் மிக தொலைவில் அல்லது சேவைப் பகுதிக்கு வெளியே உள்ளது.</v>
      </c>
      <c r="D318" s="6" t="str">
        <f>IFERROR(__xludf.DUMMYFUNCTION("GOOGLETRANSLATE(B318, ""en"", ""hi"")"),"गंतव्य बहुत दूर है या सेवा क्षेत्र से बाहर है")</f>
        <v>गंतव्य बहुत दूर है या सेवा क्षेत्र से बाहर है</v>
      </c>
      <c r="E318" s="6" t="str">
        <f>IFERROR(__xludf.DUMMYFUNCTION("GOOGLETRANSLATE(B318, ""en"", ""kn"")"),"ಗಮ್ಯಸ್ಥಾನವು ತುಂಬಾ ದೂರದಲ್ಲಿದೆ ಅಥವಾ ಸೇವಾ ಪ್ರದೇಶದ ಹೊರಗೆ ಇದೆ.")</f>
        <v>ಗಮ್ಯಸ್ಥಾನವು ತುಂಬಾ ದೂರದಲ್ಲಿದೆ ಅಥವಾ ಸೇವಾ ಪ್ರದೇಶದ ಹೊರಗೆ ಇದೆ.</v>
      </c>
      <c r="F318" s="7" t="str">
        <f>IFERROR(__xludf.DUMMYFUNCTION("GOOGLETRANSLATE(B318, ""en"", ""ml"")"),"ലക്ഷ്യസ്ഥാനം വളരെ ദൂരെയാണ് അല്ലെങ്കിൽ സേവന മേഖലയ്ക്ക് പുറത്താണ്.")</f>
        <v>ലക്ഷ്യസ്ഥാനം വളരെ ദൂരെയാണ് അല്ലെങ്കിൽ സേവന മേഖലയ്ക്ക് പുറത്താണ്.</v>
      </c>
      <c r="G318" s="7" t="str">
        <f>IFERROR(__xludf.DUMMYFUNCTION("GOOGLETRANSLATE(B318, ""en"", ""te"")"),"గమ్యస్థానం చాలా దూరంలో లేదా సేవా ప్రాంతం వెలుపల ఉంది")</f>
        <v>గమ్యస్థానం చాలా దూరంలో లేదా సేవా ప్రాంతం వెలుపల ఉంది</v>
      </c>
    </row>
    <row r="319">
      <c r="A319" s="10" t="s">
        <v>616</v>
      </c>
      <c r="B319" s="9" t="s">
        <v>617</v>
      </c>
      <c r="C319" s="6" t="str">
        <f>IFERROR(__xludf.DUMMYFUNCTION("GOOGLETRANSLATE(B319, ""en"", ""ta"")"),"முன்பதிவு செய்த பிறகு பயணி டிராப் இடத்தை மாற்றினார்.")</f>
        <v>முன்பதிவு செய்த பிறகு பயணி டிராப் இடத்தை மாற்றினார்.</v>
      </c>
      <c r="D319" s="6" t="str">
        <f>IFERROR(__xludf.DUMMYFUNCTION("GOOGLETRANSLATE(B319, ""en"", ""hi"")"),"बुकिंग के बाद राइडर ने ड्रॉप लोकेशन बदल दी।")</f>
        <v>बुकिंग के बाद राइडर ने ड्रॉप लोकेशन बदल दी।</v>
      </c>
      <c r="E319" s="6" t="str">
        <f>IFERROR(__xludf.DUMMYFUNCTION("GOOGLETRANSLATE(B319, ""en"", ""kn"")"),"ಬುಕಿಂಗ್ ಮಾಡಿದ ನಂತರ ಸವಾರ ಡ್ರಾಪ್ ಸ್ಥಳವನ್ನು ಬದಲಾಯಿಸಿದರು.")</f>
        <v>ಬುಕಿಂಗ್ ಮಾಡಿದ ನಂತರ ಸವಾರ ಡ್ರಾಪ್ ಸ್ಥಳವನ್ನು ಬದಲಾಯಿಸಿದರು.</v>
      </c>
      <c r="F319" s="7" t="str">
        <f>IFERROR(__xludf.DUMMYFUNCTION("GOOGLETRANSLATE(B319, ""en"", ""ml"")"),"ബുക്കിംഗിന് ശേഷം റൈഡർ ഡ്രോപ്പ് ലൊക്കേഷൻ മാറ്റി.")</f>
        <v>ബുക്കിംഗിന് ശേഷം റൈഡർ ഡ്രോപ്പ് ലൊക്കേഷൻ മാറ്റി.</v>
      </c>
      <c r="G319" s="7" t="str">
        <f>IFERROR(__xludf.DUMMYFUNCTION("GOOGLETRANSLATE(B319, ""en"", ""te"")"),"బుకింగ్ తర్వాత రైడర్ డ్రాప్ లొకేషన్ మార్చాడు.")</f>
        <v>బుకింగ్ తర్వాత రైడర్ డ్రాప్ లొకేషన్ మార్చాడు.</v>
      </c>
    </row>
    <row r="320">
      <c r="A320" s="10" t="s">
        <v>618</v>
      </c>
      <c r="B320" s="9" t="s">
        <v>619</v>
      </c>
      <c r="C320" s="6" t="str">
        <f>IFERROR(__xludf.DUMMYFUNCTION("GOOGLETRANSLATE(B320, ""en"", ""ta"")"),"கட்டண முறை ஏற்கத்தக்கதல்ல.")</f>
        <v>கட்டண முறை ஏற்கத்தக்கதல்ல.</v>
      </c>
      <c r="D320" s="6" t="str">
        <f>IFERROR(__xludf.DUMMYFUNCTION("GOOGLETRANSLATE(B320, ""en"", ""hi"")"),"भुगतान का यह तरीका स्वीकार्य नहीं है")</f>
        <v>भुगतान का यह तरीका स्वीकार्य नहीं है</v>
      </c>
      <c r="E320" s="6" t="str">
        <f>IFERROR(__xludf.DUMMYFUNCTION("GOOGLETRANSLATE(B320, ""en"", ""kn"")"),"ಪಾವತಿ ವಿಧಾನ ಸ್ವೀಕಾರಾರ್ಹವಲ್ಲ.")</f>
        <v>ಪಾವತಿ ವಿಧಾನ ಸ್ವೀಕಾರಾರ್ಹವಲ್ಲ.</v>
      </c>
      <c r="F320" s="7" t="str">
        <f>IFERROR(__xludf.DUMMYFUNCTION("GOOGLETRANSLATE(B320, ""en"", ""ml"")"),"പേയ്‌മെന്റ് രീതി സ്വീകാര്യമല്ല.")</f>
        <v>പേയ്‌മെന്റ് രീതി സ്വീകാര്യമല്ല.</v>
      </c>
      <c r="G320" s="7" t="str">
        <f>IFERROR(__xludf.DUMMYFUNCTION("GOOGLETRANSLATE(B320, ""en"", ""te"")"),"చెల్లింపు విధానం ఆమోదయోగ్యం కాదు.")</f>
        <v>చెల్లింపు విధానం ఆమోదయోగ్యం కాదు.</v>
      </c>
    </row>
    <row r="321">
      <c r="A321" s="10" t="s">
        <v>620</v>
      </c>
      <c r="B321" s="9" t="s">
        <v>621</v>
      </c>
      <c r="C321" s="6" t="str">
        <f>IFERROR(__xludf.DUMMYFUNCTION("GOOGLETRANSLATE(B321, ""en"", ""ta"")"),"வாகனப் பிரச்சினை அல்லது குறைந்த எரிபொருள்")</f>
        <v>வாகனப் பிரச்சினை அல்லது குறைந்த எரிபொருள்</v>
      </c>
      <c r="D321" s="6" t="str">
        <f>IFERROR(__xludf.DUMMYFUNCTION("GOOGLETRANSLATE(B321, ""en"", ""hi"")"),"वाहन में कोई समस्या या ईंधन की कमी")</f>
        <v>वाहन में कोई समस्या या ईंधन की कमी</v>
      </c>
      <c r="E321" s="6" t="str">
        <f>IFERROR(__xludf.DUMMYFUNCTION("GOOGLETRANSLATE(B321, ""en"", ""kn"")"),"ವಾಹನ ಸಮಸ್ಯೆ ಅಥವಾ ಕಡಿಮೆ ಇಂಧನ")</f>
        <v>ವಾಹನ ಸಮಸ್ಯೆ ಅಥವಾ ಕಡಿಮೆ ಇಂಧನ</v>
      </c>
      <c r="F321" s="7" t="str">
        <f>IFERROR(__xludf.DUMMYFUNCTION("GOOGLETRANSLATE(B321, ""en"", ""ml"")"),"വാഹന പ്രശ്‌നം അല്ലെങ്കിൽ കുറഞ്ഞ ഇന്ധനം")</f>
        <v>വാഹന പ്രശ്‌നം അല്ലെങ്കിൽ കുറഞ്ഞ ഇന്ധനം</v>
      </c>
      <c r="G321" s="7" t="str">
        <f>IFERROR(__xludf.DUMMYFUNCTION("GOOGLETRANSLATE(B321, ""en"", ""te"")"),"వాహన సమస్య లేదా తక్కువ ఇంధనం")</f>
        <v>వాహన సమస్య లేదా తక్కువ ఇంధనం</v>
      </c>
    </row>
    <row r="322">
      <c r="A322" s="10" t="s">
        <v>622</v>
      </c>
      <c r="B322" s="9" t="s">
        <v>623</v>
      </c>
      <c r="C322" s="6" t="str">
        <f>IFERROR(__xludf.DUMMYFUNCTION("GOOGLETRANSLATE(B322, ""en"", ""ta"")"),"தனிப்பட்ட அவசரநிலை அல்லது உடல்நலக் காரணம்")</f>
        <v>தனிப்பட்ட அவசரநிலை அல்லது உடல்நலக் காரணம்</v>
      </c>
      <c r="D322" s="6" t="str">
        <f>IFERROR(__xludf.DUMMYFUNCTION("GOOGLETRANSLATE(B322, ""en"", ""hi"")"),"व्यक्तिगत आपातकाल या स्वास्थ्य संबंधी कारण")</f>
        <v>व्यक्तिगत आपातकाल या स्वास्थ्य संबंधी कारण</v>
      </c>
      <c r="E322" s="6" t="str">
        <f>IFERROR(__xludf.DUMMYFUNCTION("GOOGLETRANSLATE(B322, ""en"", ""kn"")"),"ವೈಯಕ್ತಿಕ ತುರ್ತು ಪರಿಸ್ಥಿತಿ ಅಥವಾ ಆರೋಗ್ಯ ಕಾರಣ")</f>
        <v>ವೈಯಕ್ತಿಕ ತುರ್ತು ಪರಿಸ್ಥಿತಿ ಅಥವಾ ಆರೋಗ್ಯ ಕಾರಣ</v>
      </c>
      <c r="F322" s="7" t="str">
        <f>IFERROR(__xludf.DUMMYFUNCTION("GOOGLETRANSLATE(B322, ""en"", ""ml"")"),"വ്യക്തിപരമായ അടിയന്തരാവസ്ഥ അല്ലെങ്കിൽ ആരോഗ്യപരമായ കാരണം")</f>
        <v>വ്യക്തിപരമായ അടിയന്തരാവസ്ഥ അല്ലെങ്കിൽ ആരോഗ്യപരമായ കാരണം</v>
      </c>
      <c r="G322" s="7" t="str">
        <f>IFERROR(__xludf.DUMMYFUNCTION("GOOGLETRANSLATE(B322, ""en"", ""te"")"),"వ్యక్తిగత అత్యవసర పరిస్థితి లేదా ఆరోగ్య కారణం")</f>
        <v>వ్యక్తిగత అత్యవసర పరిస్థితి లేదా ఆరోగ్య కారణం</v>
      </c>
    </row>
    <row r="323">
      <c r="A323" s="10" t="s">
        <v>624</v>
      </c>
      <c r="B323" s="9" t="s">
        <v>625</v>
      </c>
      <c r="C323" s="6" t="str">
        <f>IFERROR(__xludf.DUMMYFUNCTION("GOOGLETRANSLATE(B323, ""en"", ""ta"")"),"மோசமான போக்குவரத்து அல்லது வானிலை")</f>
        <v>மோசமான போக்குவரத்து அல்லது வானிலை</v>
      </c>
      <c r="D323" s="6" t="str">
        <f>IFERROR(__xludf.DUMMYFUNCTION("GOOGLETRANSLATE(B323, ""en"", ""hi"")"),"यातायात की खराब स्थिति या मौसम की स्थिति")</f>
        <v>यातायात की खराब स्थिति या मौसम की स्थिति</v>
      </c>
      <c r="E323" s="6" t="str">
        <f>IFERROR(__xludf.DUMMYFUNCTION("GOOGLETRANSLATE(B323, ""en"", ""kn"")"),"ಕಳಪೆ ಸಂಚಾರ ಅಥವಾ ಹವಾಮಾನ ಪರಿಸ್ಥಿತಿಗಳು")</f>
        <v>ಕಳಪೆ ಸಂಚಾರ ಅಥವಾ ಹವಾಮಾನ ಪರಿಸ್ಥಿತಿಗಳು</v>
      </c>
      <c r="F323" s="7" t="str">
        <f>IFERROR(__xludf.DUMMYFUNCTION("GOOGLETRANSLATE(B323, ""en"", ""ml"")"),"മോശം ഗതാഗതം അല്ലെങ്കിൽ കാലാവസ്ഥ")</f>
        <v>മോശം ഗതാഗതം അല്ലെങ്കിൽ കാലാവസ്ഥ</v>
      </c>
      <c r="G323" s="7" t="str">
        <f>IFERROR(__xludf.DUMMYFUNCTION("GOOGLETRANSLATE(B323, ""en"", ""te"")"),"ట్రాఫిక్ లేదా వాతావరణ పరిస్థితులు సరిగా లేకపోవడం")</f>
        <v>ట్రాఫిక్ లేదా వాతావరణ పరిస్థితులు సరిగా లేకపోవడం</v>
      </c>
    </row>
    <row r="324">
      <c r="A324" s="4" t="s">
        <v>626</v>
      </c>
      <c r="B324" s="5" t="s">
        <v>627</v>
      </c>
      <c r="C324" s="6" t="str">
        <f>IFERROR(__xludf.DUMMYFUNCTION("GOOGLETRANSLATE(B324, ""en"", ""ta"")"),"பயணத்தை ரத்து செய்வதற்கான காரணத்தைத் தேர்ந்தெடுக்கவும்:")</f>
        <v>பயணத்தை ரத்து செய்வதற்கான காரணத்தைத் தேர்ந்தெடுக்கவும்:</v>
      </c>
      <c r="D324" s="6" t="str">
        <f>IFERROR(__xludf.DUMMYFUNCTION("GOOGLETRANSLATE(B324, ""en"", ""hi"")"),"कृपया यात्रा रद्द करने का कारण चुनें:")</f>
        <v>कृपया यात्रा रद्द करने का कारण चुनें:</v>
      </c>
      <c r="E324" s="6" t="str">
        <f>IFERROR(__xludf.DUMMYFUNCTION("GOOGLETRANSLATE(B324, ""en"", ""kn"")"),"ದಯವಿಟ್ಟು ಪ್ರವಾಸವನ್ನು ರದ್ದುಗೊಳಿಸಲು ಒಂದು ಕಾರಣವನ್ನು ಆಯ್ಕೆಮಾಡಿ:")</f>
        <v>ದಯವಿಟ್ಟು ಪ್ರವಾಸವನ್ನು ರದ್ದುಗೊಳಿಸಲು ಒಂದು ಕಾರಣವನ್ನು ಆಯ್ಕೆಮಾಡಿ:</v>
      </c>
      <c r="F324" s="7" t="str">
        <f>IFERROR(__xludf.DUMMYFUNCTION("GOOGLETRANSLATE(B324, ""en"", ""ml"")"),"യാത്ര റദ്ദാക്കാനുള്ള കാരണം ദയവായി തിരഞ്ഞെടുക്കുക:")</f>
        <v>യാത്ര റദ്ദാക്കാനുള്ള കാരണം ദയവായി തിരഞ്ഞെടുക്കുക:</v>
      </c>
      <c r="G324" s="7" t="str">
        <f>IFERROR(__xludf.DUMMYFUNCTION("GOOGLETRANSLATE(B324, ""en"", ""te"")"),"దయచేసి ట్రిప్ రద్దు చేసుకోవడానికి ఒక కారణాన్ని ఎంచుకోండి:")</f>
        <v>దయచేసి ట్రిప్ రద్దు చేసుకోవడానికి ఒక కారణాన్ని ఎంచుకోండి:</v>
      </c>
    </row>
    <row r="325">
      <c r="A325" s="4" t="s">
        <v>628</v>
      </c>
      <c r="B325" s="5" t="s">
        <v>629</v>
      </c>
      <c r="C325" s="6" t="str">
        <f>IFERROR(__xludf.DUMMYFUNCTION("GOOGLETRANSLATE(B325, ""en"", ""ta"")"),"ஆதரவு டிக்கெட்")</f>
        <v>ஆதரவு டிக்கெட்</v>
      </c>
      <c r="D325" s="6" t="str">
        <f>IFERROR(__xludf.DUMMYFUNCTION("GOOGLETRANSLATE(B325, ""en"", ""hi"")"),"सहायता टिकट")</f>
        <v>सहायता टिकट</v>
      </c>
      <c r="E325" s="6" t="str">
        <f>IFERROR(__xludf.DUMMYFUNCTION("GOOGLETRANSLATE(B325, ""en"", ""kn"")"),"ಬೆಂಬಲ ಟಿಕೆಟ್")</f>
        <v>ಬೆಂಬಲ ಟಿಕೆಟ್</v>
      </c>
      <c r="F325" s="7" t="str">
        <f>IFERROR(__xludf.DUMMYFUNCTION("GOOGLETRANSLATE(B325, ""en"", ""ml"")"),"സപ്പോർട്ട് ടിക്കറ്റ്")</f>
        <v>സപ്പോർട്ട് ടിക്കറ്റ്</v>
      </c>
      <c r="G325" s="7" t="str">
        <f>IFERROR(__xludf.DUMMYFUNCTION("GOOGLETRANSLATE(B325, ""en"", ""te"")"),"మద్దతు టికెట్")</f>
        <v>మద్దతు టికెట్</v>
      </c>
    </row>
    <row r="326">
      <c r="A326" s="4" t="s">
        <v>630</v>
      </c>
      <c r="B326" s="5" t="s">
        <v>631</v>
      </c>
      <c r="C326" s="6" t="str">
        <f>IFERROR(__xludf.DUMMYFUNCTION("GOOGLETRANSLATE(B326, ""en"", ""ta"")"),"டிக்கெட்டுகளைத் தேடு...")</f>
        <v>டிக்கெட்டுகளைத் தேடு...</v>
      </c>
      <c r="D326" s="6" t="str">
        <f>IFERROR(__xludf.DUMMYFUNCTION("GOOGLETRANSLATE(B326, ""en"", ""hi"")"),"टिकट खोजें...")</f>
        <v>टिकट खोजें...</v>
      </c>
      <c r="E326" s="6" t="str">
        <f>IFERROR(__xludf.DUMMYFUNCTION("GOOGLETRANSLATE(B326, ""en"", ""kn"")"),"ಟಿಕೆಟ್‌ಗಳನ್ನು ಹುಡುಕಿ...")</f>
        <v>ಟಿಕೆಟ್‌ಗಳನ್ನು ಹುಡುಕಿ...</v>
      </c>
      <c r="F326" s="7" t="str">
        <f>IFERROR(__xludf.DUMMYFUNCTION("GOOGLETRANSLATE(B326, ""en"", ""ml"")"),"ടിക്കറ്റുകൾ തിരയുക...")</f>
        <v>ടിക്കറ്റുകൾ തിരയുക...</v>
      </c>
      <c r="G326" s="7" t="str">
        <f>IFERROR(__xludf.DUMMYFUNCTION("GOOGLETRANSLATE(B326, ""en"", ""te"")"),"టిక్కెట్లు శోధించు...")</f>
        <v>టిక్కెట్లు శోధించు...</v>
      </c>
    </row>
    <row r="327">
      <c r="A327" s="4" t="s">
        <v>632</v>
      </c>
      <c r="B327" s="5" t="s">
        <v>633</v>
      </c>
      <c r="C327" s="6" t="str">
        <f>IFERROR(__xludf.DUMMYFUNCTION("GOOGLETRANSLATE(B327, ""en"", ""ta"")"),"அனைத்தும்")</f>
        <v>அனைத்தும்</v>
      </c>
      <c r="D327" s="6" t="str">
        <f>IFERROR(__xludf.DUMMYFUNCTION("GOOGLETRANSLATE(B327, ""en"", ""hi"")"),"सभी")</f>
        <v>सभी</v>
      </c>
      <c r="E327" s="6" t="str">
        <f>IFERROR(__xludf.DUMMYFUNCTION("GOOGLETRANSLATE(B327, ""en"", ""kn"")"),"ಎಲ್ಲವೂ")</f>
        <v>ಎಲ್ಲವೂ</v>
      </c>
      <c r="F327" s="7" t="str">
        <f>IFERROR(__xludf.DUMMYFUNCTION("GOOGLETRANSLATE(B327, ""en"", ""ml"")"),"എല്ലാം")</f>
        <v>എല്ലാം</v>
      </c>
      <c r="G327" s="7" t="str">
        <f>IFERROR(__xludf.DUMMYFUNCTION("GOOGLETRANSLATE(B327, ""en"", ""te"")"),"అన్నీ")</f>
        <v>అన్నీ</v>
      </c>
    </row>
    <row r="328">
      <c r="A328" s="4" t="s">
        <v>634</v>
      </c>
      <c r="B328" s="5" t="s">
        <v>635</v>
      </c>
      <c r="C328" s="6" t="str">
        <f>IFERROR(__xludf.DUMMYFUNCTION("GOOGLETRANSLATE(B328, ""en"", ""ta"")"),"திறந்த")</f>
        <v>திறந்த</v>
      </c>
      <c r="D328" s="6" t="str">
        <f>IFERROR(__xludf.DUMMYFUNCTION("GOOGLETRANSLATE(B328, ""en"", ""hi"")"),"खुला")</f>
        <v>खुला</v>
      </c>
      <c r="E328" s="6" t="str">
        <f>IFERROR(__xludf.DUMMYFUNCTION("GOOGLETRANSLATE(B328, ""en"", ""kn"")"),"ತೆರೆದ")</f>
        <v>ತೆರೆದ</v>
      </c>
      <c r="F328" s="7" t="str">
        <f>IFERROR(__xludf.DUMMYFUNCTION("GOOGLETRANSLATE(B328, ""en"", ""ml"")"),"തുറക്കുക")</f>
        <v>തുറക്കുക</v>
      </c>
      <c r="G328" s="7" t="str">
        <f>IFERROR(__xludf.DUMMYFUNCTION("GOOGLETRANSLATE(B328, ""en"", ""te"")"),"ఓపెన్")</f>
        <v>ఓపెన్</v>
      </c>
    </row>
    <row r="329">
      <c r="A329" s="4" t="s">
        <v>636</v>
      </c>
      <c r="B329" s="5" t="s">
        <v>637</v>
      </c>
      <c r="C329" s="6" t="str">
        <f>IFERROR(__xludf.DUMMYFUNCTION("GOOGLETRANSLATE(B329, ""en"", ""ta"")"),"செயல்பாட்டில் உள்ளது")</f>
        <v>செயல்பாட்டில் உள்ளது</v>
      </c>
      <c r="D329" s="6" t="str">
        <f>IFERROR(__xludf.DUMMYFUNCTION("GOOGLETRANSLATE(B329, ""en"", ""hi"")"),"प्रगति पर है")</f>
        <v>प्रगति पर है</v>
      </c>
      <c r="E329" s="6" t="str">
        <f>IFERROR(__xludf.DUMMYFUNCTION("GOOGLETRANSLATE(B329, ""en"", ""kn"")"),"ಪ್ರಗತಿಯಲ್ಲಿದೆ")</f>
        <v>ಪ್ರಗತಿಯಲ್ಲಿದೆ</v>
      </c>
      <c r="F329" s="7" t="str">
        <f>IFERROR(__xludf.DUMMYFUNCTION("GOOGLETRANSLATE(B329, ""en"", ""ml"")"),"പുരോഗതിയിൽ")</f>
        <v>പുരോഗതിയിൽ</v>
      </c>
      <c r="G329" s="7" t="str">
        <f>IFERROR(__xludf.DUMMYFUNCTION("GOOGLETRANSLATE(B329, ""en"", ""te"")"),"పురోగతిలో ఉంది")</f>
        <v>పురోగతిలో ఉంది</v>
      </c>
    </row>
    <row r="330">
      <c r="A330" s="4" t="s">
        <v>638</v>
      </c>
      <c r="B330" s="5" t="s">
        <v>639</v>
      </c>
      <c r="C330" s="6" t="str">
        <f>IFERROR(__xludf.DUMMYFUNCTION("GOOGLETRANSLATE(B330, ""en"", ""ta"")"),"தீர்க்கப்பட்டது")</f>
        <v>தீர்க்கப்பட்டது</v>
      </c>
      <c r="D330" s="6" t="str">
        <f>IFERROR(__xludf.DUMMYFUNCTION("GOOGLETRANSLATE(B330, ""en"", ""hi"")"),"हल किया")</f>
        <v>हल किया</v>
      </c>
      <c r="E330" s="6" t="str">
        <f>IFERROR(__xludf.DUMMYFUNCTION("GOOGLETRANSLATE(B330, ""en"", ""kn"")"),"ಪರಿಹರಿಸಲಾಗಿದೆ")</f>
        <v>ಪರಿಹರಿಸಲಾಗಿದೆ</v>
      </c>
      <c r="F330" s="7" t="str">
        <f>IFERROR(__xludf.DUMMYFUNCTION("GOOGLETRANSLATE(B330, ""en"", ""ml"")"),"പരിഹരിച്ചു")</f>
        <v>പരിഹരിച്ചു</v>
      </c>
      <c r="G330" s="7" t="str">
        <f>IFERROR(__xludf.DUMMYFUNCTION("GOOGLETRANSLATE(B330, ""en"", ""te"")"),"పరిష్కరించబడింది")</f>
        <v>పరిష్కరించబడింది</v>
      </c>
    </row>
    <row r="331">
      <c r="A331" s="4" t="s">
        <v>640</v>
      </c>
      <c r="B331" s="5" t="s">
        <v>641</v>
      </c>
      <c r="C331" s="6" t="str">
        <f>IFERROR(__xludf.DUMMYFUNCTION("GOOGLETRANSLATE(B331, ""en"", ""ta"")"),"மூடப்பட்டது")</f>
        <v>மூடப்பட்டது</v>
      </c>
      <c r="D331" s="6" t="str">
        <f>IFERROR(__xludf.DUMMYFUNCTION("GOOGLETRANSLATE(B331, ""en"", ""hi"")"),"बंद किया हुआ")</f>
        <v>बंद किया हुआ</v>
      </c>
      <c r="E331" s="6" t="str">
        <f>IFERROR(__xludf.DUMMYFUNCTION("GOOGLETRANSLATE(B331, ""en"", ""kn"")"),"ಮುಚ್ಚಲಾಗಿದೆ")</f>
        <v>ಮುಚ್ಚಲಾಗಿದೆ</v>
      </c>
      <c r="F331" s="7" t="str">
        <f>IFERROR(__xludf.DUMMYFUNCTION("GOOGLETRANSLATE(B331, ""en"", ""ml"")"),"അടച്ചു")</f>
        <v>അടച്ചു</v>
      </c>
      <c r="G331" s="7" t="str">
        <f>IFERROR(__xludf.DUMMYFUNCTION("GOOGLETRANSLATE(B331, ""en"", ""te"")"),"మూసివేయబడింది")</f>
        <v>మూసివేయబడింది</v>
      </c>
    </row>
    <row r="332">
      <c r="A332" s="4" t="s">
        <v>642</v>
      </c>
      <c r="B332" s="5" t="s">
        <v>643</v>
      </c>
      <c r="C332" s="6" t="str">
        <f>IFERROR(__xludf.DUMMYFUNCTION("GOOGLETRANSLATE(B332, ""en"", ""ta"")"),"அதிகரித்தது")</f>
        <v>அதிகரித்தது</v>
      </c>
      <c r="D332" s="6" t="str">
        <f>IFERROR(__xludf.DUMMYFUNCTION("GOOGLETRANSLATE(B332, ""en"", ""hi"")"),"तना हुआ")</f>
        <v>तना हुआ</v>
      </c>
      <c r="E332" s="6" t="str">
        <f>IFERROR(__xludf.DUMMYFUNCTION("GOOGLETRANSLATE(B332, ""en"", ""kn"")"),"ಹೆಚ್ಚಿಸಲಾಗಿದೆ")</f>
        <v>ಹೆಚ್ಚಿಸಲಾಗಿದೆ</v>
      </c>
      <c r="F332" s="7" t="str">
        <f>IFERROR(__xludf.DUMMYFUNCTION("GOOGLETRANSLATE(B332, ""en"", ""ml"")"),"വർദ്ധിച്ചു")</f>
        <v>വർദ്ധിച്ചു</v>
      </c>
      <c r="G332" s="7" t="str">
        <f>IFERROR(__xludf.DUMMYFUNCTION("GOOGLETRANSLATE(B332, ""en"", ""te"")"),"తీవ్రతరం చేయబడింది")</f>
        <v>తీవ్రతరం చేయబడింది</v>
      </c>
    </row>
    <row r="333">
      <c r="A333" s="4" t="s">
        <v>644</v>
      </c>
      <c r="B333" s="5" t="s">
        <v>645</v>
      </c>
      <c r="C333" s="6" t="str">
        <f>IFERROR(__xludf.DUMMYFUNCTION("GOOGLETRANSLATE(B333, ""en"", ""ta"")"),"ஏற்றுவதற்கு இனி டிக்கெட்டுகள் இல்லை.")</f>
        <v>ஏற்றுவதற்கு இனி டிக்கெட்டுகள் இல்லை.</v>
      </c>
      <c r="D333" s="6" t="str">
        <f>IFERROR(__xludf.DUMMYFUNCTION("GOOGLETRANSLATE(B333, ""en"", ""hi"")"),"लोड करने के लिए और टिकट नहीं हैं")</f>
        <v>लोड करने के लिए और टिकट नहीं हैं</v>
      </c>
      <c r="E333" s="6" t="str">
        <f>IFERROR(__xludf.DUMMYFUNCTION("GOOGLETRANSLATE(B333, ""en"", ""kn"")"),"ಲೋಡ್ ಮಾಡಲು ಇನ್ನು ಟಿಕೆಟ್‌ಗಳಿಲ್ಲ.")</f>
        <v>ಲೋಡ್ ಮಾಡಲು ಇನ್ನು ಟಿಕೆಟ್‌ಗಳಿಲ್ಲ.</v>
      </c>
      <c r="F333" s="7" t="str">
        <f>IFERROR(__xludf.DUMMYFUNCTION("GOOGLETRANSLATE(B333, ""en"", ""ml"")"),"ലോഡ് ചെയ്യാൻ ഇനി ടിക്കറ്റുകളൊന്നുമില്ല.")</f>
        <v>ലോഡ് ചെയ്യാൻ ഇനി ടിക്കറ്റുകളൊന്നുമില്ല.</v>
      </c>
      <c r="G333" s="7" t="str">
        <f>IFERROR(__xludf.DUMMYFUNCTION("GOOGLETRANSLATE(B333, ""en"", ""te"")"),"లోడ్ చేయడానికి టిక్కెట్లు లేవు.")</f>
        <v>లోడ్ చేయడానికి టిక్కెట్లు లేవు.</v>
      </c>
    </row>
    <row r="334">
      <c r="A334" s="4" t="s">
        <v>646</v>
      </c>
      <c r="B334" s="5" t="s">
        <v>647</v>
      </c>
      <c r="C334" s="6" t="str">
        <f>IFERROR(__xludf.DUMMYFUNCTION("GOOGLETRANSLATE(B334, ""en"", ""ta"")"),"மேலும் டிக்கெட்டுகளை ஏற்றுகிறது...")</f>
        <v>மேலும் டிக்கெட்டுகளை ஏற்றுகிறது...</v>
      </c>
      <c r="D334" s="6" t="str">
        <f>IFERROR(__xludf.DUMMYFUNCTION("GOOGLETRANSLATE(B334, ""en"", ""hi"")"),"और टिकट लोड हो रहे हैं...")</f>
        <v>और टिकट लोड हो रहे हैं...</v>
      </c>
      <c r="E334" s="6" t="str">
        <f>IFERROR(__xludf.DUMMYFUNCTION("GOOGLETRANSLATE(B334, ""en"", ""kn"")"),"ಇನ್ನಷ್ಟು ಟಿಕೆಟ್‌ಗಳನ್ನು ಲೋಡ್ ಮಾಡಲಾಗುತ್ತಿದೆ...")</f>
        <v>ಇನ್ನಷ್ಟು ಟಿಕೆಟ್‌ಗಳನ್ನು ಲೋಡ್ ಮಾಡಲಾಗುತ್ತಿದೆ...</v>
      </c>
      <c r="F334" s="7" t="str">
        <f>IFERROR(__xludf.DUMMYFUNCTION("GOOGLETRANSLATE(B334, ""en"", ""ml"")"),"കൂടുതൽ ടിക്കറ്റുകൾ ലോഡ് ചെയ്യുന്നു...")</f>
        <v>കൂടുതൽ ടിക്കറ്റുകൾ ലോഡ് ചെയ്യുന്നു...</v>
      </c>
      <c r="G334" s="7" t="str">
        <f>IFERROR(__xludf.DUMMYFUNCTION("GOOGLETRANSLATE(B334, ""en"", ""te"")"),"మరిన్ని టిక్కెట్లు లోడ్ అవుతున్నాయి...")</f>
        <v>మరిన్ని టిక్కెట్లు లోడ్ అవుతున్నాయి...</v>
      </c>
    </row>
    <row r="335">
      <c r="A335" s="4" t="s">
        <v>648</v>
      </c>
      <c r="B335" s="5" t="s">
        <v>649</v>
      </c>
      <c r="C335" s="6" t="str">
        <f>IFERROR(__xludf.DUMMYFUNCTION("GOOGLETRANSLATE(B335, ""en"", ""ta"")"),"டிக்கெட்டை உருவாக்கு")</f>
        <v>டிக்கெட்டை உருவாக்கு</v>
      </c>
      <c r="D335" s="6" t="str">
        <f>IFERROR(__xludf.DUMMYFUNCTION("GOOGLETRANSLATE(B335, ""en"", ""hi"")"),"टिकट बनाएं")</f>
        <v>टिकट बनाएं</v>
      </c>
      <c r="E335" s="6" t="str">
        <f>IFERROR(__xludf.DUMMYFUNCTION("GOOGLETRANSLATE(B335, ""en"", ""kn"")"),"ಟಿಕೆಟ್ ರಚಿಸಿ")</f>
        <v>ಟಿಕೆಟ್ ರಚಿಸಿ</v>
      </c>
      <c r="F335" s="7" t="str">
        <f>IFERROR(__xludf.DUMMYFUNCTION("GOOGLETRANSLATE(B335, ""en"", ""ml"")"),"ടിക്കറ്റ് സൃഷ്ടിക്കുക")</f>
        <v>ടിക്കറ്റ് സൃഷ്ടിക്കുക</v>
      </c>
      <c r="G335" s="7" t="str">
        <f>IFERROR(__xludf.DUMMYFUNCTION("GOOGLETRANSLATE(B335, ""en"", ""te"")"),"టికెట్ సృష్టించండి")</f>
        <v>టికెట్ సృష్టించండి</v>
      </c>
    </row>
    <row r="336">
      <c r="A336" s="4" t="s">
        <v>650</v>
      </c>
      <c r="B336" s="5" t="s">
        <v>651</v>
      </c>
      <c r="C336" s="6" t="str">
        <f>IFERROR(__xludf.DUMMYFUNCTION("GOOGLETRANSLATE(B336, ""en"", ""ta"")"),"டிக்கெட்டுகள் எதுவும் கிடைக்கவில்லை.")</f>
        <v>டிக்கெட்டுகள் எதுவும் கிடைக்கவில்லை.</v>
      </c>
      <c r="D336" s="6" t="str">
        <f>IFERROR(__xludf.DUMMYFUNCTION("GOOGLETRANSLATE(B336, ""en"", ""hi"")"),"कोई टिकट नहीं मिला")</f>
        <v>कोई टिकट नहीं मिला</v>
      </c>
      <c r="E336" s="6" t="str">
        <f>IFERROR(__xludf.DUMMYFUNCTION("GOOGLETRANSLATE(B336, ""en"", ""kn"")"),"ಯಾವುದೇ ಟಿಕೆಟ್‌ಗಳು ಕಂಡುಬಂದಿಲ್ಲ.")</f>
        <v>ಯಾವುದೇ ಟಿಕೆಟ್‌ಗಳು ಕಂಡುಬಂದಿಲ್ಲ.</v>
      </c>
      <c r="F336" s="7" t="str">
        <f>IFERROR(__xludf.DUMMYFUNCTION("GOOGLETRANSLATE(B336, ""en"", ""ml"")"),"ടിക്കറ്റുകളൊന്നും കണ്ടെത്തിയില്ല")</f>
        <v>ടിക്കറ്റുകളൊന്നും കണ്ടെത്തിയില്ല</v>
      </c>
      <c r="G336" s="7" t="str">
        <f>IFERROR(__xludf.DUMMYFUNCTION("GOOGLETRANSLATE(B336, ""en"", ""te"")"),"టిక్కెట్లు దొరకలేదు.")</f>
        <v>టిక్కెట్లు దొరకలేదు.</v>
      </c>
    </row>
    <row r="337">
      <c r="A337" s="4" t="s">
        <v>652</v>
      </c>
      <c r="B337" s="5" t="s">
        <v>653</v>
      </c>
      <c r="C337" s="6" t="str">
        <f>IFERROR(__xludf.DUMMYFUNCTION("GOOGLETRANSLATE(B337, ""en"", ""ta"")"),"உங்கள் தேடல் சொற்களை சரிசெய்ய முயற்சிக்கவும்.")</f>
        <v>உங்கள் தேடல் சொற்களை சரிசெய்ய முயற்சிக்கவும்.</v>
      </c>
      <c r="D337" s="6" t="str">
        <f>IFERROR(__xludf.DUMMYFUNCTION("GOOGLETRANSLATE(B337, ""en"", ""hi"")"),"अपने खोज शब्दों को समायोजित करने का प्रयास करें")</f>
        <v>अपने खोज शब्दों को समायोजित करने का प्रयास करें</v>
      </c>
      <c r="E337" s="6" t="str">
        <f>IFERROR(__xludf.DUMMYFUNCTION("GOOGLETRANSLATE(B337, ""en"", ""kn"")"),"ನಿಮ್ಮ ಹುಡುಕಾಟ ಪದಗಳನ್ನು ಸರಿಹೊಂದಿಸಲು ಪ್ರಯತ್ನಿಸಿ.")</f>
        <v>ನಿಮ್ಮ ಹುಡುಕಾಟ ಪದಗಳನ್ನು ಸರಿಹೊಂದಿಸಲು ಪ್ರಯತ್ನಿಸಿ.</v>
      </c>
      <c r="F337" s="7" t="str">
        <f>IFERROR(__xludf.DUMMYFUNCTION("GOOGLETRANSLATE(B337, ""en"", ""ml"")"),"നിങ്ങളുടെ തിരയൽ പദങ്ങൾ ക്രമീകരിക്കാൻ ശ്രമിക്കുക.")</f>
        <v>നിങ്ങളുടെ തിരയൽ പദങ്ങൾ ക്രമീകരിക്കാൻ ശ്രമിക്കുക.</v>
      </c>
      <c r="G337" s="7" t="str">
        <f>IFERROR(__xludf.DUMMYFUNCTION("GOOGLETRANSLATE(B337, ""en"", ""te"")"),"మీ శోధన పదాలను సర్దుబాటు చేయడానికి ప్రయత్నించండి.")</f>
        <v>మీ శోధన పదాలను సర్దుబాటు చేయడానికి ప్రయత్నించండి.</v>
      </c>
    </row>
    <row r="338">
      <c r="A338" s="4" t="s">
        <v>654</v>
      </c>
      <c r="B338" s="5" t="s">
        <v>655</v>
      </c>
      <c r="C338" s="6" t="str">
        <f>IFERROR(__xludf.DUMMYFUNCTION("GOOGLETRANSLATE(B338, ""en"", ""ta"")"),"உங்கள் முதல் ஆதரவு டிக்கெட்டை உருவாக்குங்கள்.")</f>
        <v>உங்கள் முதல் ஆதரவு டிக்கெட்டை உருவாக்குங்கள்.</v>
      </c>
      <c r="D338" s="6" t="str">
        <f>IFERROR(__xludf.DUMMYFUNCTION("GOOGLETRANSLATE(B338, ""en"", ""hi"")"),"अपना पहला सपोर्ट टिकट बनाएं")</f>
        <v>अपना पहला सपोर्ट टिकट बनाएं</v>
      </c>
      <c r="E338" s="6" t="str">
        <f>IFERROR(__xludf.DUMMYFUNCTION("GOOGLETRANSLATE(B338, ""en"", ""kn"")"),"ನಿಮ್ಮ ಮೊದಲ ಬೆಂಬಲ ಟಿಕೆಟ್ ರಚಿಸಿ")</f>
        <v>ನಿಮ್ಮ ಮೊದಲ ಬೆಂಬಲ ಟಿಕೆಟ್ ರಚಿಸಿ</v>
      </c>
      <c r="F338" s="7" t="str">
        <f>IFERROR(__xludf.DUMMYFUNCTION("GOOGLETRANSLATE(B338, ""en"", ""ml"")"),"നിങ്ങളുടെ ആദ്യ പിന്തുണ ടിക്കറ്റ് സൃഷ്ടിക്കുക")</f>
        <v>നിങ്ങളുടെ ആദ്യ പിന്തുണ ടിക്കറ്റ് സൃഷ്ടിക്കുക</v>
      </c>
      <c r="G338" s="7" t="str">
        <f>IFERROR(__xludf.DUMMYFUNCTION("GOOGLETRANSLATE(B338, ""en"", ""te"")"),"మీ మొదటి సపోర్ట్ టికెట్‌ను సృష్టించండి")</f>
        <v>మీ మొదటి సపోర్ట్ టికెట్‌ను సృష్టించండి</v>
      </c>
    </row>
    <row r="339">
      <c r="A339" s="4" t="s">
        <v>656</v>
      </c>
      <c r="B339" s="5" t="s">
        <v>657</v>
      </c>
      <c r="C339" s="6" t="str">
        <f>IFERROR(__xludf.DUMMYFUNCTION("GOOGLETRANSLATE(B339, ""en"", ""ta"")"),"புதிய டிக்கெட்டை உருவாக்கு")</f>
        <v>புதிய டிக்கெட்டை உருவாக்கு</v>
      </c>
      <c r="D339" s="6" t="str">
        <f>IFERROR(__xludf.DUMMYFUNCTION("GOOGLETRANSLATE(B339, ""en"", ""hi"")"),"नया टिकट बनाएं")</f>
        <v>नया टिकट बनाएं</v>
      </c>
      <c r="E339" s="6" t="str">
        <f>IFERROR(__xludf.DUMMYFUNCTION("GOOGLETRANSLATE(B339, ""en"", ""kn"")"),"ಹೊಸ ಟಿಕೆಟ್ ರಚಿಸಿ")</f>
        <v>ಹೊಸ ಟಿಕೆಟ್ ರಚಿಸಿ</v>
      </c>
      <c r="F339" s="7" t="str">
        <f>IFERROR(__xludf.DUMMYFUNCTION("GOOGLETRANSLATE(B339, ""en"", ""ml"")"),"പുതിയ ടിക്കറ്റ് സൃഷ്ടിക്കുക")</f>
        <v>പുതിയ ടിക്കറ്റ് സൃഷ്ടിക്കുക</v>
      </c>
      <c r="G339" s="7" t="str">
        <f>IFERROR(__xludf.DUMMYFUNCTION("GOOGLETRANSLATE(B339, ""en"", ""te"")"),"కొత్త టికెట్ సృష్టించండి")</f>
        <v>కొత్త టికెట్ సృష్టించండి</v>
      </c>
    </row>
    <row r="340">
      <c r="A340" s="4" t="s">
        <v>658</v>
      </c>
      <c r="B340" s="5" t="s">
        <v>659</v>
      </c>
      <c r="C340" s="6" t="str">
        <f>IFERROR(__xludf.DUMMYFUNCTION("GOOGLETRANSLATE(B340, ""en"", ""ta"")"),"உங்கள் சிக்கலை விவரிக்கவும், அதைத் தீர்க்க நாங்கள் உங்களுக்கு உதவுவோம்.")</f>
        <v>உங்கள் சிக்கலை விவரிக்கவும், அதைத் தீர்க்க நாங்கள் உங்களுக்கு உதவுவோம்.</v>
      </c>
      <c r="D340" s="6" t="str">
        <f>IFERROR(__xludf.DUMMYFUNCTION("GOOGLETRANSLATE(B340, ""en"", ""hi"")"),"अपनी समस्या का वर्णन करें, हम उसे हल करने में आपकी सहायता करेंगे।")</f>
        <v>अपनी समस्या का वर्णन करें, हम उसे हल करने में आपकी सहायता करेंगे।</v>
      </c>
      <c r="E340" s="6" t="str">
        <f>IFERROR(__xludf.DUMMYFUNCTION("GOOGLETRANSLATE(B340, ""en"", ""kn"")"),"ನಿಮ್ಮ ಸಮಸ್ಯೆಯನ್ನು ವಿವರಿಸಿ, ಅದನ್ನು ಪರಿಹರಿಸಲು ನಾವು ನಿಮಗೆ ಸಹಾಯ ಮಾಡುತ್ತೇವೆ.")</f>
        <v>ನಿಮ್ಮ ಸಮಸ್ಯೆಯನ್ನು ವಿವರಿಸಿ, ಅದನ್ನು ಪರಿಹರಿಸಲು ನಾವು ನಿಮಗೆ ಸಹಾಯ ಮಾಡುತ್ತೇವೆ.</v>
      </c>
      <c r="F340" s="7" t="str">
        <f>IFERROR(__xludf.DUMMYFUNCTION("GOOGLETRANSLATE(B340, ""en"", ""ml"")"),"നിങ്ങളുടെ പ്രശ്നം വിവരിക്കുക, അത് പരിഹരിക്കാൻ ഞങ്ങൾ നിങ്ങളെ സഹായിക്കും.")</f>
        <v>നിങ്ങളുടെ പ്രശ്നം വിവരിക്കുക, അത് പരിഹരിക്കാൻ ഞങ്ങൾ നിങ്ങളെ സഹായിക്കും.</v>
      </c>
      <c r="G340" s="7" t="str">
        <f>IFERROR(__xludf.DUMMYFUNCTION("GOOGLETRANSLATE(B340, ""en"", ""te"")"),"మీ సమస్యను వివరించండి, దాన్ని పరిష్కరించడంలో మేము మీకు సహాయం చేస్తాము.")</f>
        <v>మీ సమస్యను వివరించండి, దాన్ని పరిష్కరించడంలో మేము మీకు సహాయం చేస్తాము.</v>
      </c>
    </row>
    <row r="341">
      <c r="A341" s="4" t="s">
        <v>660</v>
      </c>
      <c r="B341" s="5" t="s">
        <v>661</v>
      </c>
      <c r="C341" s="6" t="str">
        <f>IFERROR(__xludf.DUMMYFUNCTION("GOOGLETRANSLATE(B341, ""en"", ""ta"")"),"டிக்கெட் வகை")</f>
        <v>டிக்கெட் வகை</v>
      </c>
      <c r="D341" s="6" t="str">
        <f>IFERROR(__xludf.DUMMYFUNCTION("GOOGLETRANSLATE(B341, ""en"", ""hi"")"),"टिकिट का प्रकार ")</f>
        <v>टिकिट का प्रकार </v>
      </c>
      <c r="E341" s="6" t="str">
        <f>IFERROR(__xludf.DUMMYFUNCTION("GOOGLETRANSLATE(B341, ""en"", ""kn"")"),"ಟಿಕೆಟ್ ಪ್ರಕಾರ")</f>
        <v>ಟಿಕೆಟ್ ಪ್ರಕಾರ</v>
      </c>
      <c r="F341" s="7" t="str">
        <f>IFERROR(__xludf.DUMMYFUNCTION("GOOGLETRANSLATE(B341, ""en"", ""ml"")"),"ടിക്കറ്റ് തരം")</f>
        <v>ടിക്കറ്റ് തരം</v>
      </c>
      <c r="G341" s="7" t="str">
        <f>IFERROR(__xludf.DUMMYFUNCTION("GOOGLETRANSLATE(B341, ""en"", ""te"")"),"టికెట్ రకం")</f>
        <v>టికెట్ రకం</v>
      </c>
    </row>
    <row r="342">
      <c r="A342" s="4" t="s">
        <v>662</v>
      </c>
      <c r="B342" s="5" t="s">
        <v>663</v>
      </c>
      <c r="C342" s="6" t="str">
        <f>IFERROR(__xludf.DUMMYFUNCTION("GOOGLETRANSLATE(B342, ""en"", ""ta"")"),"பயன்பாடு தொடர்பானது")</f>
        <v>பயன்பாடு தொடர்பானது</v>
      </c>
      <c r="D342" s="6" t="str">
        <f>IFERROR(__xludf.DUMMYFUNCTION("GOOGLETRANSLATE(B342, ""en"", ""hi"")"),"ऐप संबंधित")</f>
        <v>ऐप संबंधित</v>
      </c>
      <c r="E342" s="6" t="str">
        <f>IFERROR(__xludf.DUMMYFUNCTION("GOOGLETRANSLATE(B342, ""en"", ""kn"")"),"ಅಪ್ಲಿಕೇಶನ್ ಸಂಬಂಧಿತ")</f>
        <v>ಅಪ್ಲಿಕೇಶನ್ ಸಂಬಂಧಿತ</v>
      </c>
      <c r="F342" s="7" t="str">
        <f>IFERROR(__xludf.DUMMYFUNCTION("GOOGLETRANSLATE(B342, ""en"", ""ml"")"),"ആപ്പ് അനുബന്ധം")</f>
        <v>ആപ്പ് അനുബന്ധം</v>
      </c>
      <c r="G342" s="7" t="str">
        <f>IFERROR(__xludf.DUMMYFUNCTION("GOOGLETRANSLATE(B342, ""en"", ""te"")"),"సంబంధిత యాప్")</f>
        <v>సంబంధిత యాప్</v>
      </c>
    </row>
    <row r="343">
      <c r="A343" s="4" t="s">
        <v>664</v>
      </c>
      <c r="B343" s="5" t="s">
        <v>665</v>
      </c>
      <c r="C343" s="6" t="str">
        <f>IFERROR(__xludf.DUMMYFUNCTION("GOOGLETRANSLATE(B343, ""en"", ""ta"")"),"பயணம் தொடர்பானது")</f>
        <v>பயணம் தொடர்பானது</v>
      </c>
      <c r="D343" s="6" t="str">
        <f>IFERROR(__xludf.DUMMYFUNCTION("GOOGLETRANSLATE(B343, ""en"", ""hi"")"),"यात्रा संबंधी")</f>
        <v>यात्रा संबंधी</v>
      </c>
      <c r="E343" s="6" t="str">
        <f>IFERROR(__xludf.DUMMYFUNCTION("GOOGLETRANSLATE(B343, ""en"", ""kn"")"),"ಪ್ರವಾಸ ಸಂಬಂಧಿತ")</f>
        <v>ಪ್ರವಾಸ ಸಂಬಂಧಿತ</v>
      </c>
      <c r="F343" s="7" t="str">
        <f>IFERROR(__xludf.DUMMYFUNCTION("GOOGLETRANSLATE(B343, ""en"", ""ml"")"),"യാത്രയുമായി ബന്ധപ്പെട്ടത്")</f>
        <v>യാത്രയുമായി ബന്ധപ്പെട്ടത്</v>
      </c>
      <c r="G343" s="7" t="str">
        <f>IFERROR(__xludf.DUMMYFUNCTION("GOOGLETRANSLATE(B343, ""en"", ""te"")"),"ట్రిప్ సంబంధిత")</f>
        <v>ట్రిప్ సంబంధిత</v>
      </c>
    </row>
    <row r="344">
      <c r="A344" s="4" t="s">
        <v>666</v>
      </c>
      <c r="B344" s="5" t="s">
        <v>667</v>
      </c>
      <c r="C344" s="6" t="str">
        <f>IFERROR(__xludf.DUMMYFUNCTION("GOOGLETRANSLATE(B344, ""en"", ""ta"")"),"பயணத்தைத் தேர்ந்தெடுக்கவும்")</f>
        <v>பயணத்தைத் தேர்ந்தெடுக்கவும்</v>
      </c>
      <c r="D344" s="6" t="str">
        <f>IFERROR(__xludf.DUMMYFUNCTION("GOOGLETRANSLATE(B344, ""en"", ""hi"")"),"यात्रा चुनें")</f>
        <v>यात्रा चुनें</v>
      </c>
      <c r="E344" s="6" t="str">
        <f>IFERROR(__xludf.DUMMYFUNCTION("GOOGLETRANSLATE(B344, ""en"", ""kn"")"),"ಪ್ರವಾಸ ಆಯ್ಕೆಮಾಡಿ")</f>
        <v>ಪ್ರವಾಸ ಆಯ್ಕೆಮಾಡಿ</v>
      </c>
      <c r="F344" s="7" t="str">
        <f>IFERROR(__xludf.DUMMYFUNCTION("GOOGLETRANSLATE(B344, ""en"", ""ml"")"),"യാത്ര തിരഞ്ഞെടുക്കുക")</f>
        <v>യാത്ര തിരഞ്ഞെടുക്കുക</v>
      </c>
      <c r="G344" s="7" t="str">
        <f>IFERROR(__xludf.DUMMYFUNCTION("GOOGLETRANSLATE(B344, ""en"", ""te"")"),"ట్రిప్ ఎంచుకోండి")</f>
        <v>ట్రిప్ ఎంచుకోండి</v>
      </c>
    </row>
    <row r="345">
      <c r="A345" s="4" t="s">
        <v>668</v>
      </c>
      <c r="B345" s="5" t="s">
        <v>669</v>
      </c>
      <c r="C345" s="6" t="str">
        <f>IFERROR(__xludf.DUMMYFUNCTION("GOOGLETRANSLATE(B345, ""en"", ""ta"")"),"உங்கள் சவாரி வரலாற்றிலிருந்து ஒரு பயணத்தைத் தேர்ந்தெடுக்கவும்")</f>
        <v>உங்கள் சவாரி வரலாற்றிலிருந்து ஒரு பயணத்தைத் தேர்ந்தெடுக்கவும்</v>
      </c>
      <c r="D345" s="6" t="str">
        <f>IFERROR(__xludf.DUMMYFUNCTION("GOOGLETRANSLATE(B345, ""en"", ""hi"")"),"अपनी राइड हिस्ट्री से एक ट्रिप चुनें")</f>
        <v>अपनी राइड हिस्ट्री से एक ट्रिप चुनें</v>
      </c>
      <c r="E345" s="6" t="str">
        <f>IFERROR(__xludf.DUMMYFUNCTION("GOOGLETRANSLATE(B345, ""en"", ""kn"")"),"ನಿಮ್ಮ ಸವಾರಿ ಇತಿಹಾಸದಿಂದ ಪ್ರವಾಸವನ್ನು ಆಯ್ಕೆಮಾಡಿ")</f>
        <v>ನಿಮ್ಮ ಸವಾರಿ ಇತಿಹಾಸದಿಂದ ಪ್ರವಾಸವನ್ನು ಆಯ್ಕೆಮಾಡಿ</v>
      </c>
      <c r="F345" s="7" t="str">
        <f>IFERROR(__xludf.DUMMYFUNCTION("GOOGLETRANSLATE(B345, ""en"", ""ml"")"),"നിങ്ങളുടെ റൈഡ് ചരിത്രത്തിൽ നിന്ന് ഒരു യാത്ര തിരഞ്ഞെടുക്കുക")</f>
        <v>നിങ്ങളുടെ റൈഡ് ചരിത്രത്തിൽ നിന്ന് ഒരു യാത്ര തിരഞ്ഞെടുക്കുക</v>
      </c>
      <c r="G345" s="7" t="str">
        <f>IFERROR(__xludf.DUMMYFUNCTION("GOOGLETRANSLATE(B345, ""en"", ""te"")"),"మీ రైడ్ చరిత్ర నుండి ఒక ట్రిప్‌ను ఎంచుకోండి")</f>
        <v>మీ రైడ్ చరిత్ర నుండి ఒక ట్రిప్‌ను ఎంచుకోండి</v>
      </c>
    </row>
    <row r="346">
      <c r="A346" s="4" t="s">
        <v>670</v>
      </c>
      <c r="B346" s="5" t="s">
        <v>671</v>
      </c>
      <c r="C346" s="6" t="str">
        <f>IFERROR(__xludf.DUMMYFUNCTION("GOOGLETRANSLATE(B346, ""en"", ""ta"")"),"பயண விவரங்கள்")</f>
        <v>பயண விவரங்கள்</v>
      </c>
      <c r="D346" s="6" t="str">
        <f>IFERROR(__xludf.DUMMYFUNCTION("GOOGLETRANSLATE(B346, ""en"", ""hi"")"),"यात्रा विवरण")</f>
        <v>यात्रा विवरण</v>
      </c>
      <c r="E346" s="6" t="str">
        <f>IFERROR(__xludf.DUMMYFUNCTION("GOOGLETRANSLATE(B346, ""en"", ""kn"")"),"ಪ್ರವಾಸದ ವಿವರಗಳು")</f>
        <v>ಪ್ರವಾಸದ ವಿವರಗಳು</v>
      </c>
      <c r="F346" s="7" t="str">
        <f>IFERROR(__xludf.DUMMYFUNCTION("GOOGLETRANSLATE(B346, ""en"", ""ml"")"),"യാത്രാ വിശദാംശങ്ങൾ")</f>
        <v>യാത്രാ വിശദാംശങ്ങൾ</v>
      </c>
      <c r="G346" s="7" t="str">
        <f>IFERROR(__xludf.DUMMYFUNCTION("GOOGLETRANSLATE(B346, ""en"", ""te"")"),"పర్యటన వివరాలు")</f>
        <v>పర్యటన వివరాలు</v>
      </c>
    </row>
    <row r="347">
      <c r="A347" s="4" t="s">
        <v>672</v>
      </c>
      <c r="B347" s="5" t="s">
        <v>673</v>
      </c>
      <c r="C347" s="6" t="str">
        <f>IFERROR(__xludf.DUMMYFUNCTION("GOOGLETRANSLATE(B347, ""en"", ""ta"")"),"இருந்து")</f>
        <v>இருந்து</v>
      </c>
      <c r="D347" s="6" t="str">
        <f>IFERROR(__xludf.DUMMYFUNCTION("GOOGLETRANSLATE(B347, ""en"", ""hi"")"),"से")</f>
        <v>से</v>
      </c>
      <c r="E347" s="6" t="str">
        <f>IFERROR(__xludf.DUMMYFUNCTION("GOOGLETRANSLATE(B347, ""en"", ""kn"")"),"ಇಂದ")</f>
        <v>ಇಂದ</v>
      </c>
      <c r="F347" s="7" t="str">
        <f>IFERROR(__xludf.DUMMYFUNCTION("GOOGLETRANSLATE(B347, ""en"", ""ml"")"),"ഉത്ഭവം")</f>
        <v>ഉത്ഭവം</v>
      </c>
      <c r="G347" s="7" t="str">
        <f>IFERROR(__xludf.DUMMYFUNCTION("GOOGLETRANSLATE(B347, ""en"", ""te"")"),"నుండి")</f>
        <v>నుండి</v>
      </c>
    </row>
    <row r="348">
      <c r="A348" s="4" t="s">
        <v>674</v>
      </c>
      <c r="B348" s="5" t="s">
        <v>675</v>
      </c>
      <c r="C348" s="6" t="str">
        <f>IFERROR(__xludf.DUMMYFUNCTION("GOOGLETRANSLATE(B348, ""en"", ""ta"")"),"செய்ய")</f>
        <v>செய்ய</v>
      </c>
      <c r="D348" s="6" t="str">
        <f>IFERROR(__xludf.DUMMYFUNCTION("GOOGLETRANSLATE(B348, ""en"", ""hi"")"),"को")</f>
        <v>को</v>
      </c>
      <c r="E348" s="6" t="str">
        <f>IFERROR(__xludf.DUMMYFUNCTION("GOOGLETRANSLATE(B348, ""en"", ""kn"")"),"ಗೆ")</f>
        <v>ಗೆ</v>
      </c>
      <c r="F348" s="7" t="str">
        <f>IFERROR(__xludf.DUMMYFUNCTION("GOOGLETRANSLATE(B348, ""en"", ""ml"")"),"ലേക്ക്")</f>
        <v>ലേക്ക്</v>
      </c>
      <c r="G348" s="7" t="str">
        <f>IFERROR(__xludf.DUMMYFUNCTION("GOOGLETRANSLATE(B348, ""en"", ""te"")"),"కు")</f>
        <v>కు</v>
      </c>
    </row>
    <row r="349">
      <c r="A349" s="4" t="s">
        <v>676</v>
      </c>
      <c r="B349" s="5" t="s">
        <v>677</v>
      </c>
      <c r="C349" s="6" t="str">
        <f>IFERROR(__xludf.DUMMYFUNCTION("GOOGLETRANSLATE(B349, ""en"", ""ta"")"),"தேதி")</f>
        <v>தேதி</v>
      </c>
      <c r="D349" s="6" t="str">
        <f>IFERROR(__xludf.DUMMYFUNCTION("GOOGLETRANSLATE(B349, ""en"", ""hi"")"),"तारीख")</f>
        <v>तारीख</v>
      </c>
      <c r="E349" s="6" t="str">
        <f>IFERROR(__xludf.DUMMYFUNCTION("GOOGLETRANSLATE(B349, ""en"", ""kn"")"),"ದಿನಾಂಕ")</f>
        <v>ದಿನಾಂಕ</v>
      </c>
      <c r="F349" s="7" t="str">
        <f>IFERROR(__xludf.DUMMYFUNCTION("GOOGLETRANSLATE(B349, ""en"", ""ml"")"),"തീയതി")</f>
        <v>തീയതി</v>
      </c>
      <c r="G349" s="7" t="str">
        <f>IFERROR(__xludf.DUMMYFUNCTION("GOOGLETRANSLATE(B349, ""en"", ""te"")"),"తేదీ")</f>
        <v>తేదీ</v>
      </c>
    </row>
    <row r="350">
      <c r="A350" s="4" t="s">
        <v>678</v>
      </c>
      <c r="B350" s="5" t="s">
        <v>679</v>
      </c>
      <c r="C350" s="6" t="str">
        <f>IFERROR(__xludf.DUMMYFUNCTION("GOOGLETRANSLATE(B350, ""en"", ""ta"")"),"கட்டணம்")</f>
        <v>கட்டணம்</v>
      </c>
      <c r="D350" s="6" t="str">
        <f>IFERROR(__xludf.DUMMYFUNCTION("GOOGLETRANSLATE(B350, ""en"", ""hi"")"),"किराया")</f>
        <v>किराया</v>
      </c>
      <c r="E350" s="6" t="str">
        <f>IFERROR(__xludf.DUMMYFUNCTION("GOOGLETRANSLATE(B350, ""en"", ""kn"")"),"ಶುಲ್ಕ")</f>
        <v>ಶುಲ್ಕ</v>
      </c>
      <c r="F350" s="7" t="str">
        <f>IFERROR(__xludf.DUMMYFUNCTION("GOOGLETRANSLATE(B350, ""en"", ""ml"")"),"യാത്രാക്കൂലി")</f>
        <v>യാത്രാക്കൂലി</v>
      </c>
      <c r="G350" s="7" t="str">
        <f>IFERROR(__xludf.DUMMYFUNCTION("GOOGLETRANSLATE(B350, ""en"", ""te"")"),"ఛార్జీ")</f>
        <v>ఛార్జీ</v>
      </c>
    </row>
    <row r="351">
      <c r="A351" s="4" t="s">
        <v>680</v>
      </c>
      <c r="B351" s="5" t="s">
        <v>681</v>
      </c>
      <c r="C351" s="6" t="str">
        <f>IFERROR(__xludf.DUMMYFUNCTION("GOOGLETRANSLATE(B351, ""en"", ""ta"")"),"டிரைவர்")</f>
        <v>டிரைவர்</v>
      </c>
      <c r="D351" s="6" t="str">
        <f>IFERROR(__xludf.DUMMYFUNCTION("GOOGLETRANSLATE(B351, ""en"", ""hi"")"),"ड्राइवर")</f>
        <v>ड्राइवर</v>
      </c>
      <c r="E351" s="6" t="str">
        <f>IFERROR(__xludf.DUMMYFUNCTION("GOOGLETRANSLATE(B351, ""en"", ""kn"")"),"ಚಾಲಕ")</f>
        <v>ಚಾಲಕ</v>
      </c>
      <c r="F351" s="7" t="str">
        <f>IFERROR(__xludf.DUMMYFUNCTION("GOOGLETRANSLATE(B351, ""en"", ""ml"")"),"ഡ്രൈവർ")</f>
        <v>ഡ്രൈവർ</v>
      </c>
      <c r="G351" s="7" t="str">
        <f>IFERROR(__xludf.DUMMYFUNCTION("GOOGLETRANSLATE(B351, ""en"", ""te"")"),"డ్రైవర్")</f>
        <v>డ్రైవర్</v>
      </c>
    </row>
    <row r="352">
      <c r="A352" s="4" t="s">
        <v>682</v>
      </c>
      <c r="B352" s="5" t="s">
        <v>683</v>
      </c>
      <c r="C352" s="6" t="str">
        <f>IFERROR(__xludf.DUMMYFUNCTION("GOOGLETRANSLATE(B352, ""en"", ""ta"")"),"நிலைமை")</f>
        <v>நிலைமை</v>
      </c>
      <c r="D352" s="6" t="str">
        <f>IFERROR(__xludf.DUMMYFUNCTION("GOOGLETRANSLATE(B352, ""en"", ""hi"")"),"स्थिति")</f>
        <v>स्थिति</v>
      </c>
      <c r="E352" s="6" t="str">
        <f>IFERROR(__xludf.DUMMYFUNCTION("GOOGLETRANSLATE(B352, ""en"", ""kn"")"),"ಸ್ಥಿತಿ")</f>
        <v>ಸ್ಥಿತಿ</v>
      </c>
      <c r="F352" s="7" t="str">
        <f>IFERROR(__xludf.DUMMYFUNCTION("GOOGLETRANSLATE(B352, ""en"", ""ml"")"),"പദവി")</f>
        <v>പദവി</v>
      </c>
      <c r="G352" s="7" t="str">
        <f>IFERROR(__xludf.DUMMYFUNCTION("GOOGLETRANSLATE(B352, ""en"", ""te"")"),"స్థితి")</f>
        <v>స్థితి</v>
      </c>
    </row>
    <row r="353">
      <c r="A353" s="4" t="s">
        <v>684</v>
      </c>
      <c r="B353" s="5" t="s">
        <v>685</v>
      </c>
      <c r="C353" s="6" t="str">
        <f>IFERROR(__xludf.DUMMYFUNCTION("GOOGLETRANSLATE(B353, ""en"", ""ta"")"),"வகை")</f>
        <v>வகை</v>
      </c>
      <c r="D353" s="6" t="str">
        <f>IFERROR(__xludf.DUMMYFUNCTION("GOOGLETRANSLATE(B353, ""en"", ""hi"")"),"वर्ग ")</f>
        <v>वर्ग </v>
      </c>
      <c r="E353" s="6" t="str">
        <f>IFERROR(__xludf.DUMMYFUNCTION("GOOGLETRANSLATE(B353, ""en"", ""kn"")"),"ವರ್ಗ")</f>
        <v>ವರ್ಗ</v>
      </c>
      <c r="F353" s="7" t="str">
        <f>IFERROR(__xludf.DUMMYFUNCTION("GOOGLETRANSLATE(B353, ""en"", ""ml"")"),"വിഭാഗം")</f>
        <v>വിഭാഗം</v>
      </c>
      <c r="G353" s="7" t="str">
        <f>IFERROR(__xludf.DUMMYFUNCTION("GOOGLETRANSLATE(B353, ""en"", ""te"")"),"వర్గం")</f>
        <v>వర్గం</v>
      </c>
    </row>
    <row r="354">
      <c r="A354" s="4" t="s">
        <v>686</v>
      </c>
      <c r="B354" s="5" t="s">
        <v>687</v>
      </c>
      <c r="C354" s="6" t="str">
        <f>IFERROR(__xludf.DUMMYFUNCTION("GOOGLETRANSLATE(B354, ""en"", ""ta"")"),"வகைகளை ஏற்றுகிறது...")</f>
        <v>வகைகளை ஏற்றுகிறது...</v>
      </c>
      <c r="D354" s="6" t="str">
        <f>IFERROR(__xludf.DUMMYFUNCTION("GOOGLETRANSLATE(B354, ""en"", ""hi"")"),"श्रेणियां लोड हो रही हैं...")</f>
        <v>श्रेणियां लोड हो रही हैं...</v>
      </c>
      <c r="E354" s="6" t="str">
        <f>IFERROR(__xludf.DUMMYFUNCTION("GOOGLETRANSLATE(B354, ""en"", ""kn"")"),"ವರ್ಗಗಳನ್ನು ಲೋಡ್ ಮಾಡಲಾಗುತ್ತಿದೆ...")</f>
        <v>ವರ್ಗಗಳನ್ನು ಲೋಡ್ ಮಾಡಲಾಗುತ್ತಿದೆ...</v>
      </c>
      <c r="F354" s="7" t="str">
        <f>IFERROR(__xludf.DUMMYFUNCTION("GOOGLETRANSLATE(B354, ""en"", ""ml"")"),"വിഭാഗങ്ങൾ ലോഡ് ചെയ്യുന്നു...")</f>
        <v>വിഭാഗങ്ങൾ ലോഡ് ചെയ്യുന്നു...</v>
      </c>
      <c r="G354" s="7" t="str">
        <f>IFERROR(__xludf.DUMMYFUNCTION("GOOGLETRANSLATE(B354, ""en"", ""te"")"),"వర్గాలను లోడ్ చేస్తోంది...")</f>
        <v>వర్గాలను లోడ్ చేస్తోంది...</v>
      </c>
    </row>
    <row r="355">
      <c r="A355" s="4" t="s">
        <v>688</v>
      </c>
      <c r="B355" s="5" t="s">
        <v>689</v>
      </c>
      <c r="C355" s="6" t="str">
        <f>IFERROR(__xludf.DUMMYFUNCTION("GOOGLETRANSLATE(B355, ""en"", ""ta"")"),"இந்த டிக்கெட் வகைக்கு எந்த வகைகளும் கிடைக்கவில்லை.")</f>
        <v>இந்த டிக்கெட் வகைக்கு எந்த வகைகளும் கிடைக்கவில்லை.</v>
      </c>
      <c r="D355" s="6" t="str">
        <f>IFERROR(__xludf.DUMMYFUNCTION("GOOGLETRANSLATE(B355, ""en"", ""hi"")"),"इस टिकट प्रकार के लिए कोई श्रेणियां उपलब्ध नहीं हैं")</f>
        <v>इस टिकट प्रकार के लिए कोई श्रेणियां उपलब्ध नहीं हैं</v>
      </c>
      <c r="E355" s="6" t="str">
        <f>IFERROR(__xludf.DUMMYFUNCTION("GOOGLETRANSLATE(B355, ""en"", ""kn"")"),"ಈ ಟಿಕೆಟ್ ಪ್ರಕಾರಕ್ಕೆ ಯಾವುದೇ ವರ್ಗಗಳು ಲಭ್ಯವಿಲ್ಲ.")</f>
        <v>ಈ ಟಿಕೆಟ್ ಪ್ರಕಾರಕ್ಕೆ ಯಾವುದೇ ವರ್ಗಗಳು ಲಭ್ಯವಿಲ್ಲ.</v>
      </c>
      <c r="F355" s="7" t="str">
        <f>IFERROR(__xludf.DUMMYFUNCTION("GOOGLETRANSLATE(B355, ""en"", ""ml"")"),"ഈ ടിക്കറ്റ് തരത്തിന് വിഭാഗങ്ങളൊന്നും ലഭ്യമല്ല.")</f>
        <v>ഈ ടിക്കറ്റ് തരത്തിന് വിഭാഗങ്ങളൊന്നും ലഭ്യമല്ല.</v>
      </c>
      <c r="G355" s="7" t="str">
        <f>IFERROR(__xludf.DUMMYFUNCTION("GOOGLETRANSLATE(B355, ""en"", ""te"")"),"ఈ టికెట్ రకానికి వర్గాలు అందుబాటులో లేవు.")</f>
        <v>ఈ టికెట్ రకానికి వర్గాలు అందుబాటులో లేవు.</v>
      </c>
    </row>
    <row r="356">
      <c r="A356" s="4" t="s">
        <v>690</v>
      </c>
      <c r="B356" s="5" t="s">
        <v>691</v>
      </c>
      <c r="C356" s="6" t="str">
        <f>IFERROR(__xludf.DUMMYFUNCTION("GOOGLETRANSLATE(B356, ""en"", ""ta"")"),"விளக்கம்")</f>
        <v>விளக்கம்</v>
      </c>
      <c r="D356" s="6" t="str">
        <f>IFERROR(__xludf.DUMMYFUNCTION("GOOGLETRANSLATE(B356, ""en"", ""hi"")"),"विवरण ")</f>
        <v>विवरण </v>
      </c>
      <c r="E356" s="6" t="str">
        <f>IFERROR(__xludf.DUMMYFUNCTION("GOOGLETRANSLATE(B356, ""en"", ""kn"")"),"ವಿವರಣೆ")</f>
        <v>ವಿವರಣೆ</v>
      </c>
      <c r="F356" s="7" t="str">
        <f>IFERROR(__xludf.DUMMYFUNCTION("GOOGLETRANSLATE(B356, ""en"", ""ml"")"),"വിവരണം")</f>
        <v>വിവരണം</v>
      </c>
      <c r="G356" s="7" t="str">
        <f>IFERROR(__xludf.DUMMYFUNCTION("GOOGLETRANSLATE(B356, ""en"", ""te"")"),"వివరణ")</f>
        <v>వివరణ</v>
      </c>
    </row>
    <row r="357">
      <c r="A357" s="4" t="s">
        <v>692</v>
      </c>
      <c r="B357" s="5" t="s">
        <v>693</v>
      </c>
      <c r="C357" s="6" t="str">
        <f>IFERROR(__xludf.DUMMYFUNCTION("GOOGLETRANSLATE(B357, ""en"", ""ta"")"),"உங்கள் பிரச்சினை பற்றிய விரிவான தகவல்களை வழங்கவும்...")</f>
        <v>உங்கள் பிரச்சினை பற்றிய விரிவான தகவல்களை வழங்கவும்...</v>
      </c>
      <c r="D357" s="6" t="str">
        <f>IFERROR(__xludf.DUMMYFUNCTION("GOOGLETRANSLATE(B357, ""en"", ""hi"")"),"कृपया अपनी समस्या के बारे में विस्तृत जानकारी प्रदान करें...")</f>
        <v>कृपया अपनी समस्या के बारे में विस्तृत जानकारी प्रदान करें...</v>
      </c>
      <c r="E357" s="6" t="str">
        <f>IFERROR(__xludf.DUMMYFUNCTION("GOOGLETRANSLATE(B357, ""en"", ""kn"")"),"ದಯವಿಟ್ಟು ನಿಮ್ಮ ಸಮಸ್ಯೆಯ ಬಗ್ಗೆ ವಿವರವಾದ ಮಾಹಿತಿಯನ್ನು ಒದಗಿಸಿ...")</f>
        <v>ದಯವಿಟ್ಟು ನಿಮ್ಮ ಸಮಸ್ಯೆಯ ಬಗ್ಗೆ ವಿವರವಾದ ಮಾಹಿತಿಯನ್ನು ಒದಗಿಸಿ...</v>
      </c>
      <c r="F357" s="7" t="str">
        <f>IFERROR(__xludf.DUMMYFUNCTION("GOOGLETRANSLATE(B357, ""en"", ""ml"")"),"നിങ്ങളുടെ പ്രശ്നത്തെക്കുറിച്ചുള്ള വിശദമായ വിവരങ്ങൾ നൽകുക...")</f>
        <v>നിങ്ങളുടെ പ്രശ്നത്തെക്കുറിച്ചുള്ള വിശദമായ വിവരങ്ങൾ നൽകുക...</v>
      </c>
      <c r="G357" s="7" t="str">
        <f>IFERROR(__xludf.DUMMYFUNCTION("GOOGLETRANSLATE(B357, ""en"", ""te"")"),"దయచేసి మీ సమస్య గురించి వివరణాత్మక సమాచారాన్ని అందించండి...")</f>
        <v>దయచేసి మీ సమస్య గురించి వివరణాత్మక సమాచారాన్ని అందించండి...</v>
      </c>
    </row>
    <row r="358">
      <c r="A358" s="4" t="s">
        <v>694</v>
      </c>
      <c r="B358" s="5" t="s">
        <v>695</v>
      </c>
      <c r="C358" s="6" t="str">
        <f>IFERROR(__xludf.DUMMYFUNCTION("GOOGLETRANSLATE(B358, ""en"", ""ta"")"),"ஏற்றுவதற்கு இனி பயணங்கள் இல்லை.")</f>
        <v>ஏற்றுவதற்கு இனி பயணங்கள் இல்லை.</v>
      </c>
      <c r="D358" s="6" t="str">
        <f>IFERROR(__xludf.DUMMYFUNCTION("GOOGLETRANSLATE(B358, ""en"", ""hi"")"),"अब सामान लोड करने के लिए बार-बार जाने की जरूरत नहीं")</f>
        <v>अब सामान लोड करने के लिए बार-बार जाने की जरूरत नहीं</v>
      </c>
      <c r="E358" s="6" t="str">
        <f>IFERROR(__xludf.DUMMYFUNCTION("GOOGLETRANSLATE(B358, ""en"", ""kn"")"),"ಲೋಡ್ ಮಾಡಲು ಇನ್ನು ಯಾವುದೇ ಟ್ರಿಪ್‌ಗಳಿಲ್ಲ.")</f>
        <v>ಲೋಡ್ ಮಾಡಲು ಇನ್ನು ಯಾವುದೇ ಟ್ರಿಪ್‌ಗಳಿಲ್ಲ.</v>
      </c>
      <c r="F358" s="7" t="str">
        <f>IFERROR(__xludf.DUMMYFUNCTION("GOOGLETRANSLATE(B358, ""en"", ""ml"")"),"ലോഡ് ചെയ്യാൻ ഇനി ട്രിപ്പുകൾ ഇല്ല.")</f>
        <v>ലോഡ് ചെയ്യാൻ ഇനി ട്രിപ്പുകൾ ഇല്ല.</v>
      </c>
      <c r="G358" s="7" t="str">
        <f>IFERROR(__xludf.DUMMYFUNCTION("GOOGLETRANSLATE(B358, ""en"", ""te"")"),"లోడ్ చేయడానికి ఇక ట్రిప్‌లు లేవు.")</f>
        <v>లోడ్ చేయడానికి ఇక ట్రిప్‌లు లేవు.</v>
      </c>
    </row>
    <row r="359">
      <c r="A359" s="4" t="s">
        <v>696</v>
      </c>
      <c r="B359" s="5" t="s">
        <v>697</v>
      </c>
      <c r="C359" s="6" t="str">
        <f>IFERROR(__xludf.DUMMYFUNCTION("GOOGLETRANSLATE(B359, ""en"", ""ta"")"),"உங்கள் சமீபத்திய பயணங்களை ஏற்றுகிறது...")</f>
        <v>உங்கள் சமீபத்திய பயணங்களை ஏற்றுகிறது...</v>
      </c>
      <c r="D359" s="6" t="str">
        <f>IFERROR(__xludf.DUMMYFUNCTION("GOOGLETRANSLATE(B359, ""en"", ""hi"")"),"आपकी हाल की यात्राओं को लोड किया जा रहा है...")</f>
        <v>आपकी हाल की यात्राओं को लोड किया जा रहा है...</v>
      </c>
      <c r="E359" s="6" t="str">
        <f>IFERROR(__xludf.DUMMYFUNCTION("GOOGLETRANSLATE(B359, ""en"", ""kn"")"),"ನಿಮ್ಮ ಇತ್ತೀಚಿನ ಪ್ರವಾಸಗಳನ್ನು ಲೋಡ್ ಮಾಡಲಾಗುತ್ತಿದೆ...")</f>
        <v>ನಿಮ್ಮ ಇತ್ತೀಚಿನ ಪ್ರವಾಸಗಳನ್ನು ಲೋಡ್ ಮಾಡಲಾಗುತ್ತಿದೆ...</v>
      </c>
      <c r="F359" s="7" t="str">
        <f>IFERROR(__xludf.DUMMYFUNCTION("GOOGLETRANSLATE(B359, ""en"", ""ml"")"),"നിങ്ങളുടെ സമീപകാല യാത്രകൾ ലോഡ് ചെയ്യുന്നു...")</f>
        <v>നിങ്ങളുടെ സമീപകാല യാത്രകൾ ലോഡ് ചെയ്യുന്നു...</v>
      </c>
      <c r="G359" s="7" t="str">
        <f>IFERROR(__xludf.DUMMYFUNCTION("GOOGLETRANSLATE(B359, ""en"", ""te"")"),"మీ ఇటీవలి పర్యటనలను లోడ్ చేస్తోంది...")</f>
        <v>మీ ఇటీవలి పర్యటనలను లోడ్ చేస్తోంది...</v>
      </c>
    </row>
    <row r="360">
      <c r="A360" s="4" t="s">
        <v>417</v>
      </c>
      <c r="B360" s="5" t="s">
        <v>418</v>
      </c>
      <c r="C360" s="6" t="str">
        <f>IFERROR(__xludf.DUMMYFUNCTION("GOOGLETRANSLATE(B360, ""en"", ""ta"")"),"பயணங்கள் எதுவும் இல்லை")</f>
        <v>பயணங்கள் எதுவும் இல்லை</v>
      </c>
      <c r="D360" s="6" t="str">
        <f>IFERROR(__xludf.DUMMYFUNCTION("GOOGLETRANSLATE(B360, ""en"", ""hi"")"),"कोई यात्रा नहीं मिली")</f>
        <v>कोई यात्रा नहीं मिली</v>
      </c>
      <c r="E360" s="6" t="str">
        <f>IFERROR(__xludf.DUMMYFUNCTION("GOOGLETRANSLATE(B360, ""en"", ""kn"")"),"ಯಾವುದೇ ಪ್ರವಾಸಗಳು ಕಂಡುಬಂದಿಲ್ಲ.")</f>
        <v>ಯಾವುದೇ ಪ್ರವಾಸಗಳು ಕಂಡುಬಂದಿಲ್ಲ.</v>
      </c>
      <c r="F360" s="7" t="str">
        <f>IFERROR(__xludf.DUMMYFUNCTION("GOOGLETRANSLATE(B360, ""en"", ""ml"")"),"യാത്രകളൊന്നും കണ്ടെത്തിയില്ല")</f>
        <v>യാത്രകളൊന്നും കണ്ടെത്തിയില്ല</v>
      </c>
      <c r="G360" s="7" t="str">
        <f>IFERROR(__xludf.DUMMYFUNCTION("GOOGLETRANSLATE(B360, ""en"", ""te"")"),"ట్రిప్‌లు ఏవీ కనుగొనబడలేదు")</f>
        <v>ట్రిప్‌లు ఏవీ కనుగొనబడలేదు</v>
      </c>
    </row>
    <row r="361">
      <c r="A361" s="4" t="s">
        <v>698</v>
      </c>
      <c r="B361" s="5" t="s">
        <v>699</v>
      </c>
      <c r="C361" s="6" t="str">
        <f>IFERROR(__xludf.DUMMYFUNCTION("GOOGLETRANSLATE(B361, ""en"", ""ta"")"),"உங்கள் வரலாற்றில் இதுவரை எந்தப் பயணங்களும் இல்லை.")</f>
        <v>உங்கள் வரலாற்றில் இதுவரை எந்தப் பயணங்களும் இல்லை.</v>
      </c>
      <c r="D361" s="6" t="str">
        <f>IFERROR(__xludf.DUMMYFUNCTION("GOOGLETRANSLATE(B361, ""en"", ""hi"")"),"आपके यात्रा इतिहास में अभी तक कोई यात्रा दर्ज नहीं है।")</f>
        <v>आपके यात्रा इतिहास में अभी तक कोई यात्रा दर्ज नहीं है।</v>
      </c>
      <c r="E361" s="6" t="str">
        <f>IFERROR(__xludf.DUMMYFUNCTION("GOOGLETRANSLATE(B361, ""en"", ""kn"")"),"ನಿಮ್ಮ ಇತಿಹಾಸದಲ್ಲಿ ಇನ್ನೂ ಯಾವುದೇ ಪ್ರವಾಸಗಳಿಲ್ಲ.")</f>
        <v>ನಿಮ್ಮ ಇತಿಹಾಸದಲ್ಲಿ ಇನ್ನೂ ಯಾವುದೇ ಪ್ರವಾಸಗಳಿಲ್ಲ.</v>
      </c>
      <c r="F361" s="7" t="str">
        <f>IFERROR(__xludf.DUMMYFUNCTION("GOOGLETRANSLATE(B361, ""en"", ""ml"")"),"നിങ്ങളുടെ ചരിത്രത്തിൽ ഇതുവരെ യാത്രകളൊന്നുമില്ല.")</f>
        <v>നിങ്ങളുടെ ചരിത്രത്തിൽ ഇതുവരെ യാത്രകളൊന്നുമില്ല.</v>
      </c>
      <c r="G361" s="7" t="str">
        <f>IFERROR(__xludf.DUMMYFUNCTION("GOOGLETRANSLATE(B361, ""en"", ""te"")"),"మీ చరిత్రలో ఇంకా ఎలాంటి పర్యటనలు లేవు.")</f>
        <v>మీ చరిత్రలో ఇంకా ఎలాంటి పర్యటనలు లేవు.</v>
      </c>
    </row>
    <row r="362">
      <c r="A362" s="4" t="s">
        <v>666</v>
      </c>
      <c r="B362" s="5" t="s">
        <v>667</v>
      </c>
      <c r="C362" s="6" t="str">
        <f>IFERROR(__xludf.DUMMYFUNCTION("GOOGLETRANSLATE(B362, ""en"", ""ta"")"),"பயணத்தைத் தேர்ந்தெடுக்கவும்")</f>
        <v>பயணத்தைத் தேர்ந்தெடுக்கவும்</v>
      </c>
      <c r="D362" s="6" t="str">
        <f>IFERROR(__xludf.DUMMYFUNCTION("GOOGLETRANSLATE(B362, ""en"", ""hi"")"),"यात्रा चुनें")</f>
        <v>यात्रा चुनें</v>
      </c>
      <c r="E362" s="6" t="str">
        <f>IFERROR(__xludf.DUMMYFUNCTION("GOOGLETRANSLATE(B362, ""en"", ""kn"")"),"ಪ್ರವಾಸ ಆಯ್ಕೆಮಾಡಿ")</f>
        <v>ಪ್ರವಾಸ ಆಯ್ಕೆಮಾಡಿ</v>
      </c>
      <c r="F362" s="7" t="str">
        <f>IFERROR(__xludf.DUMMYFUNCTION("GOOGLETRANSLATE(B362, ""en"", ""ml"")"),"യാത്ര തിരഞ്ഞെടുക്കുക")</f>
        <v>യാത്ര തിരഞ്ഞെടുക്കുക</v>
      </c>
      <c r="G362" s="7" t="str">
        <f>IFERROR(__xludf.DUMMYFUNCTION("GOOGLETRANSLATE(B362, ""en"", ""te"")"),"ట్రిప్ ఎంచుకోండి")</f>
        <v>ట్రిప్ ఎంచుకోండి</v>
      </c>
    </row>
    <row r="363">
      <c r="A363" s="4" t="s">
        <v>700</v>
      </c>
      <c r="B363" s="5" t="s">
        <v>701</v>
      </c>
      <c r="C363" s="6" t="str">
        <f>IFERROR(__xludf.DUMMYFUNCTION("GOOGLETRANSLATE(B363, ""en"", ""ta"")"),"பயணங்களை ஏற்றுகிறது..")</f>
        <v>பயணங்களை ஏற்றுகிறது..</v>
      </c>
      <c r="D363" s="6" t="str">
        <f>IFERROR(__xludf.DUMMYFUNCTION("GOOGLETRANSLATE(B363, ""en"", ""hi"")"),"लोडिंग ट्रिप्स...")</f>
        <v>लोडिंग ट्रिप्स...</v>
      </c>
      <c r="E363" s="6" t="str">
        <f>IFERROR(__xludf.DUMMYFUNCTION("GOOGLETRANSLATE(B363, ""en"", ""kn"")"),"ಪ್ರವಾಸಗಳನ್ನು ಲೋಡ್ ಮಾಡಲಾಗುತ್ತಿದೆ..")</f>
        <v>ಪ್ರವಾಸಗಳನ್ನು ಲೋಡ್ ಮಾಡಲಾಗುತ್ತಿದೆ..</v>
      </c>
      <c r="F363" s="7" t="str">
        <f>IFERROR(__xludf.DUMMYFUNCTION("GOOGLETRANSLATE(B363, ""en"", ""ml"")"),"യാത്രകൾ ലോഡ് ചെയ്യുന്നു..")</f>
        <v>യാത്രകൾ ലോഡ് ചെയ്യുന്നു..</v>
      </c>
      <c r="G363" s="7" t="str">
        <f>IFERROR(__xludf.DUMMYFUNCTION("GOOGLETRANSLATE(B363, ""en"", ""te"")"),"ట్రిప్పులను లోడ్ చేస్తోంది..")</f>
        <v>ట్రిప్పులను లోడ్ చేస్తోంది..</v>
      </c>
    </row>
    <row r="364">
      <c r="A364" s="4" t="s">
        <v>702</v>
      </c>
      <c r="B364" s="5" t="s">
        <v>703</v>
      </c>
      <c r="C364" s="6" t="str">
        <f>IFERROR(__xludf.DUMMYFUNCTION("GOOGLETRANSLATE(B364, ""en"", ""ta"")"),"நிராகரி")</f>
        <v>நிராகரி</v>
      </c>
      <c r="D364" s="6" t="str">
        <f>IFERROR(__xludf.DUMMYFUNCTION("GOOGLETRANSLATE(B364, ""en"", ""hi"")"),"अस्वीकार करना")</f>
        <v>अस्वीकार करना</v>
      </c>
      <c r="E364" s="6" t="str">
        <f>IFERROR(__xludf.DUMMYFUNCTION("GOOGLETRANSLATE(B364, ""en"", ""kn"")"),"ತಿರಸ್ಕರಿಸಿ")</f>
        <v>ತಿರಸ್ಕರಿಸಿ</v>
      </c>
      <c r="F364" s="7" t="str">
        <f>IFERROR(__xludf.DUMMYFUNCTION("GOOGLETRANSLATE(B364, ""en"", ""ml"")"),"നിരസിക്കുക")</f>
        <v>നിരസിക്കുക</v>
      </c>
      <c r="G364" s="7" t="str">
        <f>IFERROR(__xludf.DUMMYFUNCTION("GOOGLETRANSLATE(B364, ""en"", ""te"")"),"తిరస్కరించు")</f>
        <v>తిరస్కరించు</v>
      </c>
    </row>
    <row r="365">
      <c r="A365" s="4" t="s">
        <v>704</v>
      </c>
      <c r="B365" s="5" t="s">
        <v>705</v>
      </c>
      <c r="C365" s="6" t="str">
        <f>IFERROR(__xludf.DUMMYFUNCTION("GOOGLETRANSLATE(B365, ""en"", ""ta"")"),"உங்கள் கணக்கு உடனடியாக நீக்கப்பட்டதாகக் குறிக்கப்படும்.")</f>
        <v>உங்கள் கணக்கு உடனடியாக நீக்கப்பட்டதாகக் குறிக்கப்படும்.</v>
      </c>
      <c r="D365" s="6" t="str">
        <f>IFERROR(__xludf.DUMMYFUNCTION("GOOGLETRANSLATE(B365, ""en"", ""hi"")"),"आपका खाता तत्काल ही हटा दिया जाएगा।")</f>
        <v>आपका खाता तत्काल ही हटा दिया जाएगा।</v>
      </c>
      <c r="E365" s="6" t="str">
        <f>IFERROR(__xludf.DUMMYFUNCTION("GOOGLETRANSLATE(B365, ""en"", ""kn"")"),"ನಿಮ್ಮ ಖಾತೆಯನ್ನು ತಕ್ಷಣವೇ ಅಳಿಸಲಾಗಿದೆ ಎಂದು ಗುರುತಿಸಲಾಗುತ್ತದೆ.")</f>
        <v>ನಿಮ್ಮ ಖಾತೆಯನ್ನು ತಕ್ಷಣವೇ ಅಳಿಸಲಾಗಿದೆ ಎಂದು ಗುರುತಿಸಲಾಗುತ್ತದೆ.</v>
      </c>
      <c r="F365" s="7" t="str">
        <f>IFERROR(__xludf.DUMMYFUNCTION("GOOGLETRANSLATE(B365, ""en"", ""ml"")"),"നിങ്ങളുടെ അക്കൗണ്ട് ഉടൻ തന്നെ ഇല്ലാതാക്കിയതായി അടയാളപ്പെടുത്തും.")</f>
        <v>നിങ്ങളുടെ അക്കൗണ്ട് ഉടൻ തന്നെ ഇല്ലാതാക്കിയതായി അടയാളപ്പെടുത്തും.</v>
      </c>
      <c r="G365" s="7" t="str">
        <f>IFERROR(__xludf.DUMMYFUNCTION("GOOGLETRANSLATE(B365, ""en"", ""te"")"),"మీ ఖాతా వెంటనే తొలగించబడినట్లు గుర్తించబడుతుంది.")</f>
        <v>మీ ఖాతా వెంటనే తొలగించబడినట్లు గుర్తించబడుతుంది.</v>
      </c>
    </row>
    <row r="366">
      <c r="A366" s="4" t="s">
        <v>706</v>
      </c>
      <c r="B366" s="5" t="s">
        <v>707</v>
      </c>
      <c r="C366" s="6" t="str">
        <f>IFERROR(__xludf.DUMMYFUNCTION("GOOGLETRANSLATE(B366, ""en"", ""ta"")"),"தொடர்புடைய அனைத்து தரவுகளும் 30 நாட்களுக்குள் நிரந்தரமாக நீக்கப்படும்.")</f>
        <v>தொடர்புடைய அனைத்து தரவுகளும் 30 நாட்களுக்குள் நிரந்தரமாக நீக்கப்படும்.</v>
      </c>
      <c r="D366" s="6" t="str">
        <f>IFERROR(__xludf.DUMMYFUNCTION("GOOGLETRANSLATE(B366, ""en"", ""hi"")"),"इससे संबंधित सभी डेटा 30 दिनों के भीतर स्थायी रूप से हटा दिया जाएगा।")</f>
        <v>इससे संबंधित सभी डेटा 30 दिनों के भीतर स्थायी रूप से हटा दिया जाएगा।</v>
      </c>
      <c r="E366" s="6" t="str">
        <f>IFERROR(__xludf.DUMMYFUNCTION("GOOGLETRANSLATE(B366, ""en"", ""kn"")"),"ಎಲ್ಲಾ ಸಂಬಂಧಿತ ಡೇಟಾವನ್ನು 30 ದಿನಗಳಲ್ಲಿ ಶಾಶ್ವತವಾಗಿ ಅಳಿಸಲಾಗುತ್ತದೆ.")</f>
        <v>ಎಲ್ಲಾ ಸಂಬಂಧಿತ ಡೇಟಾವನ್ನು 30 ದಿನಗಳಲ್ಲಿ ಶಾಶ್ವತವಾಗಿ ಅಳಿಸಲಾಗುತ್ತದೆ.</v>
      </c>
      <c r="F366" s="7" t="str">
        <f>IFERROR(__xludf.DUMMYFUNCTION("GOOGLETRANSLATE(B366, ""en"", ""ml"")"),"ബന്ധപ്പെട്ട എല്ലാ ഡാറ്റയും 30 ദിവസത്തിനുള്ളിൽ ശാശ്വതമായി ഇല്ലാതാക്കപ്പെടും.")</f>
        <v>ബന്ധപ്പെട്ട എല്ലാ ഡാറ്റയും 30 ദിവസത്തിനുള്ളിൽ ശാശ്വതമായി ഇല്ലാതാക്കപ്പെടും.</v>
      </c>
      <c r="G366" s="7" t="str">
        <f>IFERROR(__xludf.DUMMYFUNCTION("GOOGLETRANSLATE(B366, ""en"", ""te"")"),"సంబంధిత డేటా అంతా 30 రోజుల్లో శాశ్వతంగా తొలగించబడుతుంది.")</f>
        <v>సంబంధిత డేటా అంతా 30 రోజుల్లో శాశ్వతంగా తొలగించబడుతుంది.</v>
      </c>
    </row>
    <row r="367">
      <c r="A367" s="4" t="s">
        <v>708</v>
      </c>
      <c r="B367" s="5" t="s">
        <v>709</v>
      </c>
      <c r="C367" s="6" t="str">
        <f>IFERROR(__xludf.DUMMYFUNCTION("GOOGLETRANSLATE(B367, ""en"", ""ta"")"),"இந்தச் செயலைச் செயல்தவிர்க்க முடியாது - நீக்கப்பட்ட தரவை மீட்டெடுக்க முடியாது.")</f>
        <v>இந்தச் செயலைச் செயல்தவிர்க்க முடியாது - நீக்கப்பட்ட தரவை மீட்டெடுக்க முடியாது.</v>
      </c>
      <c r="D367" s="6" t="str">
        <f>IFERROR(__xludf.DUMMYFUNCTION("GOOGLETRANSLATE(B367, ""en"", ""hi"")"),"इस कार्रवाई को पूर्ववत नहीं किया जा सकता - हटाए गए डेटा को पुनः प्राप्त नहीं किया जा सकता है।")</f>
        <v>इस कार्रवाई को पूर्ववत नहीं किया जा सकता - हटाए गए डेटा को पुनः प्राप्त नहीं किया जा सकता है।</v>
      </c>
      <c r="E367" s="6" t="str">
        <f>IFERROR(__xludf.DUMMYFUNCTION("GOOGLETRANSLATE(B367, ""en"", ""kn"")"),"ಈ ಕ್ರಿಯೆಯನ್ನು ರದ್ದುಗೊಳಿಸಲು ಸಾಧ್ಯವಿಲ್ಲ - ಅಳಿಸಿದ ಡೇಟಾವನ್ನು ಮರುಪಡೆಯಲು ಸಾಧ್ಯವಿಲ್ಲ.")</f>
        <v>ಈ ಕ್ರಿಯೆಯನ್ನು ರದ್ದುಗೊಳಿಸಲು ಸಾಧ್ಯವಿಲ್ಲ - ಅಳಿಸಿದ ಡೇಟಾವನ್ನು ಮರುಪಡೆಯಲು ಸಾಧ್ಯವಿಲ್ಲ.</v>
      </c>
      <c r="F367" s="7" t="str">
        <f>IFERROR(__xludf.DUMMYFUNCTION("GOOGLETRANSLATE(B367, ""en"", ""ml"")"),"ഈ പ്രവർത്തനം പഴയപടിയാക്കാൻ കഴിയില്ല - ഇല്ലാതാക്കിയ ഡാറ്റ വീണ്ടെടുക്കാൻ കഴിയില്ല.")</f>
        <v>ഈ പ്രവർത്തനം പഴയപടിയാക്കാൻ കഴിയില്ല - ഇല്ലാതാക്കിയ ഡാറ്റ വീണ്ടെടുക്കാൻ കഴിയില്ല.</v>
      </c>
      <c r="G367" s="7" t="str">
        <f>IFERROR(__xludf.DUMMYFUNCTION("GOOGLETRANSLATE(B367, ""en"", ""te"")"),"ఈ చర్యను రద్దు చేయడం సాధ్యం కాదు - తొలగించబడిన డేటాను తిరిగి పొందడం సాధ్యం కాదు.")</f>
        <v>ఈ చర్యను రద్దు చేయడం సాధ్యం కాదు - తొలగించబడిన డేటాను తిరిగి పొందడం సాధ్యం కాదు.</v>
      </c>
    </row>
    <row r="368">
      <c r="A368" s="4" t="s">
        <v>710</v>
      </c>
      <c r="B368" s="5" t="s">
        <v>711</v>
      </c>
      <c r="C368" s="6" t="str">
        <f>IFERROR(__xludf.DUMMYFUNCTION("GOOGLETRANSLATE(B368, ""en"", ""ta"")"),"இதற்குப் பிறகு நீங்கள் பயணங்களை மேற்கொள்ளவோ ​​அல்லது இயக்கி அம்சங்களை அணுகவோ முடியாது.")</f>
        <v>இதற்குப் பிறகு நீங்கள் பயணங்களை மேற்கொள்ளவோ ​​அல்லது இயக்கி அம்சங்களை அணுகவோ முடியாது.</v>
      </c>
      <c r="D368" s="6" t="str">
        <f>IFERROR(__xludf.DUMMYFUNCTION("GOOGLETRANSLATE(B368, ""en"", ""hi"")"),"इसके बाद आप ट्रिप बुक नहीं कर पाएंगे और न ही ड्राइवर की सुविधाओं का उपयोग कर पाएंगे।")</f>
        <v>इसके बाद आप ट्रिप बुक नहीं कर पाएंगे और न ही ड्राइवर की सुविधाओं का उपयोग कर पाएंगे।</v>
      </c>
      <c r="E368" s="6" t="str">
        <f>IFERROR(__xludf.DUMMYFUNCTION("GOOGLETRANSLATE(B368, ""en"", ""kn"")"),"ಇದರ ನಂತರ ನೀವು ಟ್ರಿಪ್‌ಗಳನ್ನು ತೆಗೆದುಕೊಳ್ಳಲು ಅಥವಾ ಚಾಲಕ ವೈಶಿಷ್ಟ್ಯಗಳನ್ನು ಪ್ರವೇಶಿಸಲು ಸಾಧ್ಯವಾಗುವುದಿಲ್ಲ.")</f>
        <v>ಇದರ ನಂತರ ನೀವು ಟ್ರಿಪ್‌ಗಳನ್ನು ತೆಗೆದುಕೊಳ್ಳಲು ಅಥವಾ ಚಾಲಕ ವೈಶಿಷ್ಟ್ಯಗಳನ್ನು ಪ್ರವೇಶಿಸಲು ಸಾಧ್ಯವಾಗುವುದಿಲ್ಲ.</v>
      </c>
      <c r="F368" s="7" t="str">
        <f>IFERROR(__xludf.DUMMYFUNCTION("GOOGLETRANSLATE(B368, ""en"", ""ml"")"),"ഇതിനുശേഷം നിങ്ങൾക്ക് യാത്രകൾ നടത്താനോ ഡ്രൈവർ സവിശേഷതകൾ ആക്‌സസ് ചെയ്യാനോ കഴിയില്ല.")</f>
        <v>ഇതിനുശേഷം നിങ്ങൾക്ക് യാത്രകൾ നടത്താനോ ഡ്രൈവർ സവിശേഷതകൾ ആക്‌സസ് ചെയ്യാനോ കഴിയില്ല.</v>
      </c>
      <c r="G368" s="7" t="str">
        <f>IFERROR(__xludf.DUMMYFUNCTION("GOOGLETRANSLATE(B368, ""en"", ""te"")"),"దీని తర్వాత మీరు ట్రిప్‌లు చేయలేరు లేదా డ్రైవర్ ఫీచర్‌లను యాక్సెస్ చేయలేరు.")</f>
        <v>దీని తర్వాత మీరు ట్రిప్‌లు చేయలేరు లేదా డ్రైవర్ ఫీచర్‌లను యాక్సెస్ చేయలేరు.</v>
      </c>
    </row>
    <row r="369">
      <c r="A369" s="4" t="s">
        <v>712</v>
      </c>
      <c r="B369" s="5" t="s">
        <v>713</v>
      </c>
      <c r="C369" s="6" t="str">
        <f>IFERROR(__xludf.DUMMYFUNCTION("GOOGLETRANSLATE(B369, ""en"", ""ta"")"),"சட்டத்தின்படி தேவைப்படும் சில பதிவுகள் (எ.கா., பணம்/ரசீதுகள்) தக்கவைக்கப்படலாம்.")</f>
        <v>சட்டத்தின்படி தேவைப்படும் சில பதிவுகள் (எ.கா., பணம்/ரசீதுகள்) தக்கவைக்கப்படலாம்.</v>
      </c>
      <c r="D369" s="6" t="str">
        <f>IFERROR(__xludf.DUMMYFUNCTION("GOOGLETRANSLATE(B369, ""en"", ""hi"")"),"कानून द्वारा आवश्यक होने पर कुछ रिकॉर्ड (जैसे भुगतान/रसीदें) रखे जा सकते हैं।")</f>
        <v>कानून द्वारा आवश्यक होने पर कुछ रिकॉर्ड (जैसे भुगतान/रसीदें) रखे जा सकते हैं।</v>
      </c>
      <c r="E369" s="6" t="str">
        <f>IFERROR(__xludf.DUMMYFUNCTION("GOOGLETRANSLATE(B369, ""en"", ""kn"")"),"ಕಾನೂನಿನ ಪ್ರಕಾರ ಕೆಲವು ದಾಖಲೆಗಳನ್ನು (ಉದಾ. ಪಾವತಿಗಳು/ರಶೀದಿಗಳು) ಉಳಿಸಿಕೊಳ್ಳಬಹುದು.")</f>
        <v>ಕಾನೂನಿನ ಪ್ರಕಾರ ಕೆಲವು ದಾಖಲೆಗಳನ್ನು (ಉದಾ. ಪಾವತಿಗಳು/ರಶೀದಿಗಳು) ಉಳಿಸಿಕೊಳ್ಳಬಹುದು.</v>
      </c>
      <c r="F369" s="7" t="str">
        <f>IFERROR(__xludf.DUMMYFUNCTION("GOOGLETRANSLATE(B369, ""en"", ""ml"")"),"നിയമം അനുശാസിക്കുന്ന പ്രകാരം ചില രേഖകൾ (ഉദാ. പേയ്‌മെന്റുകൾ/രസീതുകൾ) സൂക്ഷിക്കാവുന്നതാണ്.")</f>
        <v>നിയമം അനുശാസിക്കുന്ന പ്രകാരം ചില രേഖകൾ (ഉദാ. പേയ്‌മെന്റുകൾ/രസീതുകൾ) സൂക്ഷിക്കാവുന്നതാണ്.</v>
      </c>
      <c r="G369" s="7" t="str">
        <f>IFERROR(__xludf.DUMMYFUNCTION("GOOGLETRANSLATE(B369, ""en"", ""te"")"),"చట్టం ప్రకారం కొన్ని రికార్డులను (ఉదా. చెల్లింపులు/రసీదులు) అలాగే ఉంచుకోవచ్చు.")</f>
        <v>చట్టం ప్రకారం కొన్ని రికార్డులను (ఉదా. చెల్లింపులు/రసీదులు) అలాగే ఉంచుకోవచ్చు.</v>
      </c>
    </row>
    <row r="370">
      <c r="A370" s="4" t="s">
        <v>714</v>
      </c>
      <c r="B370" s="5" t="s">
        <v>715</v>
      </c>
      <c r="C370" s="6" t="str">
        <f>IFERROR(__xludf.DUMMYFUNCTION("GOOGLETRANSLATE(B370, ""en"", ""ta"")"),"எனது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f>
        <v>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v>
      </c>
      <c r="D370" s="6" t="str">
        <f>IFERROR(__xludf.DUMMYFUNCTION("GOOGLETRANSLATE(B370, ""en"", ""hi"")"),"मुझे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f>
        <v>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v>
      </c>
      <c r="E370" s="6" t="str">
        <f>IFERROR(__xludf.DUMMYFUNCTION("GOOGLETRANSLATE(B370, ""en"", ""kn"")"),"ನನ್ನ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f>
        <v>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v>
      </c>
      <c r="F370" s="7" t="str">
        <f>IFERROR(__xludf.DUMMYFUNCTION("GOOGLETRANSLATE(B370, ""en"", ""ml"")"),"എന്റെ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f>
        <v>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v>
      </c>
      <c r="G370" s="7" t="str">
        <f>IFERROR(__xludf.DUMMYFUNCTION("GOOGLETRANSLATE(B370, ""en"", ""te"")"),"నా ఖాతా ఇప్పుడు తొలగించబడినట్లు గుర్తించబడుతుందని, నా డేటా 30 రోజుల్లో శాశ్వతంగా తొలగించబడుతుందని, నేను ప్రయాణాలు చేయలేనని మరియు ఈ చర్యను రద్దు చేయలేమని నేను అర్థం చేసుకున్నాను.")</f>
        <v>నా ఖాతా ఇప్పుడు తొలగించబడినట్లు గుర్తించబడుతుందని, నా డేటా 30 రోజుల్లో శాశ్వతంగా తొలగించబడుతుందని, నేను ప్రయాణాలు చేయలేనని మరియు ఈ చర్యను రద్దు చేయలేమని నేను అర్థం చేసుకున్నాను.</v>
      </c>
    </row>
    <row r="371">
      <c r="A371" s="4" t="s">
        <v>716</v>
      </c>
      <c r="B371" s="5" t="s">
        <v>717</v>
      </c>
      <c r="C371" s="6" t="str">
        <f>IFERROR(__xludf.DUMMYFUNCTION("GOOGLETRANSLATE(B371, ""en"", ""ta"")"),"உங்கள் தொலைபேசி எண்ணை உள்ளிடவும்.")</f>
        <v>உங்கள் தொலைபேசி எண்ணை உள்ளிடவும்.</v>
      </c>
      <c r="D371" s="6" t="str">
        <f>IFERROR(__xludf.DUMMYFUNCTION("GOOGLETRANSLATE(B371, ""en"", ""hi"")"),"कृपया अपना फोन नंबर दर्ज करें")</f>
        <v>कृपया अपना फोन नंबर दर्ज करें</v>
      </c>
      <c r="E371" s="6" t="str">
        <f>IFERROR(__xludf.DUMMYFUNCTION("GOOGLETRANSLATE(B371, ""en"", ""kn"")"),"ದಯವಿಟ್ಟು ನಿಮ್ಮ ಫೋನ್ ಸಂಖ್ಯೆಯನ್ನು ನಮೂದಿಸಿ.")</f>
        <v>ದಯವಿಟ್ಟು ನಿಮ್ಮ ಫೋನ್ ಸಂಖ್ಯೆಯನ್ನು ನಮೂದಿಸಿ.</v>
      </c>
      <c r="F371" s="7" t="str">
        <f>IFERROR(__xludf.DUMMYFUNCTION("GOOGLETRANSLATE(B371, ""en"", ""ml"")"),"ദയവായി നിങ്ങളുടെ ഫോൺ നമ്പർ നൽകുക.")</f>
        <v>ദയവായി നിങ്ങളുടെ ഫോൺ നമ്പർ നൽകുക.</v>
      </c>
      <c r="G371" s="7" t="str">
        <f>IFERROR(__xludf.DUMMYFUNCTION("GOOGLETRANSLATE(B371, ""en"", ""te"")"),"దయచేసి మీ ఫోన్ నంబర్‌ను నమోదు చేయండి.")</f>
        <v>దయచేసి మీ ఫోన్ నంబర్‌ను నమోదు చేయండి.</v>
      </c>
    </row>
    <row r="372">
      <c r="A372" s="4" t="s">
        <v>718</v>
      </c>
      <c r="B372" s="5" t="s">
        <v>719</v>
      </c>
      <c r="C372" s="6" t="str">
        <f>IFERROR(__xludf.DUMMYFUNCTION("GOOGLETRANSLATE(B372, ""en"", ""ta"")"),"தயவுசெய்து ஒரு செல்லுபடியாகும் தொலைபேசி எண்ணை உள்ளிடவும்.")</f>
        <v>தயவுசெய்து ஒரு செல்லுபடியாகும் தொலைபேசி எண்ணை உள்ளிடவும்.</v>
      </c>
      <c r="D372" s="6" t="str">
        <f>IFERROR(__xludf.DUMMYFUNCTION("GOOGLETRANSLATE(B372, ""en"", ""hi"")"),"एक मान्य दूरभाष क्रमांक दर्ज करे")</f>
        <v>एक मान्य दूरभाष क्रमांक दर्ज करे</v>
      </c>
      <c r="E372" s="6" t="str">
        <f>IFERROR(__xludf.DUMMYFUNCTION("GOOGLETRANSLATE(B372, ""en"", ""kn"")"),"ದಯವಿಟ್ಟು ಮಾನ್ಯವಾದ ಫೋನ್ ಸಂಖ್ಯೆಯನ್ನು ನಮೂದಿಸಿ.")</f>
        <v>ದಯವಿಟ್ಟು ಮಾನ್ಯವಾದ ಫೋನ್ ಸಂಖ್ಯೆಯನ್ನು ನಮೂದಿಸಿ.</v>
      </c>
      <c r="F372" s="7" t="str">
        <f>IFERROR(__xludf.DUMMYFUNCTION("GOOGLETRANSLATE(B372, ""en"", ""ml"")"),"ദയവായി സാധുവായ ഒരു ഫോൺ നമ്പർ നൽകുക.")</f>
        <v>ദയവായി സാധുവായ ഒരു ഫോൺ നമ്പർ നൽകുക.</v>
      </c>
      <c r="G372" s="7" t="str">
        <f>IFERROR(__xludf.DUMMYFUNCTION("GOOGLETRANSLATE(B372, ""en"", ""te"")"),"దయచేసి చెల్లుబాటు అయ్యే ఫోన్ నంబర్‌ను నమోదు చేయండి.")</f>
        <v>దయచేసి చెల్లుబాటు అయ్యే ఫోన్ నంబర్‌ను నమోదు చేయండి.</v>
      </c>
    </row>
    <row r="373">
      <c r="A373" s="4" t="s">
        <v>720</v>
      </c>
      <c r="B373" s="5" t="s">
        <v>721</v>
      </c>
      <c r="C373" s="6" t="str">
        <f>IFERROR(__xludf.DUMMYFUNCTION("GOOGLETRANSLATE(B373, ""en"", ""ta"")"),"விதிமுறைகள் மற்றும் நிபந்தனைகளை ஏற்றுக்கொள்ளுங்கள்.")</f>
        <v>விதிமுறைகள் மற்றும் நிபந்தனைகளை ஏற்றுக்கொள்ளுங்கள்.</v>
      </c>
      <c r="D373" s="6" t="str">
        <f>IFERROR(__xludf.DUMMYFUNCTION("GOOGLETRANSLATE(B373, ""en"", ""hi"")"),"कृपया नियम व शर्तों की सहमति दें")</f>
        <v>कृपया नियम व शर्तों की सहमति दें</v>
      </c>
      <c r="E373" s="6" t="str">
        <f>IFERROR(__xludf.DUMMYFUNCTION("GOOGLETRANSLATE(B373, ""en"", ""kn"")"),"ದಯವಿಟ್ಟು ನಿಯಮಗಳು ಮತ್ತು ಷರತ್ತುಗಳನ್ನು ಒಪ್ಪಿಕೊಳ್ಳಿ.")</f>
        <v>ದಯವಿಟ್ಟು ನಿಯಮಗಳು ಮತ್ತು ಷರತ್ತುಗಳನ್ನು ಒಪ್ಪಿಕೊಳ್ಳಿ.</v>
      </c>
      <c r="F373" s="7" t="str">
        <f>IFERROR(__xludf.DUMMYFUNCTION("GOOGLETRANSLATE(B373, ""en"", ""ml"")"),"നിബന്ധനകളും വ്യവസ്ഥകളും അംഗീകരിക്കുക.")</f>
        <v>നിബന്ധനകളും വ്യവസ്ഥകളും അംഗീകരിക്കുക.</v>
      </c>
      <c r="G373" s="7" t="str">
        <f>IFERROR(__xludf.DUMMYFUNCTION("GOOGLETRANSLATE(B373, ""en"", ""te"")"),"దయచేసి నిబంధనలు మరియు షరతులను అంగీకరించండి.")</f>
        <v>దయచేసి నిబంధనలు మరియు షరతులను అంగీకరించండి.</v>
      </c>
    </row>
    <row r="374">
      <c r="A374" s="4" t="s">
        <v>722</v>
      </c>
      <c r="B374" s="5" t="s">
        <v>723</v>
      </c>
      <c r="C374" s="6" t="str">
        <f>IFERROR(__xludf.DUMMYFUNCTION("GOOGLETRANSLATE(B374, ""en"", ""ta"")"),"உங்கள் பதிவுசெய்யப்பட்ட தொலைபேசி எண்ணை உள்ளிடவும்.")</f>
        <v>உங்கள் பதிவுசெய்யப்பட்ட தொலைபேசி எண்ணை உள்ளிடவும்.</v>
      </c>
      <c r="D374" s="6" t="str">
        <f>IFERROR(__xludf.DUMMYFUNCTION("GOOGLETRANSLATE(B374, ""en"", ""hi"")"),"कृपया अपना पंजीकृत फ़ोन नंबर दर्ज करें")</f>
        <v>कृपया अपना पंजीकृत फ़ोन नंबर दर्ज करें</v>
      </c>
      <c r="E374" s="6" t="str">
        <f>IFERROR(__xludf.DUMMYFUNCTION("GOOGLETRANSLATE(B374, ""en"", ""kn"")"),"ದಯವಿಟ್ಟು ನಿಮ್ಮ ನೋಂದಾಯಿತ ಫೋನ್ ಸಂಖ್ಯೆಯನ್ನು ನಮೂದಿಸಿ.")</f>
        <v>ದಯವಿಟ್ಟು ನಿಮ್ಮ ನೋಂದಾಯಿತ ಫೋನ್ ಸಂಖ್ಯೆಯನ್ನು ನಮೂದಿಸಿ.</v>
      </c>
      <c r="F374" s="7" t="str">
        <f>IFERROR(__xludf.DUMMYFUNCTION("GOOGLETRANSLATE(B374, ""en"", ""ml"")"),"ദയവായി നിങ്ങളുടെ രജിസ്റ്റർ ചെയ്ത ഫോൺ നമ്പർ നൽകുക.")</f>
        <v>ദയവായി നിങ്ങളുടെ രജിസ്റ്റർ ചെയ്ത ഫോൺ നമ്പർ നൽകുക.</v>
      </c>
      <c r="G374" s="7" t="str">
        <f>IFERROR(__xludf.DUMMYFUNCTION("GOOGLETRANSLATE(B374, ""en"", ""te"")"),"దయచేసి మీ రిజిస్టర్డ్ ఫోన్ నంబర్‌ను నమోదు చేయండి.")</f>
        <v>దయచేసి మీ రిజిస్టర్డ్ ఫోన్ నంబర్‌ను నమోదు చేయండి.</v>
      </c>
    </row>
    <row r="375">
      <c r="A375" s="4" t="s">
        <v>724</v>
      </c>
      <c r="B375" s="5" t="s">
        <v>725</v>
      </c>
      <c r="C375" s="6" t="str">
        <f>IFERROR(__xludf.DUMMYFUNCTION("GOOGLETRANSLATE(B375, ""en"", ""ta"")"),"வரி 1")</f>
        <v>வரி 1</v>
      </c>
      <c r="D375" s="6" t="str">
        <f>IFERROR(__xludf.DUMMYFUNCTION("GOOGLETRANSLATE(B375, ""en"", ""hi"")"),"लाइन 1")</f>
        <v>लाइन 1</v>
      </c>
      <c r="E375" s="6" t="str">
        <f>IFERROR(__xludf.DUMMYFUNCTION("GOOGLETRANSLATE(B375, ""en"", ""kn"")"),"ಸಾಲು 1")</f>
        <v>ಸಾಲು 1</v>
      </c>
      <c r="F375" s="7" t="str">
        <f>IFERROR(__xludf.DUMMYFUNCTION("GOOGLETRANSLATE(B375, ""en"", ""ml"")"),"വരി 1")</f>
        <v>വരി 1</v>
      </c>
      <c r="G375" s="7" t="str">
        <f>IFERROR(__xludf.DUMMYFUNCTION("GOOGLETRANSLATE(B375, ""en"", ""te"")"),"లైన్ 1")</f>
        <v>లైన్ 1</v>
      </c>
    </row>
    <row r="376">
      <c r="A376" s="4" t="s">
        <v>726</v>
      </c>
      <c r="B376" s="5" t="s">
        <v>727</v>
      </c>
      <c r="C376" s="6" t="str">
        <f>IFERROR(__xludf.DUMMYFUNCTION("GOOGLETRANSLATE(B376, ""en"", ""ta"")"),"வரி 2")</f>
        <v>வரி 2</v>
      </c>
      <c r="D376" s="6" t="str">
        <f>IFERROR(__xludf.DUMMYFUNCTION("GOOGLETRANSLATE(B376, ""en"", ""hi"")"),"पंक्ति 2")</f>
        <v>पंक्ति 2</v>
      </c>
      <c r="E376" s="6" t="str">
        <f>IFERROR(__xludf.DUMMYFUNCTION("GOOGLETRANSLATE(B376, ""en"", ""kn"")"),"ಸಾಲು 2")</f>
        <v>ಸಾಲು 2</v>
      </c>
      <c r="F376" s="7" t="str">
        <f>IFERROR(__xludf.DUMMYFUNCTION("GOOGLETRANSLATE(B376, ""en"", ""ml"")"),"വരി 2")</f>
        <v>വരി 2</v>
      </c>
      <c r="G376" s="7" t="str">
        <f>IFERROR(__xludf.DUMMYFUNCTION("GOOGLETRANSLATE(B376, ""en"", ""te"")"),"లైన్ 2")</f>
        <v>లైన్ 2</v>
      </c>
    </row>
    <row r="377">
      <c r="A377" s="4" t="s">
        <v>728</v>
      </c>
      <c r="B377" s="5" t="s">
        <v>729</v>
      </c>
      <c r="C377" s="6" t="str">
        <f>IFERROR(__xludf.DUMMYFUNCTION("GOOGLETRANSLATE(B377, ""en"", ""ta"")"),"வாகன ஆர்.சி. ஆவணத்தின் பின்புறம்")</f>
        <v>வாகன ஆர்.சி. ஆவணத்தின் பின்புறம்</v>
      </c>
      <c r="D377" s="6" t="str">
        <f>IFERROR(__xludf.DUMMYFUNCTION("GOOGLETRANSLATE(B377, ""en"", ""hi"")"),"वाहन आरसी दस्तावेज़ का पिछला भाग")</f>
        <v>वाहन आरसी दस्तावेज़ का पिछला भाग</v>
      </c>
      <c r="E377" s="6" t="str">
        <f>IFERROR(__xludf.DUMMYFUNCTION("GOOGLETRANSLATE(B377, ""en"", ""kn"")"),"ವಾಹನದ ಆರ್‌ಸಿ ದಾಖಲೆ ಹಿಂಭಾಗ")</f>
        <v>ವಾಹನದ ಆರ್‌ಸಿ ದಾಖಲೆ ಹಿಂಭಾಗ</v>
      </c>
      <c r="F377" s="7" t="str">
        <f>IFERROR(__xludf.DUMMYFUNCTION("GOOGLETRANSLATE(B377, ""en"", ""ml"")"),"വാഹന ആർ‌സി ഡോക്യുമെന്റ് പിൻവശം")</f>
        <v>വാഹന ആർ‌സി ഡോക്യുമെന്റ് പിൻവശം</v>
      </c>
      <c r="G377" s="7" t="str">
        <f>IFERROR(__xludf.DUMMYFUNCTION("GOOGLETRANSLATE(B377, ""en"", ""te"")"),"వాహన RC డాక్యుమెంట్ వెనుక వైపు")</f>
        <v>వాహన RC డాక్యుమెంట్ వెనుక వైపు</v>
      </c>
    </row>
    <row r="378">
      <c r="A378" s="4" t="s">
        <v>730</v>
      </c>
      <c r="B378" s="5" t="s">
        <v>731</v>
      </c>
      <c r="C378" s="6" t="str">
        <f>IFERROR(__xludf.DUMMYFUNCTION("GOOGLETRANSLATE(B378, ""en"", ""ta"")"),"வாழ்க்கை நேரம்")</f>
        <v>வாழ்க்கை நேரம்</v>
      </c>
      <c r="D378" s="6" t="str">
        <f>IFERROR(__xludf.DUMMYFUNCTION("GOOGLETRANSLATE(B378, ""en"", ""hi"")"),"जीवनभर")</f>
        <v>जीवनभर</v>
      </c>
      <c r="E378" s="6" t="str">
        <f>IFERROR(__xludf.DUMMYFUNCTION("GOOGLETRANSLATE(B378, ""en"", ""kn"")"),"ಲೈಫ್ ಟೈಮ್")</f>
        <v>ಲೈಫ್ ಟೈಮ್</v>
      </c>
      <c r="F378" s="7" t="str">
        <f>IFERROR(__xludf.DUMMYFUNCTION("GOOGLETRANSLATE(B378, ""en"", ""ml"")"),"ജീവിതകാലം")</f>
        <v>ജീവിതകാലം</v>
      </c>
      <c r="G378" s="7" t="str">
        <f>IFERROR(__xludf.DUMMYFUNCTION("GOOGLETRANSLATE(B378, ""en"", ""te"")"),"జీవితకాలం")</f>
        <v>జీవితకాలం</v>
      </c>
    </row>
    <row r="379">
      <c r="A379" s="4" t="s">
        <v>732</v>
      </c>
      <c r="B379" s="5" t="s">
        <v>733</v>
      </c>
      <c r="C379" s="6" t="str">
        <f>IFERROR(__xludf.DUMMYFUNCTION("GOOGLETRANSLATE(B379, ""en"", ""ta"")"),"காலாவதி தேதி")</f>
        <v>காலாவதி தேதி</v>
      </c>
      <c r="D379" s="6" t="str">
        <f>IFERROR(__xludf.DUMMYFUNCTION("GOOGLETRANSLATE(B379, ""en"", ""hi"")"),"समाप्ति तिथि")</f>
        <v>समाप्ति तिथि</v>
      </c>
      <c r="E379" s="6" t="str">
        <f>IFERROR(__xludf.DUMMYFUNCTION("GOOGLETRANSLATE(B379, ""en"", ""kn"")"),"ಮುಕ್ತಾಯ ದಿನಾಂಕ")</f>
        <v>ಮುಕ್ತಾಯ ದಿನಾಂಕ</v>
      </c>
      <c r="F379" s="7" t="str">
        <f>IFERROR(__xludf.DUMMYFUNCTION("GOOGLETRANSLATE(B379, ""en"", ""ml"")"),"കാലഹരണപ്പെടുന്ന തീയതി")</f>
        <v>കാലഹരണപ്പെടുന്ന തീയതി</v>
      </c>
      <c r="G379" s="7" t="str">
        <f>IFERROR(__xludf.DUMMYFUNCTION("GOOGLETRANSLATE(B379, ""en"", ""te"")"),"గడువు తేదీ")</f>
        <v>గడువు తేదీ</v>
      </c>
    </row>
    <row r="380">
      <c r="A380" s="4" t="s">
        <v>734</v>
      </c>
      <c r="B380" s="5" t="s">
        <v>735</v>
      </c>
      <c r="C380" s="6" t="str">
        <f>IFERROR(__xludf.DUMMYFUNCTION("GOOGLETRANSLATE(B380, ""en"", ""ta"")"),"சாலை வரி")</f>
        <v>சாலை வரி</v>
      </c>
      <c r="D380" s="6" t="str">
        <f>IFERROR(__xludf.DUMMYFUNCTION("GOOGLETRANSLATE(B380, ""en"", ""hi"")"),"पथ कर")</f>
        <v>पथ कर</v>
      </c>
      <c r="E380" s="6" t="str">
        <f>IFERROR(__xludf.DUMMYFUNCTION("GOOGLETRANSLATE(B380, ""en"", ""kn"")"),"ರಸ್ತೆ ತೆರಿಗೆ")</f>
        <v>ರಸ್ತೆ ತೆರಿಗೆ</v>
      </c>
      <c r="F380" s="7" t="str">
        <f>IFERROR(__xludf.DUMMYFUNCTION("GOOGLETRANSLATE(B380, ""en"", ""ml"")"),"റോഡ് നികുതി")</f>
        <v>റോഡ് നികുതി</v>
      </c>
      <c r="G380" s="7" t="str">
        <f>IFERROR(__xludf.DUMMYFUNCTION("GOOGLETRANSLATE(B380, ""en"", ""te"")"),"రోడ్డు పన్ను")</f>
        <v>రోడ్డు పన్ను</v>
      </c>
    </row>
    <row r="381">
      <c r="A381" s="4" t="s">
        <v>736</v>
      </c>
      <c r="B381" s="5" t="s">
        <v>737</v>
      </c>
      <c r="C381" s="6" t="str">
        <f>IFERROR(__xludf.DUMMYFUNCTION("GOOGLETRANSLATE(B381, ""en"", ""ta"")"),"மாற்று தொலைபேசி எண்")</f>
        <v>மாற்று தொலைபேசி எண்</v>
      </c>
      <c r="D381" s="6" t="str">
        <f>IFERROR(__xludf.DUMMYFUNCTION("GOOGLETRANSLATE(B381, ""en"", ""hi"")"),"वैकल्पिक फ़ोन नंबर")</f>
        <v>वैकल्पिक फ़ोन नंबर</v>
      </c>
      <c r="E381" s="6" t="str">
        <f>IFERROR(__xludf.DUMMYFUNCTION("GOOGLETRANSLATE(B381, ""en"", ""kn"")"),"ಪರ್ಯಾಯ ಫೋನ್ ಸಂಖ್ಯೆ")</f>
        <v>ಪರ್ಯಾಯ ಫೋನ್ ಸಂಖ್ಯೆ</v>
      </c>
      <c r="F381" s="7" t="str">
        <f>IFERROR(__xludf.DUMMYFUNCTION("GOOGLETRANSLATE(B381, ""en"", ""ml"")"),"ഇതര ഫോൺ നമ്പർ")</f>
        <v>ഇതര ഫോൺ നമ്പർ</v>
      </c>
      <c r="G381" s="7" t="str">
        <f>IFERROR(__xludf.DUMMYFUNCTION("GOOGLETRANSLATE(B381, ""en"", ""te"")"),"ప్రత్యామ్నాయ ఫోన్ నంబర్")</f>
        <v>ప్రత్యామ్నాయ ఫోన్ నంబర్</v>
      </c>
    </row>
    <row r="382">
      <c r="A382" s="4" t="s">
        <v>738</v>
      </c>
      <c r="B382" s="5" t="s">
        <v>739</v>
      </c>
      <c r="C382" s="6" t="str">
        <f>IFERROR(__xludf.DUMMYFUNCTION("GOOGLETRANSLATE(B382, ""en"", ""ta"")"),"கருத்துகளை எழுதுங்கள்")</f>
        <v>கருத்துகளை எழுதுங்கள்</v>
      </c>
      <c r="D382" s="6" t="str">
        <f>IFERROR(__xludf.DUMMYFUNCTION("GOOGLETRANSLATE(B382, ""en"", ""hi"")"),"प्रतिक्रिया लिखें")</f>
        <v>प्रतिक्रिया लिखें</v>
      </c>
      <c r="E382" s="6" t="str">
        <f>IFERROR(__xludf.DUMMYFUNCTION("GOOGLETRANSLATE(B382, ""en"", ""kn"")"),"ಪ್ರತಿಕ್ರಿಯೆ ಬರೆಯಿರಿ")</f>
        <v>ಪ್ರತಿಕ್ರಿಯೆ ಬರೆಯಿರಿ</v>
      </c>
      <c r="F382" s="7" t="str">
        <f>IFERROR(__xludf.DUMMYFUNCTION("GOOGLETRANSLATE(B382, ""en"", ""ml"")"),"ഫീഡ്‌ബാക്ക് എഴുതുക")</f>
        <v>ഫീഡ്‌ബാക്ക് എഴുതുക</v>
      </c>
      <c r="G382" s="7" t="str">
        <f>IFERROR(__xludf.DUMMYFUNCTION("GOOGLETRANSLATE(B382, ""en"", ""te"")"),"అభిప్రాయాన్ని వ్రాయండి")</f>
        <v>అభిప్రాయాన్ని వ్రాయండి</v>
      </c>
    </row>
    <row r="383">
      <c r="A383" s="4" t="s">
        <v>740</v>
      </c>
      <c r="B383" s="5" t="s">
        <v>741</v>
      </c>
      <c r="C383" s="6" t="str">
        <f>IFERROR(__xludf.DUMMYFUNCTION("GOOGLETRANSLATE(B383, ""en"", ""ta"")"),"எங்கள் செயலியைப் பற்றி சில நல்ல விஷயங்களைச் சொல்லுங்கள்.")</f>
        <v>எங்கள் செயலியைப் பற்றி சில நல்ல விஷயங்களைச் சொல்லுங்கள்.</v>
      </c>
      <c r="D383" s="6" t="str">
        <f>IFERROR(__xludf.DUMMYFUNCTION("GOOGLETRANSLATE(B383, ""en"", ""hi"")"),"हमारे ऐप के बारे में कुछ अच्छी बातें कहिए।")</f>
        <v>हमारे ऐप के बारे में कुछ अच्छी बातें कहिए।</v>
      </c>
      <c r="E383" s="6" t="str">
        <f>IFERROR(__xludf.DUMMYFUNCTION("GOOGLETRANSLATE(B383, ""en"", ""kn"")"),"ನಮ್ಮ ಅಪ್ಲಿಕೇಶನ್ ಬಗ್ಗೆ ಕೆಲವು ಒಳ್ಳೆಯ ವಿಷಯಗಳನ್ನು ಹೇಳಿ.")</f>
        <v>ನಮ್ಮ ಅಪ್ಲಿಕೇಶನ್ ಬಗ್ಗೆ ಕೆಲವು ಒಳ್ಳೆಯ ವಿಷಯಗಳನ್ನು ಹೇಳಿ.</v>
      </c>
      <c r="F383" s="7" t="str">
        <f>IFERROR(__xludf.DUMMYFUNCTION("GOOGLETRANSLATE(B383, ""en"", ""ml"")"),"ഞങ്ങളുടെ ആപ്പിനെക്കുറിച്ച് കുറച്ച് നല്ല കാര്യങ്ങൾ പറയൂ")</f>
        <v>ഞങ്ങളുടെ ആപ്പിനെക്കുറിച്ച് കുറച്ച് നല്ല കാര്യങ്ങൾ പറയൂ</v>
      </c>
      <c r="G383" s="7" t="str">
        <f>IFERROR(__xludf.DUMMYFUNCTION("GOOGLETRANSLATE(B383, ""en"", ""te"")"),"మా యాప్ గురించి కొన్ని మంచి విషయాలు చెప్పండి.")</f>
        <v>మా యాప్ గురించి కొన్ని మంచి విషయాలు చెప్పండి.</v>
      </c>
    </row>
    <row r="384">
      <c r="A384" s="4" t="s">
        <v>742</v>
      </c>
      <c r="B384" s="5" t="s">
        <v>743</v>
      </c>
      <c r="C384" s="6" t="str">
        <f>IFERROR(__xludf.DUMMYFUNCTION("GOOGLETRANSLATE(B384, ""en"", ""ta"")"),"எங்கள் பயன்பாட்டைப் பற்றி சில மோசமான விஷயங்களைச் சொல்லுங்கள்.")</f>
        <v>எங்கள் பயன்பாட்டைப் பற்றி சில மோசமான விஷயங்களைச் சொல்லுங்கள்.</v>
      </c>
      <c r="D384" s="6" t="str">
        <f>IFERROR(__xludf.DUMMYFUNCTION("GOOGLETRANSLATE(B384, ""en"", ""hi"")"),"हमारे ऐप के बारे में कुछ बुरी बातें कहिए")</f>
        <v>हमारे ऐप के बारे में कुछ बुरी बातें कहिए</v>
      </c>
      <c r="E384" s="6" t="str">
        <f>IFERROR(__xludf.DUMMYFUNCTION("GOOGLETRANSLATE(B384, ""en"", ""kn"")"),"ನಮ್ಮ ಅಪ್ಲಿಕೇಶನ್ ಬಗ್ಗೆ ಕೆಲವು ಕೆಟ್ಟ ವಿಷಯಗಳನ್ನು ಹೇಳಿ.")</f>
        <v>ನಮ್ಮ ಅಪ್ಲಿಕೇಶನ್ ಬಗ್ಗೆ ಕೆಲವು ಕೆಟ್ಟ ವಿಷಯಗಳನ್ನು ಹೇಳಿ.</v>
      </c>
      <c r="F384" s="7" t="str">
        <f>IFERROR(__xludf.DUMMYFUNCTION("GOOGLETRANSLATE(B384, ""en"", ""ml"")"),"ഞങ്ങളുടെ ആപ്പിനെക്കുറിച്ച് മോശം കാര്യങ്ങൾ പറയൂ")</f>
        <v>ഞങ്ങളുടെ ആപ്പിനെക്കുറിച്ച് മോശം കാര്യങ്ങൾ പറയൂ</v>
      </c>
      <c r="G384" s="7" t="str">
        <f>IFERROR(__xludf.DUMMYFUNCTION("GOOGLETRANSLATE(B384, ""en"", ""te"")"),"మా యాప్ గురించి కొన్ని చెడు విషయాలు చెప్పండి.")</f>
        <v>మా యాప్ గురించి కొన్ని చెడు విషయాలు చెప్పండి.</v>
      </c>
    </row>
    <row r="385">
      <c r="A385" s="4" t="s">
        <v>744</v>
      </c>
      <c r="B385" s="5" t="s">
        <v>745</v>
      </c>
      <c r="C385" s="6" t="str">
        <f>IFERROR(__xludf.DUMMYFUNCTION("GOOGLETRANSLATE(B385, ""en"", ""ta"")"),"நீங்கள் சொல்ல விரும்பும் மேம்பாடுகள்")</f>
        <v>நீங்கள் சொல்ல விரும்பும் மேம்பாடுகள்</v>
      </c>
      <c r="D385" s="6" t="str">
        <f>IFERROR(__xludf.DUMMYFUNCTION("GOOGLETRANSLATE(B385, ""en"", ""hi"")"),"आप किन सुधारों के बारे में बताना चाहेंगे?")</f>
        <v>आप किन सुधारों के बारे में बताना चाहेंगे?</v>
      </c>
      <c r="E385" s="6" t="str">
        <f>IFERROR(__xludf.DUMMYFUNCTION("GOOGLETRANSLATE(B385, ""en"", ""kn"")"),"ನೀವು ಹೇಳಲು ಬಯಸುವ ಸುಧಾರಣೆಗಳು")</f>
        <v>ನೀವು ಹೇಳಲು ಬಯಸುವ ಸುಧಾರಣೆಗಳು</v>
      </c>
      <c r="F385" s="7" t="str">
        <f>IFERROR(__xludf.DUMMYFUNCTION("GOOGLETRANSLATE(B385, ""en"", ""ml"")"),"നിങ്ങൾ പറയാൻ ആഗ്രഹിക്കുന്ന മെച്ചപ്പെടുത്തലുകൾ")</f>
        <v>നിങ്ങൾ പറയാൻ ആഗ്രഹിക്കുന്ന മെച്ചപ്പെടുത്തലുകൾ</v>
      </c>
      <c r="G385" s="7" t="str">
        <f>IFERROR(__xludf.DUMMYFUNCTION("GOOGLETRANSLATE(B385, ""en"", ""te"")"),"మీరు చెప్పాలనుకుంటున్న మెరుగుదలలు")</f>
        <v>మీరు చెప్పాలనుకుంటున్న మెరుగుదలలు</v>
      </c>
    </row>
    <row r="386">
      <c r="A386" s="4" t="s">
        <v>746</v>
      </c>
      <c r="B386" s="5" t="s">
        <v>747</v>
      </c>
      <c r="C386" s="6" t="str">
        <f>IFERROR(__xludf.DUMMYFUNCTION("GOOGLETRANSLATE(B386, ""en"", ""ta"")"),"நீங்கள் எதிர்கொள்ளும் சிக்கல்கள்")</f>
        <v>நீங்கள் எதிர்கொள்ளும் சிக்கல்கள்</v>
      </c>
      <c r="D386" s="6" t="str">
        <f>IFERROR(__xludf.DUMMYFUNCTION("GOOGLETRANSLATE(B386, ""en"", ""hi"")"),"आपको जिन समस्याओं का सामना करना पड़ रहा है")</f>
        <v>आपको जिन समस्याओं का सामना करना पड़ रहा है</v>
      </c>
      <c r="E386" s="6" t="str">
        <f>IFERROR(__xludf.DUMMYFUNCTION("GOOGLETRANSLATE(B386, ""en"", ""kn"")"),"ನೀವು ಎದುರಿಸುತ್ತಿರುವ ಸಮಸ್ಯೆಗಳು")</f>
        <v>ನೀವು ಎದುರಿಸುತ್ತಿರುವ ಸಮಸ್ಯೆಗಳು</v>
      </c>
      <c r="F386" s="7" t="str">
        <f>IFERROR(__xludf.DUMMYFUNCTION("GOOGLETRANSLATE(B386, ""en"", ""ml"")"),"നിങ്ങൾ നേരിടുന്ന പ്രശ്നങ്ങൾ")</f>
        <v>നിങ്ങൾ നേരിടുന്ന പ്രശ്നങ്ങൾ</v>
      </c>
      <c r="G386" s="7" t="str">
        <f>IFERROR(__xludf.DUMMYFUNCTION("GOOGLETRANSLATE(B386, ""en"", ""te"")"),"మీరు ఎదుర్కొంటున్న సమస్యలు")</f>
        <v>మీరు ఎదుర్కొంటున్న సమస్యలు</v>
      </c>
    </row>
    <row r="387">
      <c r="A387" s="4" t="s">
        <v>748</v>
      </c>
      <c r="B387" s="5" t="s">
        <v>749</v>
      </c>
      <c r="C387" s="6" t="str">
        <f>IFERROR(__xludf.DUMMYFUNCTION("GOOGLETRANSLATE(B387, ""en"", ""ta"")"),"தொடர்பு மின்னஞ்சல்")</f>
        <v>தொடர்பு மின்னஞ்சல்</v>
      </c>
      <c r="D387" s="6" t="str">
        <f>IFERROR(__xludf.DUMMYFUNCTION("GOOGLETRANSLATE(B387, ""en"", ""hi"")"),"ई - मेल से संपर्क करे")</f>
        <v>ई - मेल से संपर्क करे</v>
      </c>
      <c r="E387" s="6" t="str">
        <f>IFERROR(__xludf.DUMMYFUNCTION("GOOGLETRANSLATE(B387, ""en"", ""kn"")"),"ಸಂಪರ್ಕ ಇಮೇಲ್")</f>
        <v>ಸಂಪರ್ಕ ಇಮೇಲ್</v>
      </c>
      <c r="F387" s="7" t="str">
        <f>IFERROR(__xludf.DUMMYFUNCTION("GOOGLETRANSLATE(B387, ""en"", ""ml"")"),"കോൺടാക്റ്റ് ഇമെയിൽ")</f>
        <v>കോൺടാക്റ്റ് ഇമെയിൽ</v>
      </c>
      <c r="G387" s="7" t="str">
        <f>IFERROR(__xludf.DUMMYFUNCTION("GOOGLETRANSLATE(B387, ""en"", ""te"")"),"సంప్రదింపు ఇమెయిల్")</f>
        <v>సంప్రదింపు ఇమెయిల్</v>
      </c>
    </row>
    <row r="388">
      <c r="A388" s="4" t="s">
        <v>750</v>
      </c>
      <c r="B388" s="5" t="s">
        <v>751</v>
      </c>
      <c r="C388" s="6" t="str">
        <f>IFERROR(__xludf.DUMMYFUNCTION("GOOGLETRANSLATE(B388, ""en"", ""ta"")"),"தயவுசெய்து சில நல்ல விஷயங்களை உள்ளிடவும்.")</f>
        <v>தயவுசெய்து சில நல்ல விஷயங்களை உள்ளிடவும்.</v>
      </c>
      <c r="D388" s="6" t="str">
        <f>IFERROR(__xludf.DUMMYFUNCTION("GOOGLETRANSLATE(B388, ""en"", ""hi"")"),"कृपया कुछ अच्छी बातें लिखें")</f>
        <v>कृपया कुछ अच्छी बातें लिखें</v>
      </c>
      <c r="E388" s="6" t="str">
        <f>IFERROR(__xludf.DUMMYFUNCTION("GOOGLETRANSLATE(B388, ""en"", ""kn"")"),"ದಯವಿಟ್ಟು ಕೆಲವು ಒಳ್ಳೆಯ ವಿಷಯಗಳನ್ನು ನಮೂದಿಸಿ.")</f>
        <v>ದಯವಿಟ್ಟು ಕೆಲವು ಒಳ್ಳೆಯ ವಿಷಯಗಳನ್ನು ನಮೂದಿಸಿ.</v>
      </c>
      <c r="F388" s="7" t="str">
        <f>IFERROR(__xludf.DUMMYFUNCTION("GOOGLETRANSLATE(B388, ""en"", ""ml"")"),"ദയവായി ചില നല്ല കാര്യങ്ങൾ നൽകുക.")</f>
        <v>ദയവായി ചില നല്ല കാര്യങ്ങൾ നൽകുക.</v>
      </c>
      <c r="G388" s="7" t="str">
        <f>IFERROR(__xludf.DUMMYFUNCTION("GOOGLETRANSLATE(B388, ""en"", ""te"")"),"దయచేసి కొన్ని మంచి విషయాలను నమోదు చేయండి.")</f>
        <v>దయచేసి కొన్ని మంచి విషయాలను నమోదు చేయండి.</v>
      </c>
    </row>
    <row r="389">
      <c r="A389" s="4" t="s">
        <v>752</v>
      </c>
      <c r="B389" s="5" t="s">
        <v>753</v>
      </c>
      <c r="C389" s="6" t="str">
        <f>IFERROR(__xludf.DUMMYFUNCTION("GOOGLETRANSLATE(B389, ""en"", ""ta"")"),"தயவுசெய்து சில மோசமான விஷயங்களை உள்ளிடவும்.")</f>
        <v>தயவுசெய்து சில மோசமான விஷயங்களை உள்ளிடவும்.</v>
      </c>
      <c r="D389" s="6" t="str">
        <f>IFERROR(__xludf.DUMMYFUNCTION("GOOGLETRANSLATE(B389, ""en"", ""hi"")"),"कृपया कुछ बुरी बातें दर्ज करें")</f>
        <v>कृपया कुछ बुरी बातें दर्ज करें</v>
      </c>
      <c r="E389" s="6" t="str">
        <f>IFERROR(__xludf.DUMMYFUNCTION("GOOGLETRANSLATE(B389, ""en"", ""kn"")"),"ದಯವಿಟ್ಟು ಕೆಲವು ಕೆಟ್ಟ ವಿಷಯಗಳನ್ನು ನಮೂದಿಸಿ.")</f>
        <v>ದಯವಿಟ್ಟು ಕೆಲವು ಕೆಟ್ಟ ವಿಷಯಗಳನ್ನು ನಮೂದಿಸಿ.</v>
      </c>
      <c r="F389" s="7" t="str">
        <f>IFERROR(__xludf.DUMMYFUNCTION("GOOGLETRANSLATE(B389, ""en"", ""ml"")"),"ദയവായി ചില മോശം കാര്യങ്ങൾ നൽകുക.")</f>
        <v>ദയവായി ചില മോശം കാര്യങ്ങൾ നൽകുക.</v>
      </c>
      <c r="G389" s="7" t="str">
        <f>IFERROR(__xludf.DUMMYFUNCTION("GOOGLETRANSLATE(B389, ""en"", ""te"")"),"దయచేసి కొన్ని చెడు విషయాలను నమోదు చేయండి.")</f>
        <v>దయచేసి కొన్ని చెడు విషయాలను నమోదు చేయండి.</v>
      </c>
    </row>
    <row r="390">
      <c r="A390" s="4" t="s">
        <v>754</v>
      </c>
      <c r="B390" s="5" t="s">
        <v>755</v>
      </c>
      <c r="C390" s="6" t="str">
        <f>IFERROR(__xludf.DUMMYFUNCTION("GOOGLETRANSLATE(B390, ""en"", ""ta"")"),"தயவுசெய்து சில மேம்பாடுகளை உள்ளிடவும்.")</f>
        <v>தயவுசெய்து சில மேம்பாடுகளை உள்ளிடவும்.</v>
      </c>
      <c r="D390" s="6" t="str">
        <f>IFERROR(__xludf.DUMMYFUNCTION("GOOGLETRANSLATE(B390, ""en"", ""hi"")"),"कृपया कुछ सुधार सुझाएं।")</f>
        <v>कृपया कुछ सुधार सुझाएं।</v>
      </c>
      <c r="E390" s="6" t="str">
        <f>IFERROR(__xludf.DUMMYFUNCTION("GOOGLETRANSLATE(B390, ""en"", ""kn"")"),"ದಯವಿಟ್ಟು ಕೆಲವು ಸುಧಾರಣೆಗಳನ್ನು ನಮೂದಿಸಿ.")</f>
        <v>ದಯವಿಟ್ಟು ಕೆಲವು ಸುಧಾರಣೆಗಳನ್ನು ನಮೂದಿಸಿ.</v>
      </c>
      <c r="F390" s="7" t="str">
        <f>IFERROR(__xludf.DUMMYFUNCTION("GOOGLETRANSLATE(B390, ""en"", ""ml"")"),"ദയവായി ചില മെച്ചപ്പെടുത്തലുകൾ നൽകുക.")</f>
        <v>ദയവായി ചില മെച്ചപ്പെടുത്തലുകൾ നൽകുക.</v>
      </c>
      <c r="G390" s="7" t="str">
        <f>IFERROR(__xludf.DUMMYFUNCTION("GOOGLETRANSLATE(B390, ""en"", ""te"")"),"దయచేసి కొన్ని మెరుగుదలలను నమోదు చేయండి.")</f>
        <v>దయచేసి కొన్ని మెరుగుదలలను నమోదు చేయండి.</v>
      </c>
    </row>
    <row r="391">
      <c r="A391" s="4" t="s">
        <v>756</v>
      </c>
      <c r="B391" s="5" t="s">
        <v>757</v>
      </c>
      <c r="C391" s="6" t="str">
        <f>IFERROR(__xludf.DUMMYFUNCTION("GOOGLETRANSLATE(B391, ""en"", ""ta"")"),"சில சிக்கல்களை உள்ளிடவும்.")</f>
        <v>சில சிக்கல்களை உள்ளிடவும்.</v>
      </c>
      <c r="D391" s="6" t="str">
        <f>IFERROR(__xludf.DUMMYFUNCTION("GOOGLETRANSLATE(B391, ""en"", ""hi"")"),"कृपया कुछ समस्याएं दर्ज करें")</f>
        <v>कृपया कुछ समस्याएं दर्ज करें</v>
      </c>
      <c r="E391" s="6" t="str">
        <f>IFERROR(__xludf.DUMMYFUNCTION("GOOGLETRANSLATE(B391, ""en"", ""kn"")"),"ದಯವಿಟ್ಟು ಕೆಲವು ಸಮಸ್ಯೆಗಳನ್ನು ನಮೂದಿಸಿ.")</f>
        <v>ದಯವಿಟ್ಟು ಕೆಲವು ಸಮಸ್ಯೆಗಳನ್ನು ನಮೂದಿಸಿ.</v>
      </c>
      <c r="F391" s="7" t="str">
        <f>IFERROR(__xludf.DUMMYFUNCTION("GOOGLETRANSLATE(B391, ""en"", ""ml"")"),"ദയവായി ചില പ്രശ്നങ്ങൾ നൽകുക.")</f>
        <v>ദയവായി ചില പ്രശ്നങ്ങൾ നൽകുക.</v>
      </c>
      <c r="G391" s="7" t="str">
        <f>IFERROR(__xludf.DUMMYFUNCTION("GOOGLETRANSLATE(B391, ""en"", ""te"")"),"దయచేసి కొన్ని సమస్యలను నమోదు చేయండి.")</f>
        <v>దయచేసి కొన్ని సమస్యలను నమోదు చేయండి.</v>
      </c>
    </row>
    <row r="392">
      <c r="A392" s="4" t="s">
        <v>758</v>
      </c>
      <c r="B392" s="5" t="s">
        <v>759</v>
      </c>
      <c r="C392" s="6" t="str">
        <f>IFERROR(__xludf.DUMMYFUNCTION("GOOGLETRANSLATE(B392, ""en"", ""ta"")"),"தயவுசெய்து ஒரு செல்லுபடியாகும் மின்னஞ்சலை உள்ளிடவும்.")</f>
        <v>தயவுசெய்து ஒரு செல்லுபடியாகும் மின்னஞ்சலை உள்ளிடவும்.</v>
      </c>
      <c r="D392" s="6" t="str">
        <f>IFERROR(__xludf.DUMMYFUNCTION("GOOGLETRANSLATE(B392, ""en"", ""hi"")"),"कृपया एक मान्य ईमेल दर्ज करें")</f>
        <v>कृपया एक मान्य ईमेल दर्ज करें</v>
      </c>
      <c r="E392" s="6" t="str">
        <f>IFERROR(__xludf.DUMMYFUNCTION("GOOGLETRANSLATE(B392, ""en"", ""kn"")"),"ದಯವಿಟ್ಟು ಮಾನ್ಯವಾದ ಇಮೇಲ್ ವಿಳಾಸವನ್ನು ನಮೂದಿಸಿ.")</f>
        <v>ದಯವಿಟ್ಟು ಮಾನ್ಯವಾದ ಇಮೇಲ್ ವಿಳಾಸವನ್ನು ನಮೂದಿಸಿ.</v>
      </c>
      <c r="F392" s="7" t="str">
        <f>IFERROR(__xludf.DUMMYFUNCTION("GOOGLETRANSLATE(B392, ""en"", ""ml"")"),"ദയവായി സാധുവായ ഒരു ഇമെയിൽ വിലാസം നൽകുക.")</f>
        <v>ദയവായി സാധുവായ ഒരു ഇമെയിൽ വിലാസം നൽകുക.</v>
      </c>
      <c r="G392" s="7" t="str">
        <f>IFERROR(__xludf.DUMMYFUNCTION("GOOGLETRANSLATE(B392, ""en"", ""te"")"),"దయచేసి చెల్లుబాటు అయ్యే ఇమెయిల్‌ను నమోదు చేయండి.")</f>
        <v>దయచేసి చెల్లుబాటు అయ్యే ఇమెయిల్‌ను నమోదు చేయండి.</v>
      </c>
    </row>
    <row r="393">
      <c r="A393" s="4" t="s">
        <v>760</v>
      </c>
      <c r="B393" s="5" t="s">
        <v>761</v>
      </c>
      <c r="C393" s="6" t="str">
        <f>IFERROR(__xludf.DUMMYFUNCTION("GOOGLETRANSLATE(B393, ""en"", ""ta"")"),"சேருமிடத்தை அடைந்தது")</f>
        <v>சேருமிடத்தை அடைந்தது</v>
      </c>
      <c r="D393" s="6" t="str">
        <f>IFERROR(__xludf.DUMMYFUNCTION("GOOGLETRANSLATE(B393, ""en"", ""hi"")"),"गंतव्य पर पहुँच गए")</f>
        <v>गंतव्य पर पहुँच गए</v>
      </c>
      <c r="E393" s="6" t="str">
        <f>IFERROR(__xludf.DUMMYFUNCTION("GOOGLETRANSLATE(B393, ""en"", ""kn"")"),"ತಲುಪಬೇಕಾದ ಸ್ಥಳ")</f>
        <v>ತಲುಪಬೇಕಾದ ಸ್ಥಳ</v>
      </c>
      <c r="F393" s="7" t="str">
        <f>IFERROR(__xludf.DUMMYFUNCTION("GOOGLETRANSLATE(B393, ""en"", ""ml"")"),"ലക്ഷ്യസ്ഥാനത്ത് എത്തി")</f>
        <v>ലക്ഷ്യസ്ഥാനത്ത് എത്തി</v>
      </c>
      <c r="G393" s="7" t="str">
        <f>IFERROR(__xludf.DUMMYFUNCTION("GOOGLETRANSLATE(B393, ""en"", ""te"")"),"గమ్యస్థానానికి చేరుకున్నారు")</f>
        <v>గమ్యస్థానానికి చేరుకున్నారు</v>
      </c>
    </row>
    <row r="394">
      <c r="A394" s="4" t="s">
        <v>762</v>
      </c>
      <c r="B394" s="5" t="s">
        <v>763</v>
      </c>
      <c r="C394" s="6" t="str">
        <f>IFERROR(__xludf.DUMMYFUNCTION("GOOGLETRANSLATE(B394, ""en"", ""ta"")"),"பயணத்தை முடிப்பதற்கான காரணத்தைத் தேர்ந்தெடுக்கவும்:")</f>
        <v>பயணத்தை முடிப்பதற்கான காரணத்தைத் தேர்ந்தெடுக்கவும்:</v>
      </c>
      <c r="D394" s="6" t="str">
        <f>IFERROR(__xludf.DUMMYFUNCTION("GOOGLETRANSLATE(B394, ""en"", ""hi"")"),"कृपया यात्रा समाप्त करने का कारण चुनें:")</f>
        <v>कृपया यात्रा समाप्त करने का कारण चुनें:</v>
      </c>
      <c r="E394" s="6" t="str">
        <f>IFERROR(__xludf.DUMMYFUNCTION("GOOGLETRANSLATE(B394, ""en"", ""kn"")"),"ದಯವಿಟ್ಟು ಪ್ರವಾಸವನ್ನು ಕೊನೆಗೊಳಿಸಲು ಒಂದು ಕಾರಣವನ್ನು ಆಯ್ಕೆಮಾಡಿ:")</f>
        <v>ದಯವಿಟ್ಟು ಪ್ರವಾಸವನ್ನು ಕೊನೆಗೊಳಿಸಲು ಒಂದು ಕಾರಣವನ್ನು ಆಯ್ಕೆಮಾಡಿ:</v>
      </c>
      <c r="F394" s="7" t="str">
        <f>IFERROR(__xludf.DUMMYFUNCTION("GOOGLETRANSLATE(B394, ""en"", ""ml"")"),"യാത്ര അവസാനിപ്പിക്കുന്നതിനുള്ള ഒരു കാരണം ദയവായി തിരഞ്ഞെടുക്കുക:")</f>
        <v>യാത്ര അവസാനിപ്പിക്കുന്നതിനുള്ള ഒരു കാരണം ദയവായി തിരഞ്ഞെടുക്കുക:</v>
      </c>
      <c r="G394" s="7" t="str">
        <f>IFERROR(__xludf.DUMMYFUNCTION("GOOGLETRANSLATE(B394, ""en"", ""te"")"),"దయచేసి ట్రిప్ ముగించడానికి ఒక కారణాన్ని ఎంచుకోండి:")</f>
        <v>దయచేసి ట్రిప్ ముగించడానికి ఒక కారణాన్ని ఎంచుకోండి:</v>
      </c>
    </row>
    <row r="395">
      <c r="A395" s="4" t="s">
        <v>764</v>
      </c>
      <c r="B395" s="5" t="s">
        <v>765</v>
      </c>
      <c r="C395" s="6" t="str">
        <f>IFERROR(__xludf.DUMMYFUNCTION("GOOGLETRANSLATE(B395, ""en"", ""ta"")"),"உதவி")</f>
        <v>உதவி</v>
      </c>
      <c r="D395" s="6" t="str">
        <f>IFERROR(__xludf.DUMMYFUNCTION("GOOGLETRANSLATE(B395, ""en"", ""hi"")"),"मदद")</f>
        <v>मदद</v>
      </c>
      <c r="E395" s="6" t="str">
        <f>IFERROR(__xludf.DUMMYFUNCTION("GOOGLETRANSLATE(B395, ""en"", ""kn"")"),"ಸಹಾಯ ಮಾಡಿ")</f>
        <v>ಸಹಾಯ ಮಾಡಿ</v>
      </c>
      <c r="F395" s="7" t="str">
        <f>IFERROR(__xludf.DUMMYFUNCTION("GOOGLETRANSLATE(B395, ""en"", ""ml"")"),"സഹായം")</f>
        <v>സഹായം</v>
      </c>
      <c r="G395" s="7" t="str">
        <f>IFERROR(__xludf.DUMMYFUNCTION("GOOGLETRANSLATE(B395, ""en"", ""te"")"),"సహాయం")</f>
        <v>సహాయం</v>
      </c>
    </row>
    <row r="396">
      <c r="A396" s="4" t="s">
        <v>766</v>
      </c>
      <c r="B396" s="5" t="s">
        <v>767</v>
      </c>
      <c r="C396" s="6" t="str">
        <f>IFERROR(__xludf.DUMMYFUNCTION("GOOGLETRANSLATE(B396, ""en"", ""ta"")"),"மின்னஞ்சல் முகவரியை உள்ளிடவும்.")</f>
        <v>மின்னஞ்சல் முகவரியை உள்ளிடவும்.</v>
      </c>
      <c r="D396" s="6" t="str">
        <f>IFERROR(__xludf.DUMMYFUNCTION("GOOGLETRANSLATE(B396, ""en"", ""hi"")"),"कृपया ईमेल दर्ज करें")</f>
        <v>कृपया ईमेल दर्ज करें</v>
      </c>
      <c r="E396" s="6" t="str">
        <f>IFERROR(__xludf.DUMMYFUNCTION("GOOGLETRANSLATE(B396, ""en"", ""kn"")"),"ದಯವಿಟ್ಟು ಇಮೇಲ್ ನಮೂದಿಸಿ")</f>
        <v>ದಯವಿಟ್ಟು ಇಮೇಲ್ ನಮೂದಿಸಿ</v>
      </c>
      <c r="F396" s="7" t="str">
        <f>IFERROR(__xludf.DUMMYFUNCTION("GOOGLETRANSLATE(B396, ""en"", ""ml"")"),"ഇമെയിൽ നൽകുക")</f>
        <v>ഇമെയിൽ നൽകുക</v>
      </c>
      <c r="G396" s="7" t="str">
        <f>IFERROR(__xludf.DUMMYFUNCTION("GOOGLETRANSLATE(B396, ""en"", ""te"")"),"దయచేసి ఇమెయిల్ నమోదు చేయండి")</f>
        <v>దయచేసి ఇమెయిల్ నమోదు చేయండి</v>
      </c>
    </row>
    <row r="397">
      <c r="A397" s="4" t="s">
        <v>768</v>
      </c>
      <c r="B397" s="5" t="s">
        <v>769</v>
      </c>
      <c r="C397" s="6" t="str">
        <f>IFERROR(__xludf.DUMMYFUNCTION("GOOGLETRANSLATE(B397, ""en"", ""ta"")"),"நிலையைச் சரிபார்க்கவும்")</f>
        <v>நிலையைச் சரிபார்க்கவும்</v>
      </c>
      <c r="D397" s="6" t="str">
        <f>IFERROR(__xludf.DUMMYFUNCTION("GOOGLETRANSLATE(B397, ""en"", ""hi"")"),"स्थिति जाँचिए")</f>
        <v>स्थिति जाँचिए</v>
      </c>
      <c r="E397" s="6" t="str">
        <f>IFERROR(__xludf.DUMMYFUNCTION("GOOGLETRANSLATE(B397, ""en"", ""kn"")"),"ಸ್ಥಿತಿ ಪರಿಶೀಲಿಸಿ")</f>
        <v>ಸ್ಥಿತಿ ಪರಿಶೀಲಿಸಿ</v>
      </c>
      <c r="F397" s="7" t="str">
        <f>IFERROR(__xludf.DUMMYFUNCTION("GOOGLETRANSLATE(B397, ""en"", ""ml"")"),"സ്റ്റാറ്റസ് പരിശോധിക്കുക")</f>
        <v>സ്റ്റാറ്റസ് പരിശോധിക്കുക</v>
      </c>
      <c r="G397" s="7" t="str">
        <f>IFERROR(__xludf.DUMMYFUNCTION("GOOGLETRANSLATE(B397, ""en"", ""te"")"),"స్థితిని తనిఖీ చేయండి")</f>
        <v>స్థితిని తనిఖీ చేయండి</v>
      </c>
    </row>
    <row r="398">
      <c r="A398" s="4" t="s">
        <v>770</v>
      </c>
      <c r="B398" s="5" t="s">
        <v>771</v>
      </c>
      <c r="C398" s="6" t="str">
        <f>IFERROR(__xludf.DUMMYFUNCTION("GOOGLETRANSLATE(B398, ""en"", ""ta"")"),"புத்துணர்ச்சியூட்டுகிறது....")</f>
        <v>புத்துணர்ச்சியூட்டுகிறது....</v>
      </c>
      <c r="D398" s="6" t="str">
        <f>IFERROR(__xludf.DUMMYFUNCTION("GOOGLETRANSLATE(B398, ""en"", ""hi"")"),"ताज़गी भरा...")</f>
        <v>ताज़गी भरा...</v>
      </c>
      <c r="E398" s="6" t="str">
        <f>IFERROR(__xludf.DUMMYFUNCTION("GOOGLETRANSLATE(B398, ""en"", ""kn"")"),"ಉಲ್ಲಾಸಕರ....")</f>
        <v>ಉಲ್ಲಾಸಕರ....</v>
      </c>
      <c r="F398" s="7" t="str">
        <f>IFERROR(__xludf.DUMMYFUNCTION("GOOGLETRANSLATE(B398, ""en"", ""ml"")"),"ഉന്മേഷം പകരുന്നു....")</f>
        <v>ഉന്മേഷം പകരുന്നു....</v>
      </c>
      <c r="G398" s="7" t="str">
        <f>IFERROR(__xludf.DUMMYFUNCTION("GOOGLETRANSLATE(B398, ""en"", ""te"")"),"రిఫ్రెషింగ్....")</f>
        <v>రిఫ్రెషింగ్....</v>
      </c>
    </row>
    <row r="399">
      <c r="A399" s="11" t="s">
        <v>772</v>
      </c>
      <c r="B399" s="12" t="s">
        <v>773</v>
      </c>
      <c r="C399" s="6" t="str">
        <f>IFERROR(__xludf.DUMMYFUNCTION("GOOGLETRANSLATE(B399, ""en"", ""ta"")"),"விரிவாகக் காண்க")</f>
        <v>விரிவாகக் காண்க</v>
      </c>
      <c r="D399" s="6" t="str">
        <f>IFERROR(__xludf.DUMMYFUNCTION("GOOGLETRANSLATE(B399, ""en"", ""hi"")"),"विस्तृत जानकारी देखें")</f>
        <v>विस्तृत जानकारी देखें</v>
      </c>
      <c r="E399" s="6" t="str">
        <f>IFERROR(__xludf.DUMMYFUNCTION("GOOGLETRANSLATE(B399, ""en"", ""kn"")"),"ವಿವರವಾಗಿ ವೀಕ್ಷಿಸಿ")</f>
        <v>ವಿವರವಾಗಿ ವೀಕ್ಷಿಸಿ</v>
      </c>
      <c r="F399" s="7" t="str">
        <f>IFERROR(__xludf.DUMMYFUNCTION("GOOGLETRANSLATE(B399, ""en"", ""ml"")"),"വിശദമായി കാണുക")</f>
        <v>വിശദമായി കാണുക</v>
      </c>
      <c r="G399" s="7" t="str">
        <f>IFERROR(__xludf.DUMMYFUNCTION("GOOGLETRANSLATE(B399, ""en"", ""te"")"),"వివరంగా చూడండి")</f>
        <v>వివరంగా చూడండి</v>
      </c>
    </row>
    <row r="400">
      <c r="A400" s="11" t="s">
        <v>774</v>
      </c>
      <c r="B400" s="12" t="s">
        <v>775</v>
      </c>
      <c r="C400" s="6" t="str">
        <f>IFERROR(__xludf.DUMMYFUNCTION("GOOGLETRANSLATE(B400, ""en"", ""ta"")"),"எனது கணக்கு")</f>
        <v>எனது கணக்கு</v>
      </c>
      <c r="D400" s="6" t="str">
        <f>IFERROR(__xludf.DUMMYFUNCTION("GOOGLETRANSLATE(B400, ""en"", ""hi"")"),"मेरा खाता")</f>
        <v>मेरा खाता</v>
      </c>
      <c r="E400" s="6" t="str">
        <f>IFERROR(__xludf.DUMMYFUNCTION("GOOGLETRANSLATE(B400, ""en"", ""kn"")"),"ನನ್ನ ಖಾತೆ")</f>
        <v>ನನ್ನ ಖಾತೆ</v>
      </c>
      <c r="F400" s="7" t="str">
        <f>IFERROR(__xludf.DUMMYFUNCTION("GOOGLETRANSLATE(B400, ""en"", ""ml"")"),"എന്റെ അക്കൗണ്ട്")</f>
        <v>എന്റെ അക്കൗണ്ട്</v>
      </c>
      <c r="G400" s="7" t="str">
        <f>IFERROR(__xludf.DUMMYFUNCTION("GOOGLETRANSLATE(B400, ""en"", ""te"")"),"నా ఖాతా")</f>
        <v>నా ఖాతా</v>
      </c>
    </row>
    <row r="401">
      <c r="A401" s="11" t="s">
        <v>776</v>
      </c>
      <c r="B401" s="12" t="s">
        <v>777</v>
      </c>
      <c r="C401" s="6" t="str">
        <f>IFERROR(__xludf.DUMMYFUNCTION("GOOGLETRANSLATE(B401, ""en"", ""ta"")"),"விலை விளக்கப்படம்")</f>
        <v>விலை விளக்கப்படம்</v>
      </c>
      <c r="D401" s="6" t="str">
        <f>IFERROR(__xludf.DUMMYFUNCTION("GOOGLETRANSLATE(B401, ""en"", ""hi"")"),"मूल्य चार्ट")</f>
        <v>मूल्य चार्ट</v>
      </c>
      <c r="E401" s="6" t="str">
        <f>IFERROR(__xludf.DUMMYFUNCTION("GOOGLETRANSLATE(B401, ""en"", ""kn"")"),"ಬೆಲೆ ಪಟ್ಟಿ")</f>
        <v>ಬೆಲೆ ಪಟ್ಟಿ</v>
      </c>
      <c r="F401" s="7" t="str">
        <f>IFERROR(__xludf.DUMMYFUNCTION("GOOGLETRANSLATE(B401, ""en"", ""ml"")"),"വില ചാർട്ട്")</f>
        <v>വില ചാർട്ട്</v>
      </c>
      <c r="G401" s="7" t="str">
        <f>IFERROR(__xludf.DUMMYFUNCTION("GOOGLETRANSLATE(B401, ""en"", ""te"")"),"ధర చార్ట్")</f>
        <v>ధర చార్ట్</v>
      </c>
    </row>
    <row r="402">
      <c r="A402" s="11" t="s">
        <v>778</v>
      </c>
      <c r="B402" s="12" t="s">
        <v>779</v>
      </c>
      <c r="C402" s="6" t="str">
        <f>IFERROR(__xludf.DUMMYFUNCTION("GOOGLETRANSLATE(B402, ""en"", ""ta"")"),"அனுமதித் திரை")</f>
        <v>அனுமதித் திரை</v>
      </c>
      <c r="D402" s="6" t="str">
        <f>IFERROR(__xludf.DUMMYFUNCTION("GOOGLETRANSLATE(B402, ""en"", ""hi"")"),"अनुमति स्क्रीन")</f>
        <v>अनुमति स्क्रीन</v>
      </c>
      <c r="E402" s="6" t="str">
        <f>IFERROR(__xludf.DUMMYFUNCTION("GOOGLETRANSLATE(B402, ""en"", ""kn"")"),"ಅನುಮತಿ ಪರದೆ")</f>
        <v>ಅನುಮತಿ ಪರದೆ</v>
      </c>
      <c r="F402" s="7" t="str">
        <f>IFERROR(__xludf.DUMMYFUNCTION("GOOGLETRANSLATE(B402, ""en"", ""ml"")"),"അനുമതി സ്ക്രീൻ")</f>
        <v>അനുമതി സ്ക്രീൻ</v>
      </c>
      <c r="G402" s="7" t="str">
        <f>IFERROR(__xludf.DUMMYFUNCTION("GOOGLETRANSLATE(B402, ""en"", ""te"")"),"అనుమతి స్క్రీన్")</f>
        <v>అనుమతి స్క్రీన్</v>
      </c>
    </row>
    <row r="403">
      <c r="A403" s="11" t="s">
        <v>780</v>
      </c>
      <c r="B403" s="12" t="s">
        <v>781</v>
      </c>
      <c r="C403" s="6" t="str">
        <f>IFERROR(__xludf.DUMMYFUNCTION("GOOGLETRANSLATE(B403, ""en"", ""ta"")"),"வாகனம்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f>
        <v>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v>
      </c>
      <c r="D403" s="6" t="str">
        <f>IFERROR(__xludf.DUMMYFUNCTION("GOOGLETRANSLATE(B403, ""en"", ""hi"")"),"हमें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f>
        <v>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v>
      </c>
      <c r="E403" s="6" t="str">
        <f>IFERROR(__xludf.DUMMYFUNCTION("GOOGLETRANSLATE(B403, ""en"", ""kn"")"),"ಚಾಲನೆ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f>
        <v>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v>
      </c>
      <c r="F403" s="7" t="str">
        <f>IFERROR(__xludf.DUMMYFUNCTION("GOOGLETRANSLATE(B403, ""en"", ""ml"")"),"ഡ്രൈവിംഗ്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f>
        <v>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v>
      </c>
      <c r="G403" s="7" t="str">
        <f>IFERROR(__xludf.DUMMYFUNCTION("GOOGLETRANSLATE(B403, ""en"", ""te"")"),"డ్రైవింగ్ చేస్తున్నప్పుడు రియల్-టైమ్ ట్రిప్ మానిటరింగ్, ప్యాసింజర్ అలర్ట్‌లు మరియు సజావుగా నావిగేషన్ అప్‌డేట్‌ల కోసం మాకు స్థానం, నేపథ్య ట్రాకింగ్ మరియు నోటిఫికేషన్ అనుమతులు అవసరం.")</f>
        <v>డ్రైవింగ్ చేస్తున్నప్పుడు రియల్-టైమ్ ట్రిప్ మానిటరింగ్, ప్యాసింజర్ అలర్ట్‌లు మరియు సజావుగా నావిగేషన్ అప్‌డేట్‌ల కోసం మాకు స్థానం, నేపథ్య ట్రాకింగ్ మరియు నోటిఫికేషన్ అనుమతులు అవసరం.</v>
      </c>
    </row>
    <row r="404">
      <c r="A404" s="11" t="s">
        <v>782</v>
      </c>
      <c r="B404" s="12" t="s">
        <v>783</v>
      </c>
      <c r="C404" s="6" t="str">
        <f>IFERROR(__xludf.DUMMYFUNCTION("GOOGLETRANSLATE(B404, ""en"", ""ta"")"),"அறிவிப்பு அனுமதி")</f>
        <v>அறிவிப்பு அனுமதி</v>
      </c>
      <c r="D404" s="6" t="str">
        <f>IFERROR(__xludf.DUMMYFUNCTION("GOOGLETRANSLATE(B404, ""en"", ""hi"")"),"अधिसूचना अनुमति")</f>
        <v>अधिसूचना अनुमति</v>
      </c>
      <c r="E404" s="6" t="str">
        <f>IFERROR(__xludf.DUMMYFUNCTION("GOOGLETRANSLATE(B404, ""en"", ""kn"")"),"ಅಧಿಸೂಚನೆ ಅನುಮತಿ")</f>
        <v>ಅಧಿಸೂಚನೆ ಅನುಮತಿ</v>
      </c>
      <c r="F404" s="7" t="str">
        <f>IFERROR(__xludf.DUMMYFUNCTION("GOOGLETRANSLATE(B404, ""en"", ""ml"")"),"അറിയിപ്പ് അനുമതി")</f>
        <v>അറിയിപ്പ് അനുമതി</v>
      </c>
      <c r="G404" s="7" t="str">
        <f>IFERROR(__xludf.DUMMYFUNCTION("GOOGLETRANSLATE(B404, ""en"", ""te"")"),"నోటిఫికేషన్ అనుమతి")</f>
        <v>నోటిఫికేషన్ అనుమతి</v>
      </c>
    </row>
    <row r="405">
      <c r="A405" s="11" t="s">
        <v>784</v>
      </c>
      <c r="B405" s="12" t="s">
        <v>785</v>
      </c>
      <c r="C405" s="6" t="str">
        <f>IFERROR(__xludf.DUMMYFUNCTION("GOOGLETRANSLATE(B405, ""en"", ""ta"")"),"இருப்பிட அனுமதி")</f>
        <v>இருப்பிட அனுமதி</v>
      </c>
      <c r="D405" s="6" t="str">
        <f>IFERROR(__xludf.DUMMYFUNCTION("GOOGLETRANSLATE(B405, ""en"", ""hi"")"),"स्थान अनुमति")</f>
        <v>स्थान अनुमति</v>
      </c>
      <c r="E405" s="6" t="str">
        <f>IFERROR(__xludf.DUMMYFUNCTION("GOOGLETRANSLATE(B405, ""en"", ""kn"")"),"ಸ್ಥಳ ಅನುಮತಿ")</f>
        <v>ಸ್ಥಳ ಅನುಮತಿ</v>
      </c>
      <c r="F405" s="7" t="str">
        <f>IFERROR(__xludf.DUMMYFUNCTION("GOOGLETRANSLATE(B405, ""en"", ""ml"")"),"ലൊക്കേഷൻ അനുമതി")</f>
        <v>ലൊക്കേഷൻ അനുമതി</v>
      </c>
      <c r="G405" s="7" t="str">
        <f>IFERROR(__xludf.DUMMYFUNCTION("GOOGLETRANSLATE(B405, ""en"", ""te"")"),"స్థాన అనుమతి")</f>
        <v>స్థాన అనుమతి</v>
      </c>
    </row>
    <row r="406">
      <c r="A406" s="11" t="s">
        <v>786</v>
      </c>
      <c r="B406" s="12" t="s">
        <v>787</v>
      </c>
      <c r="C406" s="6" t="str">
        <f>IFERROR(__xludf.DUMMYFUNCTION("GOOGLETRANSLATE(B406, ""en"", ""ta"")"),"பின்னணி இருப்பிட அனுமதி")</f>
        <v>பின்னணி இருப்பிட அனுமதி</v>
      </c>
      <c r="D406" s="6" t="str">
        <f>IFERROR(__xludf.DUMMYFUNCTION("GOOGLETRANSLATE(B406, ""en"", ""hi"")"),"पृष्ठभूमि स्थान अनुमति")</f>
        <v>पृष्ठभूमि स्थान अनुमति</v>
      </c>
      <c r="E406" s="6" t="str">
        <f>IFERROR(__xludf.DUMMYFUNCTION("GOOGLETRANSLATE(B406, ""en"", ""kn"")"),"ಹಿನ್ನೆಲೆ ಸ್ಥಳ ಅನುಮತಿ")</f>
        <v>ಹಿನ್ನೆಲೆ ಸ್ಥಳ ಅನುಮತಿ</v>
      </c>
      <c r="F406" s="7" t="str">
        <f>IFERROR(__xludf.DUMMYFUNCTION("GOOGLETRANSLATE(B406, ""en"", ""ml"")"),"പശ്ചാത്തല ലൊക്കേഷൻ അനുമതി")</f>
        <v>പശ്ചാത്തല ലൊക്കേഷൻ അനുമതി</v>
      </c>
      <c r="G406" s="7" t="str">
        <f>IFERROR(__xludf.DUMMYFUNCTION("GOOGLETRANSLATE(B406, ""en"", ""te"")"),"నేపథ్య స్థాన అనుమతి")</f>
        <v>నేపథ్య స్థాన అనుమతి</v>
      </c>
    </row>
    <row r="407">
      <c r="A407" s="11" t="s">
        <v>788</v>
      </c>
      <c r="B407" s="12" t="s">
        <v>789</v>
      </c>
      <c r="C407" s="6" t="str">
        <f>IFERROR(__xludf.DUMMYFUNCTION("GOOGLETRANSLATE(B407, ""en"", ""ta"")"),"பயன்பாடு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f>
        <v>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v>
      </c>
      <c r="D407" s="6" t="str">
        <f>IFERROR(__xludf.DUMMYFUNCTION("GOOGLETRANSLATE(B407, ""en"", ""hi"")"),"NOT ऐप के बंद होने पर भी आपकी लोकेशन ट्रैक करने के लिए बैकग्राउंड लोकेशन परमिशन की आवश्यकता होती है। इससे लगातार ट्रैकिंग संभव होती है और यह सुनिश्चित होता है कि हर समय सटीक लोकेशन डेटा एकत्र किया जाए।")</f>
        <v>NOT ऐप के बंद होने पर भी आपकी लोकेशन ट्रैक करने के लिए बैकग्राउंड लोकेशन परमिशन की आवश्यकता होती है। इससे लगातार ट्रैकिंग संभव होती है और यह सुनिश्चित होता है कि हर समय सटीक लोकेशन डेटा एकत्र किया जाए।</v>
      </c>
      <c r="E407" s="6" t="str">
        <f>IFERROR(__xludf.DUMMYFUNCTION("GOOGLETRANSLATE(B407, ""en"", ""kn"")"),"ಅಪ್ಲಿಕೇಶನ್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f>
        <v>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v>
      </c>
      <c r="F407" s="7" t="str">
        <f>IFERROR(__xludf.DUMMYFUNCTION("GOOGLETRANSLATE(B407, ""en"", ""ml"")"),"ആപ്പ്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f>
        <v>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v>
      </c>
      <c r="G407" s="7" t="str">
        <f>IFERROR(__xludf.DUMMYFUNCTION("GOOGLETRANSLATE(B407, ""en"", ""te"")"),"యాప్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f>
        <v>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v>
      </c>
    </row>
    <row r="408">
      <c r="A408" s="11" t="s">
        <v>790</v>
      </c>
      <c r="B408" s="12" t="s">
        <v>791</v>
      </c>
      <c r="C408" s="6" t="str">
        <f>IFERROR(__xludf.DUMMYFUNCTION("GOOGLETRANSLATE(B408, ""en"", ""ta"")"),"பிற பயன்பாடுகளின் மேல் காட்டு")</f>
        <v>பிற பயன்பாடுகளின் மேல் காட்டு</v>
      </c>
      <c r="D408" s="6" t="str">
        <f>IFERROR(__xludf.DUMMYFUNCTION("GOOGLETRANSLATE(B408, ""en"", ""hi"")"),"अन्य ऐप्स के ऊपर प्रदर्शित करें")</f>
        <v>अन्य ऐप्स के ऊपर प्रदर्शित करें</v>
      </c>
      <c r="E408" s="6" t="str">
        <f>IFERROR(__xludf.DUMMYFUNCTION("GOOGLETRANSLATE(B408, ""en"", ""kn"")"),"ಇತರ ಅಪ್ಲಿಕೇಶನ್‌ಗಳ ಮೇಲೆ ಪ್ರದರ್ಶಿಸಿ")</f>
        <v>ಇತರ ಅಪ್ಲಿಕೇಶನ್‌ಗಳ ಮೇಲೆ ಪ್ರದರ್ಶಿಸಿ</v>
      </c>
      <c r="F408" s="7" t="str">
        <f>IFERROR(__xludf.DUMMYFUNCTION("GOOGLETRANSLATE(B408, ""en"", ""ml"")"),"മറ്റ് ആപ്പുകൾക്ക് മുകളിൽ പ്രദർശിപ്പിക്കുക")</f>
        <v>മറ്റ് ആപ്പുകൾക്ക് മുകളിൽ പ്രദർശിപ്പിക്കുക</v>
      </c>
      <c r="G408" s="7" t="str">
        <f>IFERROR(__xludf.DUMMYFUNCTION("GOOGLETRANSLATE(B408, ""en"", ""te"")"),"ఇతర యాప్‌ల పైన ప్రదర్శించు")</f>
        <v>ఇతర యాప్‌ల పైన ప్రదర్శించు</v>
      </c>
    </row>
    <row r="409">
      <c r="A409" s="11" t="s">
        <v>792</v>
      </c>
      <c r="B409" s="12" t="s">
        <v>793</v>
      </c>
      <c r="C409" s="6" t="str">
        <f>IFERROR(__xludf.DUMMYFUNCTION("GOOGLETRANSLATE(B409, ""en"", ""ta"")"),"மற்ற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மேலடுக்கு"&amp;" பயன்படுத்தப்படாது.")</f>
        <v>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 பயன்படுத்தப்படாது.</v>
      </c>
      <c r="D409" s="6" t="str">
        <f>IFERROR(__xludf.DUMMYFUNCTION("GOOGLETRANSLATE(B409, ""en"", ""hi"")"),"अन्य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f>
        <v>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v>
      </c>
      <c r="E409" s="6" t="str">
        <f>IFERROR(__xludf.DUMMYFUNCTION("GOOGLETRANSLATE(B409, ""en"", ""kn"")"),"ಇತರ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f>
        <v>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v>
      </c>
      <c r="F409" s="7" t="str">
        <f>IFERROR(__xludf.DUMMYFUNCTION("GOOGLETRANSLATE(B409, ""en"", ""ml"")"),"മറ്റ്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ഉപയോഗിക്കുന്നില്ല"&amp;".")</f>
        <v>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v>
      </c>
      <c r="G409" s="7" t="str">
        <f>IFERROR(__xludf.DUMMYFUNCTION("GOOGLETRANSLATE(B409, ""en"", ""te"")"),"ఇతర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f>
        <v>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v>
      </c>
    </row>
    <row r="410">
      <c r="A410" s="4" t="s">
        <v>794</v>
      </c>
      <c r="B410" s="5" t="s">
        <v>795</v>
      </c>
      <c r="C410" s="6" t="str">
        <f>IFERROR(__xludf.DUMMYFUNCTION("GOOGLETRANSLATE(B410, ""en"", ""ta"")"),"பேட்டரி உகப்பாக்கத்தை முடக்கு")</f>
        <v>பேட்டரி உகப்பாக்கத்தை முடக்கு</v>
      </c>
      <c r="D410" s="6" t="str">
        <f>IFERROR(__xludf.DUMMYFUNCTION("GOOGLETRANSLATE(B410, ""en"", ""hi"")"),"बैटरी ऑप्टिमाइज़ेशन को अक्षम करें")</f>
        <v>बैटरी ऑप्टिमाइज़ेशन को अक्षम करें</v>
      </c>
      <c r="E410" s="6" t="str">
        <f>IFERROR(__xludf.DUMMYFUNCTION("GOOGLETRANSLATE(B410, ""en"", ""kn"")"),"ಬ್ಯಾಟರಿ ಆಪ್ಟಿಮೈಸೇಶನ್ ನಿಷ್ಕ್ರಿಯಗೊಳಿಸಿ")</f>
        <v>ಬ್ಯಾಟರಿ ಆಪ್ಟಿಮೈಸೇಶನ್ ನಿಷ್ಕ್ರಿಯಗೊಳಿಸಿ</v>
      </c>
      <c r="F410" s="7" t="str">
        <f>IFERROR(__xludf.DUMMYFUNCTION("GOOGLETRANSLATE(B410, ""en"", ""ml"")"),"ബാറ്ററി ഒപ്റ്റിമൈസേഷൻ പ്രവർത്തനരഹിതമാക്കുക")</f>
        <v>ബാറ്ററി ഒപ്റ്റിമൈസേഷൻ പ്രവർത്തനരഹിതമാക്കുക</v>
      </c>
      <c r="G410" s="7" t="str">
        <f>IFERROR(__xludf.DUMMYFUNCTION("GOOGLETRANSLATE(B410, ""en"", ""te"")"),"బ్యాటరీ ఆప్టిమైజేషన్‌ను నిలిపివేయండి")</f>
        <v>బ్యాటరీ ఆప్టిమైజేషన్‌ను నిలిపివేయండి</v>
      </c>
    </row>
    <row r="411">
      <c r="A411" s="4" t="s">
        <v>796</v>
      </c>
      <c r="B411" s="5" t="s">
        <v>797</v>
      </c>
      <c r="C411" s="6" t="str">
        <f>IFERROR(__xludf.DUMMYFUNCTION("GOOGLETRANSLATE(B411, ""en"", ""ta"")"),"பேட்டரி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"&amp;"பேட்டரி ஆப்டிமைசேஷனை முடக்குமாறு நாங்கள் பரிந்துரைக்கிறோம்.")</f>
        <v>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பேட்டரி ஆப்டிமைசேஷனை முடக்குமாறு நாங்கள் பரிந்துரைக்கிறோம்.</v>
      </c>
      <c r="D411" s="6" t="str">
        <f>IFERROR(__xludf.DUMMYFUNCTION("GOOGLETRANSLATE(B411, ""en"", ""hi"")"),"बैटरी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देत"&amp;"े हैं।")</f>
        <v>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 हैं।</v>
      </c>
      <c r="E411" s="6" t="str">
        <f>IFERROR(__xludf.DUMMYFUNCTION("GOOGLETRANSLATE(B411, ""en"", ""kn"")"),"ಬ್ಯಾಟರಿ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ಸೆಟ್ಟಿ"&amp;"ಂಗ್‌ಗಳಿಂದ ಬ್ಯಾಟರಿ ಆಪ್ಟಿಮೈಸೇಶನ್ ಅನ್ನು ನಿಷ್ಕ್ರಿಯಗೊಳಿಸಲು ನಾವು ಶಿಫಾರಸು ಮಾಡುತ್ತೇವೆ.")</f>
        <v>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ಸೆಟ್ಟಿಂಗ್‌ಗಳಿಂದ ಬ್ಯಾಟರಿ ಆಪ್ಟಿಮೈಸೇಶನ್ ಅನ್ನು ನಿಷ್ಕ್ರಿಯಗೊಳಿಸಲು ನಾವು ಶಿಫಾರಸು ಮಾಡುತ್ತೇವೆ.</v>
      </c>
      <c r="F411" s="7" t="str">
        <f>IFERROR(__xludf.DUMMYFUNCTION("GOOGLETRANSLATE(B411, ""en"", ""ml"")"),"ബാറ്ററി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ക്രമ"&amp;"ീകരണങ്ങളിൽ നിന്ന് ബാറ്ററി ഒപ്റ്റിമൈസേഷൻ പ്രവർത്തനരഹിതമാക്കാൻ ഞങ്ങൾ ശുപാർശ ചെയ്യുന്നു.")</f>
        <v>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ക്രമീകരണങ്ങളിൽ നിന്ന് ബാറ്ററി ഒപ്റ്റിമൈസേഷൻ പ്രവർത്തനരഹിതമാക്കാൻ ഞങ്ങൾ ശുപാർശ ചെയ്യുന്നു.</v>
      </c>
      <c r="G411" s="7" t="str">
        <f>IFERROR(__xludf.DUMMYFUNCTION("GOOGLETRANSLATE(B411, ""en"", ""te"")"),"బ్యాటరీ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ఆప్టిమైజేష"&amp;"న్‌ను నిలిపివేయమని మేము మీకు సిఫార్సు చేస్తున్నాము.")</f>
        <v>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ఆప్టిమైజేషన్‌ను నిలిపివేయమని మేము మీకు సిఫార్సు చేస్తున్నాము.</v>
      </c>
    </row>
    <row r="412">
      <c r="A412" s="4" t="s">
        <v>798</v>
      </c>
      <c r="B412" s="5" t="s">
        <v>799</v>
      </c>
      <c r="C412" s="6" t="str">
        <f>IFERROR(__xludf.DUMMYFUNCTION("GOOGLETRANSLATE(B412, ""en"", ""ta"")"),"இந்தத் திரையில் நீங்கள் அனுமதிகளை மட்டுமே இயக்க முடியும், அனுமதியை முடக்குவதற்கு மொபைல் அமைப்புகளில் அதை கைமுறையாக முடக்கவும்.")</f>
        <v>இந்தத் திரையில் நீங்கள் அனுமதிகளை மட்டுமே இயக்க முடியும், அனுமதியை முடக்குவதற்கு மொபைல் அமைப்புகளில் அதை கைமுறையாக முடக்கவும்.</v>
      </c>
      <c r="D412" s="6" t="str">
        <f>IFERROR(__xludf.DUMMYFUNCTION("GOOGLETRANSLATE(B412, ""en"", ""hi"")"),"इस स्क्रीन में आप केवल अनुमतियाँ सक्षम कर सकते हैं; अनुमतियाँ अक्षम करने के लिए, मोबाइल सेटिंग में जाकर उन्हें मैन्युअल रूप से अक्षम करें।")</f>
        <v>इस स्क्रीन में आप केवल अनुमतियाँ सक्षम कर सकते हैं; अनुमतियाँ अक्षम करने के लिए, मोबाइल सेटिंग में जाकर उन्हें मैन्युअल रूप से अक्षम करें।</v>
      </c>
      <c r="E412" s="6" t="str">
        <f>IFERROR(__xludf.DUMMYFUNCTION("GOOGLETRANSLATE(B412, ""en"", ""kn"")"),"ಈ ಪರದೆಯಲ್ಲಿ ನೀವು ಅನುಮತಿಗಳನ್ನು ಮಾತ್ರ ಸಕ್ರಿಯಗೊಳಿಸಬಹುದು, ಮೊಬೈಲ್ ಸೆಟ್ಟಿಂಗ್‌ಗಳಲ್ಲಿ ಅನುಮತಿಯನ್ನು ಹಸ್ತಚಾಲಿತವಾಗಿ ನಿಷ್ಕ್ರಿಯಗೊಳಿಸಲು.")</f>
        <v>ಈ ಪರದೆಯಲ್ಲಿ ನೀವು ಅನುಮತಿಗಳನ್ನು ಮಾತ್ರ ಸಕ್ರಿಯಗೊಳಿಸಬಹುದು, ಮೊಬೈಲ್ ಸೆಟ್ಟಿಂಗ್‌ಗಳಲ್ಲಿ ಅನುಮತಿಯನ್ನು ಹಸ್ತಚಾಲಿತವಾಗಿ ನಿಷ್ಕ್ರಿಯಗೊಳಿಸಲು.</v>
      </c>
      <c r="F412" s="7" t="str">
        <f>IFERROR(__xludf.DUMMYFUNCTION("GOOGLETRANSLATE(B412, ""en"", ""ml"")"),"ഈ സ്ക്രീനിൽ നിങ്ങൾക്ക് അനുമതികൾ മാത്രമേ പ്രാപ്തമാക്കാൻ കഴിയൂ, മൊബൈൽ ക്രമീകരണങ്ങളിൽ അനുമതി സ്വമേധയാ പ്രവർത്തനരഹിതമാക്കുന്നതിന്.")</f>
        <v>ഈ സ്ക്രീനിൽ നിങ്ങൾക്ക് അനുമതികൾ മാത്രമേ പ്രാപ്തമാക്കാൻ കഴിയൂ, മൊബൈൽ ക്രമീകരണങ്ങളിൽ അനുമതി സ്വമേധയാ പ്രവർത്തനരഹിതമാക്കുന്നതിന്.</v>
      </c>
      <c r="G412" s="7" t="str">
        <f>IFERROR(__xludf.DUMMYFUNCTION("GOOGLETRANSLATE(B412, ""en"", ""te"")"),"ఈ స్క్రీన్‌లో మీరు అనుమతులను మాత్రమే ప్రారంభించగలరు, మొబైల్ సెట్టింగ్‌లలో అనుమతిని మాన్యువల్‌గా నిలిపివేయడానికి.")</f>
        <v>ఈ స్క్రీన్‌లో మీరు అనుమతులను మాత్రమే ప్రారంభించగలరు, మొబైల్ సెట్టింగ్‌లలో అనుమతిని మాన్యువల్‌గా నిలిపివేయడానికి.</v>
      </c>
    </row>
    <row r="413">
      <c r="A413" s="4" t="s">
        <v>800</v>
      </c>
      <c r="B413" s="5" t="s">
        <v>801</v>
      </c>
      <c r="C413" s="6" t="str">
        <f>IFERROR(__xludf.DUMMYFUNCTION("GOOGLETRANSLATE(B413, ""en"", ""ta"")"),"அனுமதிகளை கைமுறையாக முடக்கு / இயக்கு")</f>
        <v>அனுமதிகளை கைமுறையாக முடக்கு / இயக்கு</v>
      </c>
      <c r="D413" s="6" t="str">
        <f>IFERROR(__xludf.DUMMYFUNCTION("GOOGLETRANSLATE(B413, ""en"", ""hi"")"),"अनुमतियों को मैन्युअल रूप से अक्षम/सक्षम करें")</f>
        <v>अनुमतियों को मैन्युअल रूप से अक्षम/सक्षम करें</v>
      </c>
      <c r="E413" s="6" t="str">
        <f>IFERROR(__xludf.DUMMYFUNCTION("GOOGLETRANSLATE(B413, ""en"", ""kn"")"),"ಅನುಮತಿಗಳನ್ನು ಹಸ್ತಚಾಲಿತವಾಗಿ ನಿಷ್ಕ್ರಿಯಗೊಳಿಸಿ / ಸಕ್ರಿಯಗೊಳಿಸಿ")</f>
        <v>ಅನುಮತಿಗಳನ್ನು ಹಸ್ತಚಾಲಿತವಾಗಿ ನಿಷ್ಕ್ರಿಯಗೊಳಿಸಿ / ಸಕ್ರಿಯಗೊಳಿಸಿ</v>
      </c>
      <c r="F413" s="7" t="str">
        <f>IFERROR(__xludf.DUMMYFUNCTION("GOOGLETRANSLATE(B413, ""en"", ""ml"")"),"അനുമതികൾ സ്വമേധയാ പ്രവർത്തനരഹിതമാക്കുക / പ്രവർത്തനക്ഷമമാക്കുക")</f>
        <v>അനുമതികൾ സ്വമേധയാ പ്രവർത്തനരഹിതമാക്കുക / പ്രവർത്തനക്ഷമമാക്കുക</v>
      </c>
      <c r="G413" s="7" t="str">
        <f>IFERROR(__xludf.DUMMYFUNCTION("GOOGLETRANSLATE(B413, ""en"", ""te"")"),"అనుమతులను మాన్యువల్‌గా నిలిపివేయండి / ప్రారంభించండి")</f>
        <v>అనుమతులను మాన్యువల్‌గా నిలిపివేయండి / ప్రారంభించండి</v>
      </c>
    </row>
    <row r="414">
      <c r="A414" s="4" t="s">
        <v>802</v>
      </c>
      <c r="B414" s="5" t="s">
        <v>803</v>
      </c>
      <c r="C414" s="6" t="str">
        <f>IFERROR(__xludf.DUMMYFUNCTION("GOOGLETRANSLATE(B414, ""en"", ""ta"")"),"கணக்கை நீக்கு")</f>
        <v>கணக்கை நீக்கு</v>
      </c>
      <c r="D414" s="6" t="str">
        <f>IFERROR(__xludf.DUMMYFUNCTION("GOOGLETRANSLATE(B414, ""en"", ""hi"")"),"खाता हटा दो")</f>
        <v>खाता हटा दो</v>
      </c>
      <c r="E414" s="6" t="str">
        <f>IFERROR(__xludf.DUMMYFUNCTION("GOOGLETRANSLATE(B414, ""en"", ""kn"")"),"ಖಾತೆಯನ್ನು ಅಳಿಸಿ")</f>
        <v>ಖಾತೆಯನ್ನು ಅಳಿಸಿ</v>
      </c>
      <c r="F414" s="7" t="str">
        <f>IFERROR(__xludf.DUMMYFUNCTION("GOOGLETRANSLATE(B414, ""en"", ""ml"")"),"അക്കൗണ്ട് ഇല്ലാതാക്കുക")</f>
        <v>അക്കൗണ്ട് ഇല്ലാതാക്കുക</v>
      </c>
      <c r="G414" s="7" t="str">
        <f>IFERROR(__xludf.DUMMYFUNCTION("GOOGLETRANSLATE(B414, ""en"", ""te"")"),"ఖాతాను తొలగించండి")</f>
        <v>ఖాతాను తొలగించండి</v>
      </c>
    </row>
    <row r="415">
      <c r="A415" s="11" t="s">
        <v>804</v>
      </c>
      <c r="B415" s="12" t="s">
        <v>805</v>
      </c>
      <c r="C415" s="6" t="str">
        <f>IFERROR(__xludf.DUMMYFUNCTION("GOOGLETRANSLATE(B415, ""en"", ""ta"")"),"வரலாறு")</f>
        <v>வரலாறு</v>
      </c>
      <c r="D415" s="6" t="str">
        <f>IFERROR(__xludf.DUMMYFUNCTION("GOOGLETRANSLATE(B415, ""en"", ""hi"")"),"इतिहास")</f>
        <v>इतिहास</v>
      </c>
      <c r="E415" s="6" t="str">
        <f>IFERROR(__xludf.DUMMYFUNCTION("GOOGLETRANSLATE(B415, ""en"", ""kn"")"),"ಇತಿಹಾಸ")</f>
        <v>ಇತಿಹಾಸ</v>
      </c>
      <c r="F415" s="7" t="str">
        <f>IFERROR(__xludf.DUMMYFUNCTION("GOOGLETRANSLATE(B415, ""en"", ""ml"")"),"ചരിത്രം")</f>
        <v>ചരിത്രം</v>
      </c>
      <c r="G415" s="7" t="str">
        <f>IFERROR(__xludf.DUMMYFUNCTION("GOOGLETRANSLATE(B415, ""en"", ""te"")"),"చరిత్ర")</f>
        <v>చరిత్ర</v>
      </c>
    </row>
    <row r="416">
      <c r="A416" s="4" t="s">
        <v>806</v>
      </c>
      <c r="B416" s="5" t="s">
        <v>807</v>
      </c>
      <c r="C416" s="6" t="str">
        <f>IFERROR(__xludf.DUMMYFUNCTION("GOOGLETRANSLATE(B416, ""en"", ""ta"")"),"இன்று")</f>
        <v>இன்று</v>
      </c>
      <c r="D416" s="6" t="str">
        <f>IFERROR(__xludf.DUMMYFUNCTION("GOOGLETRANSLATE(B416, ""en"", ""hi"")"),"आज")</f>
        <v>आज</v>
      </c>
      <c r="E416" s="6" t="str">
        <f>IFERROR(__xludf.DUMMYFUNCTION("GOOGLETRANSLATE(B416, ""en"", ""kn"")"),"ಇಂದು")</f>
        <v>ಇಂದು</v>
      </c>
      <c r="F416" s="7" t="str">
        <f>IFERROR(__xludf.DUMMYFUNCTION("GOOGLETRANSLATE(B416, ""en"", ""ml"")"),"ഇന്ന്")</f>
        <v>ഇന്ന്</v>
      </c>
      <c r="G416" s="7" t="str">
        <f>IFERROR(__xludf.DUMMYFUNCTION("GOOGLETRANSLATE(B416, ""en"", ""te"")"),"ఈరోజు")</f>
        <v>ఈరోజు</v>
      </c>
    </row>
    <row r="417">
      <c r="A417" s="4" t="s">
        <v>808</v>
      </c>
      <c r="B417" s="5" t="s">
        <v>809</v>
      </c>
      <c r="C417" s="6" t="str">
        <f>IFERROR(__xludf.DUMMYFUNCTION("GOOGLETRANSLATE(B417, ""en"", ""ta"")"),"நேற்று")</f>
        <v>நேற்று</v>
      </c>
      <c r="D417" s="6" t="str">
        <f>IFERROR(__xludf.DUMMYFUNCTION("GOOGLETRANSLATE(B417, ""en"", ""hi"")"),"कल")</f>
        <v>कल</v>
      </c>
      <c r="E417" s="6" t="str">
        <f>IFERROR(__xludf.DUMMYFUNCTION("GOOGLETRANSLATE(B417, ""en"", ""kn"")"),"ನಿನ್ನೆ")</f>
        <v>ನಿನ್ನೆ</v>
      </c>
      <c r="F417" s="7" t="str">
        <f>IFERROR(__xludf.DUMMYFUNCTION("GOOGLETRANSLATE(B417, ""en"", ""ml"")"),"ഇന്നലെ")</f>
        <v>ഇന്നലെ</v>
      </c>
      <c r="G417" s="7" t="str">
        <f>IFERROR(__xludf.DUMMYFUNCTION("GOOGLETRANSLATE(B417, ""en"", ""te"")"),"నిన్న")</f>
        <v>నిన్న</v>
      </c>
    </row>
    <row r="418">
      <c r="A418" s="4" t="s">
        <v>810</v>
      </c>
      <c r="B418" s="5" t="s">
        <v>811</v>
      </c>
      <c r="C418" s="6" t="str">
        <f>IFERROR(__xludf.DUMMYFUNCTION("GOOGLETRANSLATE(B418, ""en"", ""ta"")"),"இந்த வாரம்")</f>
        <v>இந்த வாரம்</v>
      </c>
      <c r="D418" s="6" t="str">
        <f>IFERROR(__xludf.DUMMYFUNCTION("GOOGLETRANSLATE(B418, ""en"", ""hi"")"),"इस सप्ताह")</f>
        <v>इस सप्ताह</v>
      </c>
      <c r="E418" s="6" t="str">
        <f>IFERROR(__xludf.DUMMYFUNCTION("GOOGLETRANSLATE(B418, ""en"", ""kn"")"),"ಈ ವಾರ")</f>
        <v>ಈ ವಾರ</v>
      </c>
      <c r="F418" s="7" t="str">
        <f>IFERROR(__xludf.DUMMYFUNCTION("GOOGLETRANSLATE(B418, ""en"", ""ml"")"),"ഈ ആഴ്ച")</f>
        <v>ഈ ആഴ്ച</v>
      </c>
      <c r="G418" s="7" t="str">
        <f>IFERROR(__xludf.DUMMYFUNCTION("GOOGLETRANSLATE(B418, ""en"", ""te"")"),"ఈ వారం")</f>
        <v>ఈ వారం</v>
      </c>
    </row>
    <row r="419">
      <c r="A419" s="4" t="s">
        <v>812</v>
      </c>
      <c r="B419" s="5" t="s">
        <v>813</v>
      </c>
      <c r="C419" s="6" t="str">
        <f>IFERROR(__xludf.DUMMYFUNCTION("GOOGLETRANSLATE(B419, ""en"", ""ta"")"),"கடந்த வாரம்")</f>
        <v>கடந்த வாரம்</v>
      </c>
      <c r="D419" s="6" t="str">
        <f>IFERROR(__xludf.DUMMYFUNCTION("GOOGLETRANSLATE(B419, ""en"", ""hi"")"),"पिछले सप्ताह")</f>
        <v>पिछले सप्ताह</v>
      </c>
      <c r="E419" s="6" t="str">
        <f>IFERROR(__xludf.DUMMYFUNCTION("GOOGLETRANSLATE(B419, ""en"", ""kn"")"),"ಕಳೆದ ವಾರ")</f>
        <v>ಕಳೆದ ವಾರ</v>
      </c>
      <c r="F419" s="7" t="str">
        <f>IFERROR(__xludf.DUMMYFUNCTION("GOOGLETRANSLATE(B419, ""en"", ""ml"")"),"കഴിഞ്ഞ ആഴ്ച")</f>
        <v>കഴിഞ്ഞ ആഴ്ച</v>
      </c>
      <c r="G419" s="7" t="str">
        <f>IFERROR(__xludf.DUMMYFUNCTION("GOOGLETRANSLATE(B419, ""en"", ""te"")"),"గత వారం")</f>
        <v>గత వారం</v>
      </c>
    </row>
    <row r="420">
      <c r="A420" s="4" t="s">
        <v>814</v>
      </c>
      <c r="B420" s="5" t="s">
        <v>815</v>
      </c>
      <c r="C420" s="6" t="str">
        <f>IFERROR(__xludf.DUMMYFUNCTION("GOOGLETRANSLATE(B420, ""en"", ""ta"")"),"இந்த மாதம்")</f>
        <v>இந்த மாதம்</v>
      </c>
      <c r="D420" s="6" t="str">
        <f>IFERROR(__xludf.DUMMYFUNCTION("GOOGLETRANSLATE(B420, ""en"", ""hi"")"),"इस महीने")</f>
        <v>इस महीने</v>
      </c>
      <c r="E420" s="6" t="str">
        <f>IFERROR(__xludf.DUMMYFUNCTION("GOOGLETRANSLATE(B420, ""en"", ""kn"")"),"ಈ ತಿಂಗಳು")</f>
        <v>ಈ ತಿಂಗಳು</v>
      </c>
      <c r="F420" s="7" t="str">
        <f>IFERROR(__xludf.DUMMYFUNCTION("GOOGLETRANSLATE(B420, ""en"", ""ml"")"),"ഈ മാസം")</f>
        <v>ഈ മാസം</v>
      </c>
      <c r="G420" s="7" t="str">
        <f>IFERROR(__xludf.DUMMYFUNCTION("GOOGLETRANSLATE(B420, ""en"", ""te"")"),"ఈ నెల")</f>
        <v>ఈ నెల</v>
      </c>
    </row>
    <row r="421">
      <c r="A421" s="4" t="s">
        <v>816</v>
      </c>
      <c r="B421" s="5" t="s">
        <v>817</v>
      </c>
      <c r="C421" s="6" t="str">
        <f>IFERROR(__xludf.DUMMYFUNCTION("GOOGLETRANSLATE(B421, ""en"", ""ta"")"),"ஆதரவை அழைக்கவும்")</f>
        <v>ஆதரவை அழைக்கவும்</v>
      </c>
      <c r="D421" s="6" t="str">
        <f>IFERROR(__xludf.DUMMYFUNCTION("GOOGLETRANSLATE(B421, ""en"", ""hi"")"),"कॉल सपोर्ट")</f>
        <v>कॉल सपोर्ट</v>
      </c>
      <c r="E421" s="6" t="str">
        <f>IFERROR(__xludf.DUMMYFUNCTION("GOOGLETRANSLATE(B421, ""en"", ""kn"")"),"ಬೆಂಬಲಕ್ಕೆ ಕರೆ ಮಾಡಿ")</f>
        <v>ಬೆಂಬಲಕ್ಕೆ ಕರೆ ಮಾಡಿ</v>
      </c>
      <c r="F421" s="7" t="str">
        <f>IFERROR(__xludf.DUMMYFUNCTION("GOOGLETRANSLATE(B421, ""en"", ""ml"")"),"പിന്തുണയെ വിളിക്കുക")</f>
        <v>പിന്തുണയെ വിളിക്കുക</v>
      </c>
      <c r="G421" s="7" t="str">
        <f>IFERROR(__xludf.DUMMYFUNCTION("GOOGLETRANSLATE(B421, ""en"", ""te"")"),"మద్దతుకు కాల్ చేయండి")</f>
        <v>మద్దతుకు కాల్ చేయండి</v>
      </c>
    </row>
    <row r="422">
      <c r="A422" s="4" t="s">
        <v>818</v>
      </c>
      <c r="B422" s="5" t="s">
        <v>819</v>
      </c>
      <c r="C422" s="6" t="str">
        <f>IFERROR(__xludf.DUMMYFUNCTION("GOOGLETRANSLATE(B422, ""en"", ""ta"")"),"மின்னஞ்சல் அனுப்பு")</f>
        <v>மின்னஞ்சல் அனுப்பு</v>
      </c>
      <c r="D422" s="6" t="str">
        <f>IFERROR(__xludf.DUMMYFUNCTION("GOOGLETRANSLATE(B422, ""en"", ""hi"")"),"ईमेल भेजें")</f>
        <v>ईमेल भेजें</v>
      </c>
      <c r="E422" s="6" t="str">
        <f>IFERROR(__xludf.DUMMYFUNCTION("GOOGLETRANSLATE(B422, ""en"", ""kn"")"),"ಇಮೇಲ್ ಕಳುಹಿಸಿ")</f>
        <v>ಇಮೇಲ್ ಕಳುಹಿಸಿ</v>
      </c>
      <c r="F422" s="7" t="str">
        <f>IFERROR(__xludf.DUMMYFUNCTION("GOOGLETRANSLATE(B422, ""en"", ""ml"")"),"ഇമെയിൽ അയയ്ക്കുക")</f>
        <v>ഇമെയിൽ അയയ്ക്കുക</v>
      </c>
      <c r="G422" s="7" t="str">
        <f>IFERROR(__xludf.DUMMYFUNCTION("GOOGLETRANSLATE(B422, ""en"", ""te"")"),"ఈమెయిల్ పంపండి")</f>
        <v>ఈమెయిల్ పంపండి</v>
      </c>
    </row>
    <row r="423">
      <c r="A423" s="4" t="s">
        <v>820</v>
      </c>
      <c r="B423" s="5" t="s">
        <v>821</v>
      </c>
      <c r="C423" s="6" t="str">
        <f>IFERROR(__xludf.DUMMYFUNCTION("GOOGLETRANSLATE(B423, ""en"", ""ta"")"),"வாட்ஸ்அப்")</f>
        <v>வாட்ஸ்அப்</v>
      </c>
      <c r="D423" s="6" t="str">
        <f>IFERROR(__xludf.DUMMYFUNCTION("GOOGLETRANSLATE(B423, ""en"", ""hi"")"),"WhatsApp")</f>
        <v>WhatsApp</v>
      </c>
      <c r="E423" s="6" t="str">
        <f>IFERROR(__xludf.DUMMYFUNCTION("GOOGLETRANSLATE(B423, ""en"", ""kn"")"),"ವಾಟ್ಸಾಪ್")</f>
        <v>ವಾಟ್ಸಾಪ್</v>
      </c>
      <c r="F423" s="7" t="str">
        <f>IFERROR(__xludf.DUMMYFUNCTION("GOOGLETRANSLATE(B423, ""en"", ""ml"")"),"ആപ്പ്")</f>
        <v>ആപ്പ്</v>
      </c>
      <c r="G423" s="7" t="str">
        <f>IFERROR(__xludf.DUMMYFUNCTION("GOOGLETRANSLATE(B423, ""en"", ""te"")"),"వాట్సాప్")</f>
        <v>వాట్సాప్</v>
      </c>
    </row>
    <row r="424">
      <c r="A424" s="4" t="s">
        <v>822</v>
      </c>
      <c r="B424" s="5" t="s">
        <v>823</v>
      </c>
      <c r="C424" s="6" t="str">
        <f>IFERROR(__xludf.DUMMYFUNCTION("GOOGLETRANSLATE(B424, ""en"", ""ta"")"),"அழைப்பு")</f>
        <v>அழைப்பு</v>
      </c>
      <c r="D424" s="6" t="str">
        <f>IFERROR(__xludf.DUMMYFUNCTION("GOOGLETRANSLATE(B424, ""en"", ""hi"")"),"पुकारना")</f>
        <v>पुकारना</v>
      </c>
      <c r="E424" s="6" t="str">
        <f>IFERROR(__xludf.DUMMYFUNCTION("GOOGLETRANSLATE(B424, ""en"", ""kn"")"),"ಕರೆ ಮಾಡಿ")</f>
        <v>ಕರೆ ಮಾಡಿ</v>
      </c>
      <c r="F424" s="7" t="str">
        <f>IFERROR(__xludf.DUMMYFUNCTION("GOOGLETRANSLATE(B424, ""en"", ""ml"")"),"വിളി")</f>
        <v>വിളി</v>
      </c>
      <c r="G424" s="7" t="str">
        <f>IFERROR(__xludf.DUMMYFUNCTION("GOOGLETRANSLATE(B424, ""en"", ""te"")"),"కాల్ చేయండి")</f>
        <v>కాల్ చేయండి</v>
      </c>
    </row>
    <row r="425">
      <c r="A425" s="4" t="s">
        <v>824</v>
      </c>
      <c r="B425" s="5" t="s">
        <v>825</v>
      </c>
      <c r="C425" s="6" t="str">
        <f>IFERROR(__xludf.DUMMYFUNCTION("GOOGLETRANSLATE(B425, ""en"", ""ta"")"),"அஞ்சல்")</f>
        <v>அஞ்சல்</v>
      </c>
      <c r="D425" s="6" t="str">
        <f>IFERROR(__xludf.DUMMYFUNCTION("GOOGLETRANSLATE(B425, ""en"", ""hi"")"),"मेल")</f>
        <v>मेल</v>
      </c>
      <c r="E425" s="6" t="str">
        <f>IFERROR(__xludf.DUMMYFUNCTION("GOOGLETRANSLATE(B425, ""en"", ""kn"")"),"ಮೇಲ್")</f>
        <v>ಮೇಲ್</v>
      </c>
      <c r="F425" s="7" t="str">
        <f>IFERROR(__xludf.DUMMYFUNCTION("GOOGLETRANSLATE(B425, ""en"", ""ml"")"),"മെയിൽ")</f>
        <v>മെയിൽ</v>
      </c>
      <c r="G425" s="7" t="str">
        <f>IFERROR(__xludf.DUMMYFUNCTION("GOOGLETRANSLATE(B425, ""en"", ""te"")"),"మెయిల్")</f>
        <v>మెయిల్</v>
      </c>
    </row>
    <row r="426">
      <c r="A426" s="11" t="s">
        <v>826</v>
      </c>
      <c r="B426" s="12" t="s">
        <v>827</v>
      </c>
      <c r="C426" s="6" t="str">
        <f>IFERROR(__xludf.DUMMYFUNCTION("GOOGLETRANSLATE(B426, ""en"", ""ta"")"),"முகப்புப் பக்கம்")</f>
        <v>முகப்புப் பக்கம்</v>
      </c>
      <c r="D426" s="6" t="str">
        <f>IFERROR(__xludf.DUMMYFUNCTION("GOOGLETRANSLATE(B426, ""en"", ""hi"")"),"घर")</f>
        <v>घर</v>
      </c>
      <c r="E426" s="6" t="str">
        <f>IFERROR(__xludf.DUMMYFUNCTION("GOOGLETRANSLATE(B426, ""en"", ""kn"")"),"ಮರಳಿ ಪ್ರಥಮ ಪುಟಕ್ಕೆ")</f>
        <v>ಮರಳಿ ಪ್ರಥಮ ಪುಟಕ್ಕೆ</v>
      </c>
      <c r="F426" s="7" t="str">
        <f>IFERROR(__xludf.DUMMYFUNCTION("GOOGLETRANSLATE(B426, ""en"", ""ml"")"),"വീട്")</f>
        <v>വീട്</v>
      </c>
      <c r="G426" s="7" t="str">
        <f>IFERROR(__xludf.DUMMYFUNCTION("GOOGLETRANSLATE(B426, ""en"", ""te"")"),"హొమ్ పేజ్")</f>
        <v>హొమ్ పేజ్</v>
      </c>
    </row>
    <row r="427">
      <c r="A427" s="4" t="s">
        <v>411</v>
      </c>
      <c r="B427" s="5" t="s">
        <v>412</v>
      </c>
      <c r="C427" s="6" t="str">
        <f>IFERROR(__xludf.DUMMYFUNCTION("GOOGLETRANSLATE(B427, ""en"", ""ta"")"),"டிக்கெட்டை உயர்த்தவும்")</f>
        <v>டிக்கெட்டை உயர்த்தவும்</v>
      </c>
      <c r="D427" s="6" t="str">
        <f>IFERROR(__xludf.DUMMYFUNCTION("GOOGLETRANSLATE(B427, ""en"", ""hi"")"),"टिकट बढ़ाएँ")</f>
        <v>टिकट बढ़ाएँ</v>
      </c>
      <c r="E427" s="6" t="str">
        <f>IFERROR(__xludf.DUMMYFUNCTION("GOOGLETRANSLATE(B427, ""en"", ""kn"")"),"ಟಿಕೆಟ್ ಹೆಚ್ಚಿಸಿ")</f>
        <v>ಟಿಕೆಟ್ ಹೆಚ್ಚಿಸಿ</v>
      </c>
      <c r="F427" s="7" t="str">
        <f>IFERROR(__xludf.DUMMYFUNCTION("GOOGLETRANSLATE(B427, ""en"", ""ml"")"),"ടിക്കറ്റ് ഉയർത്തുക")</f>
        <v>ടിക്കറ്റ് ഉയർത്തുക</v>
      </c>
      <c r="G427" s="7" t="str">
        <f>IFERROR(__xludf.DUMMYFUNCTION("GOOGLETRANSLATE(B427, ""en"", ""te"")"),"టికెట్ పెంచండి")</f>
        <v>టికెట్ పెంచండి</v>
      </c>
    </row>
    <row r="428">
      <c r="A428" s="11" t="s">
        <v>702</v>
      </c>
      <c r="B428" s="12" t="s">
        <v>703</v>
      </c>
      <c r="C428" s="6" t="str">
        <f>IFERROR(__xludf.DUMMYFUNCTION("GOOGLETRANSLATE(B428, ""en"", ""ta"")"),"நிராகரி")</f>
        <v>நிராகரி</v>
      </c>
      <c r="D428" s="6" t="str">
        <f>IFERROR(__xludf.DUMMYFUNCTION("GOOGLETRANSLATE(B428, ""en"", ""hi"")"),"अस्वीकार करना")</f>
        <v>अस्वीकार करना</v>
      </c>
      <c r="E428" s="6" t="str">
        <f>IFERROR(__xludf.DUMMYFUNCTION("GOOGLETRANSLATE(B428, ""en"", ""kn"")"),"ತಿರಸ್ಕರಿಸಿ")</f>
        <v>ತಿರಸ್ಕರಿಸಿ</v>
      </c>
      <c r="F428" s="7" t="str">
        <f>IFERROR(__xludf.DUMMYFUNCTION("GOOGLETRANSLATE(B428, ""en"", ""ml"")"),"നിരസിക്കുക")</f>
        <v>നിരസിക്കുക</v>
      </c>
      <c r="G428" s="7" t="str">
        <f>IFERROR(__xludf.DUMMYFUNCTION("GOOGLETRANSLATE(B428, ""en"", ""te"")"),"తిరస్కరించు")</f>
        <v>తిరస్కరించు</v>
      </c>
    </row>
    <row r="429">
      <c r="A429" s="11" t="s">
        <v>828</v>
      </c>
      <c r="B429" s="12" t="s">
        <v>829</v>
      </c>
      <c r="C429" s="6" t="str">
        <f>IFERROR(__xludf.DUMMYFUNCTION("GOOGLETRANSLATE(B429, ""en"", ""ta"")"),"ஏற்றுக்கொள்")</f>
        <v>ஏற்றுக்கொள்</v>
      </c>
      <c r="D429" s="6" t="str">
        <f>IFERROR(__xludf.DUMMYFUNCTION("GOOGLETRANSLATE(B429, ""en"", ""hi"")"),"स्वीकार करना")</f>
        <v>स्वीकार करना</v>
      </c>
      <c r="E429" s="6" t="str">
        <f>IFERROR(__xludf.DUMMYFUNCTION("GOOGLETRANSLATE(B429, ""en"", ""kn"")"),"ಸ್ವೀಕರಿಸಿ")</f>
        <v>ಸ್ವೀಕರಿಸಿ</v>
      </c>
      <c r="F429" s="7" t="str">
        <f>IFERROR(__xludf.DUMMYFUNCTION("GOOGLETRANSLATE(B429, ""en"", ""ml"")"),"അംഗീകരിക്കുക")</f>
        <v>അംഗീകരിക്കുക</v>
      </c>
      <c r="G429" s="7" t="str">
        <f>IFERROR(__xludf.DUMMYFUNCTION("GOOGLETRANSLATE(B429, ""en"", ""te"")"),"అంగీకరించు")</f>
        <v>అంగీకరించు</v>
      </c>
    </row>
    <row r="430">
      <c r="A430" s="11" t="s">
        <v>830</v>
      </c>
      <c r="B430" s="12" t="s">
        <v>831</v>
      </c>
      <c r="C430" s="6" t="str">
        <f>IFERROR(__xludf.DUMMYFUNCTION("GOOGLETRANSLATE(B430, ""en"", ""ta"")"),"அமைப்புகள்")</f>
        <v>அமைப்புகள்</v>
      </c>
      <c r="D430" s="6" t="str">
        <f>IFERROR(__xludf.DUMMYFUNCTION("GOOGLETRANSLATE(B430, ""en"", ""hi"")"),"सेटिंग्स")</f>
        <v>सेटिंग्स</v>
      </c>
      <c r="E430" s="6" t="str">
        <f>IFERROR(__xludf.DUMMYFUNCTION("GOOGLETRANSLATE(B430, ""en"", ""kn"")"),"ಸೆಟ್ಟಿಂಗ್‌ಗಳು")</f>
        <v>ಸೆಟ್ಟಿಂಗ್‌ಗಳು</v>
      </c>
      <c r="F430" s="7" t="str">
        <f>IFERROR(__xludf.DUMMYFUNCTION("GOOGLETRANSLATE(B430, ""en"", ""ml"")"),"ക്രമീകരണങ്ങൾ")</f>
        <v>ക്രമീകരണങ്ങൾ</v>
      </c>
      <c r="G430" s="7" t="str">
        <f>IFERROR(__xludf.DUMMYFUNCTION("GOOGLETRANSLATE(B430, ""en"", ""te"")"),"సెట్టింగులు")</f>
        <v>సెట్టింగులు</v>
      </c>
    </row>
    <row r="431">
      <c r="A431" s="11" t="s">
        <v>832</v>
      </c>
      <c r="B431" s="12" t="s">
        <v>833</v>
      </c>
      <c r="C431" s="6" t="str">
        <f>IFERROR(__xludf.DUMMYFUNCTION("GOOGLETRANSLATE(B431, ""en"", ""ta"")"),"இயக்கி உள்நுழைவு")</f>
        <v>இயக்கி உள்நுழைவு</v>
      </c>
      <c r="D431" s="6" t="str">
        <f>IFERROR(__xludf.DUMMYFUNCTION("GOOGLETRANSLATE(B431, ""en"", ""hi"")"),"ड्राइवर लॉगिन")</f>
        <v>ड्राइवर लॉगिन</v>
      </c>
      <c r="E431" s="6" t="str">
        <f>IFERROR(__xludf.DUMMYFUNCTION("GOOGLETRANSLATE(B431, ""en"", ""kn"")"),"ಚಾಲಕ ಲಾಗಿನ್")</f>
        <v>ಚಾಲಕ ಲಾಗಿನ್</v>
      </c>
      <c r="F431" s="7" t="str">
        <f>IFERROR(__xludf.DUMMYFUNCTION("GOOGLETRANSLATE(B431, ""en"", ""ml"")"),"ഡ്രൈവർ ലോഗിൻ")</f>
        <v>ഡ്രൈവർ ലോഗിൻ</v>
      </c>
      <c r="G431" s="7" t="str">
        <f>IFERROR(__xludf.DUMMYFUNCTION("GOOGLETRANSLATE(B431, ""en"", ""te"")"),"డ్రైవర్ లాగిన్")</f>
        <v>డ్రైవర్ లాగిన్</v>
      </c>
    </row>
    <row r="432">
      <c r="A432" s="11" t="s">
        <v>834</v>
      </c>
      <c r="B432" s="12" t="s">
        <v>835</v>
      </c>
      <c r="C432" s="6" t="str">
        <f>IFERROR(__xludf.DUMMYFUNCTION("GOOGLETRANSLATE(B432, ""en"", ""ta"")"),"பயணிகள் உள்நுழைவு")</f>
        <v>பயணிகள் உள்நுழைவு</v>
      </c>
      <c r="D432" s="6" t="str">
        <f>IFERROR(__xludf.DUMMYFUNCTION("GOOGLETRANSLATE(B432, ""en"", ""hi"")"),"यात्री लॉगिन")</f>
        <v>यात्री लॉगिन</v>
      </c>
      <c r="E432" s="6" t="str">
        <f>IFERROR(__xludf.DUMMYFUNCTION("GOOGLETRANSLATE(B432, ""en"", ""kn"")"),"ಪ್ರಯಾಣಿಕರ ಲಾಗಿನ್")</f>
        <v>ಪ್ರಯಾಣಿಕರ ಲಾಗಿನ್</v>
      </c>
      <c r="F432" s="7" t="str">
        <f>IFERROR(__xludf.DUMMYFUNCTION("GOOGLETRANSLATE(B432, ""en"", ""ml"")"),"യാത്രക്കാരുടെ ലോഗിൻ")</f>
        <v>യാത്രക്കാരുടെ ലോഗിൻ</v>
      </c>
      <c r="G432" s="7" t="str">
        <f>IFERROR(__xludf.DUMMYFUNCTION("GOOGLETRANSLATE(B432, ""en"", ""te"")"),"ప్రయాణీకుల లాగిన్")</f>
        <v>ప్రయాణీకుల లాగిన్</v>
      </c>
    </row>
    <row r="433">
      <c r="A433" s="11" t="s">
        <v>836</v>
      </c>
      <c r="B433" s="12" t="s">
        <v>837</v>
      </c>
      <c r="C433" s="6" t="str">
        <f>IFERROR(__xludf.DUMMYFUNCTION("GOOGLETRANSLATE(B433, ""en"", ""ta"")"),"மொபைல் மூலம் உள்நுழையவும்")</f>
        <v>மொபைல் மூலம் உள்நுழையவும்</v>
      </c>
      <c r="D433" s="6" t="str">
        <f>IFERROR(__xludf.DUMMYFUNCTION("GOOGLETRANSLATE(B433, ""en"", ""hi"")"),"मोबाइल से साइन इन करें")</f>
        <v>मोबाइल से साइन इन करें</v>
      </c>
      <c r="E433" s="6" t="str">
        <f>IFERROR(__xludf.DUMMYFUNCTION("GOOGLETRANSLATE(B433, ""en"", ""kn"")"),"ಮೊಬೈಲ್ ಮೂಲಕ ಸೈನ್ ಇನ್ ಮಾಡಿ")</f>
        <v>ಮೊಬೈಲ್ ಮೂಲಕ ಸೈನ್ ಇನ್ ಮಾಡಿ</v>
      </c>
      <c r="F433" s="7" t="str">
        <f>IFERROR(__xludf.DUMMYFUNCTION("GOOGLETRANSLATE(B433, ""en"", ""ml"")"),"മൊബൈൽ വഴി സൈൻ ഇൻ ചെയ്യുക")</f>
        <v>മൊബൈൽ വഴി സൈൻ ഇൻ ചെയ്യുക</v>
      </c>
      <c r="G433" s="7" t="str">
        <f>IFERROR(__xludf.DUMMYFUNCTION("GOOGLETRANSLATE(B433, ""en"", ""te"")"),"మొబైల్ ద్వారా సైన్ ఇన్ చేయండి")</f>
        <v>మొబైల్ ద్వారా సైన్ ఇన్ చేయండి</v>
      </c>
    </row>
    <row r="434">
      <c r="A434" s="11" t="s">
        <v>838</v>
      </c>
      <c r="B434" s="12" t="s">
        <v>839</v>
      </c>
      <c r="C434" s="6" t="str">
        <f>IFERROR(__xludf.DUMMYFUNCTION("GOOGLETRANSLATE(B434, ""en"", ""ta"")"),"மொபைல் எண்")</f>
        <v>மொபைல் எண்</v>
      </c>
      <c r="D434" s="6" t="str">
        <f>IFERROR(__xludf.DUMMYFUNCTION("GOOGLETRANSLATE(B434, ""en"", ""hi"")"),"मोबाइल नंबर")</f>
        <v>मोबाइल नंबर</v>
      </c>
      <c r="E434" s="6" t="str">
        <f>IFERROR(__xludf.DUMMYFUNCTION("GOOGLETRANSLATE(B434, ""en"", ""kn"")"),"ಮೊಬೈಲ್ ಸಂಖ್ಯೆ")</f>
        <v>ಮೊಬೈಲ್ ಸಂಖ್ಯೆ</v>
      </c>
      <c r="F434" s="7" t="str">
        <f>IFERROR(__xludf.DUMMYFUNCTION("GOOGLETRANSLATE(B434, ""en"", ""ml"")"),"മൊബൈൽ നമ്പർ")</f>
        <v>മൊബൈൽ നമ്പർ</v>
      </c>
      <c r="G434" s="7" t="str">
        <f>IFERROR(__xludf.DUMMYFUNCTION("GOOGLETRANSLATE(B434, ""en"", ""te"")"),"మొబైల్ నంబర్")</f>
        <v>మొబైల్ నంబర్</v>
      </c>
    </row>
    <row r="435">
      <c r="A435" s="11" t="s">
        <v>840</v>
      </c>
      <c r="B435" s="12" t="s">
        <v>841</v>
      </c>
      <c r="C435" s="6" t="str">
        <f>IFERROR(__xludf.DUMMYFUNCTION("GOOGLETRANSLATE(B435, ""en"", ""ta"")"),"OTP-யைக் கோருங்கள்")</f>
        <v>OTP-யைக் கோருங்கள்</v>
      </c>
      <c r="D435" s="6" t="str">
        <f>IFERROR(__xludf.DUMMYFUNCTION("GOOGLETRANSLATE(B435, ""en"", ""hi"")"),"OTP का अनुरोध करें")</f>
        <v>OTP का अनुरोध करें</v>
      </c>
      <c r="E435" s="6" t="str">
        <f>IFERROR(__xludf.DUMMYFUNCTION("GOOGLETRANSLATE(B435, ""en"", ""kn"")"),"OTP ವಿನಂತಿಸಿ")</f>
        <v>OTP ವಿನಂತಿಸಿ</v>
      </c>
      <c r="F435" s="7" t="str">
        <f>IFERROR(__xludf.DUMMYFUNCTION("GOOGLETRANSLATE(B435, ""en"", ""ml"")"),"OTP അഭ്യർത്ഥിക്കുക")</f>
        <v>OTP അഭ്യർത്ഥിക്കുക</v>
      </c>
      <c r="G435" s="7" t="str">
        <f>IFERROR(__xludf.DUMMYFUNCTION("GOOGLETRANSLATE(B435, ""en"", ""te"")"),"OTP ని అభ్యర్థించండి")</f>
        <v>OTP ని అభ్యర్థించండి</v>
      </c>
    </row>
    <row r="436">
      <c r="A436" s="11" t="s">
        <v>842</v>
      </c>
      <c r="B436" s="12" t="s">
        <v>843</v>
      </c>
      <c r="C436" s="6" t="str">
        <f>IFERROR(__xludf.DUMMYFUNCTION("GOOGLETRANSLATE(B436, ""en"", ""ta"")"),"ஒரு முறை கடவுச்சொல் (OTP)")</f>
        <v>ஒரு முறை கடவுச்சொல் (OTP)</v>
      </c>
      <c r="D436" s="6" t="str">
        <f>IFERROR(__xludf.DUMMYFUNCTION("GOOGLETRANSLATE(B436, ""en"", ""hi"")"),"वन टाइम पासवर्ड (ओटीपी)")</f>
        <v>वन टाइम पासवर्ड (ओटीपी)</v>
      </c>
      <c r="E436" s="6" t="str">
        <f>IFERROR(__xludf.DUMMYFUNCTION("GOOGLETRANSLATE(B436, ""en"", ""kn"")"),"ಒಂದು ಬಾರಿಯ ಪಾಸ್‌ವರ್ಡ್ (OTP)")</f>
        <v>ಒಂದು ಬಾರಿಯ ಪಾಸ್‌ವರ್ಡ್ (OTP)</v>
      </c>
      <c r="F436" s="7" t="str">
        <f>IFERROR(__xludf.DUMMYFUNCTION("GOOGLETRANSLATE(B436, ""en"", ""ml"")"),"ഒറ്റത്തവണ പാസ്‌വേഡ് (ഒടിപി)")</f>
        <v>ഒറ്റത്തവണ പാസ്‌വേഡ് (ഒടിപി)</v>
      </c>
      <c r="G436" s="7" t="str">
        <f>IFERROR(__xludf.DUMMYFUNCTION("GOOGLETRANSLATE(B436, ""en"", ""te"")"),"వన్ టైమ్ పాస్‌వర్డ్ (OTP)")</f>
        <v>వన్ టైమ్ పాస్‌వర్డ్ (OTP)</v>
      </c>
    </row>
    <row r="437">
      <c r="A437" s="11" t="s">
        <v>844</v>
      </c>
      <c r="B437" s="12" t="s">
        <v>845</v>
      </c>
      <c r="C437" s="6" t="str">
        <f>IFERROR(__xludf.DUMMYFUNCTION("GOOGLETRANSLATE(B437, ""en"", ""ta"")"),"உங்கள் மொபைல் எண்ணுக்கு அனுப்பப்பட்ட OTP ஐ உள்ளிடவும்.")</f>
        <v>உங்கள் மொபைல் எண்ணுக்கு அனுப்பப்பட்ட OTP ஐ உள்ளிடவும்.</v>
      </c>
      <c r="D437" s="6" t="str">
        <f>IFERROR(__xludf.DUMMYFUNCTION("GOOGLETRANSLATE(B437, ""en"", ""hi"")"),"अपने मोबाइल नंबर पर भेजे गए OTP को दर्ज करें।")</f>
        <v>अपने मोबाइल नंबर पर भेजे गए OTP को दर्ज करें।</v>
      </c>
      <c r="E437" s="6" t="str">
        <f>IFERROR(__xludf.DUMMYFUNCTION("GOOGLETRANSLATE(B437, ""en"", ""kn"")"),"ನಿಮ್ಮ ಮೊಬೈಲ್ ಸಂಖ್ಯೆಗೆ ಕಳುಹಿಸಲಾದ OTP ಅನ್ನು ನಮೂದಿಸಿ")</f>
        <v>ನಿಮ್ಮ ಮೊಬೈಲ್ ಸಂಖ್ಯೆಗೆ ಕಳುಹಿಸಲಾದ OTP ಅನ್ನು ನಮೂದಿಸಿ</v>
      </c>
      <c r="F437" s="7" t="str">
        <f>IFERROR(__xludf.DUMMYFUNCTION("GOOGLETRANSLATE(B437, ""en"", ""ml"")"),"നിങ്ങളുടെ മൊബൈൽ നമ്പറിലേക്ക് അയച്ച OTP നൽകുക")</f>
        <v>നിങ്ങളുടെ മൊബൈൽ നമ്പറിലേക്ക് അയച്ച OTP നൽകുക</v>
      </c>
      <c r="G437" s="7" t="str">
        <f>IFERROR(__xludf.DUMMYFUNCTION("GOOGLETRANSLATE(B437, ""en"", ""te"")"),"మీ మొబైల్ నంబర్‌కు పంపబడిన OTPని నమోదు చేయండి")</f>
        <v>మీ మొబైల్ నంబర్‌కు పంపబడిన OTPని నమోదు చేయండి</v>
      </c>
    </row>
    <row r="438">
      <c r="A438" s="13" t="s">
        <v>846</v>
      </c>
      <c r="B438" s="12" t="s">
        <v>847</v>
      </c>
      <c r="C438" s="6" t="str">
        <f>IFERROR(__xludf.DUMMYFUNCTION("GOOGLETRANSLATE(B438, ""en"", ""ta"")"),"நம்ம ஊரு டாக்ஸிக்கு வருக.")</f>
        <v>நம்ம ஊரு டாக்ஸிக்கு வருக.</v>
      </c>
      <c r="D438" s="6" t="str">
        <f>IFERROR(__xludf.DUMMYFUNCTION("GOOGLETRANSLATE(B438, ""en"", ""hi"")"),"नम्मा ऊरु टैक्सी में आपका स्वागत है")</f>
        <v>नम्मा ऊरु टैक्सी में आपका स्वागत है</v>
      </c>
      <c r="E438" s="6" t="str">
        <f>IFERROR(__xludf.DUMMYFUNCTION("GOOGLETRANSLATE(B438, ""en"", ""kn"")"),"ನಮ್ಮ ಊರು ಟ್ಯಾಕ್ಸಿಗೆ ಸುಸ್ವಾಗತ.")</f>
        <v>ನಮ್ಮ ಊರು ಟ್ಯಾಕ್ಸಿಗೆ ಸುಸ್ವಾಗತ.</v>
      </c>
      <c r="F438" s="7" t="str">
        <f>IFERROR(__xludf.DUMMYFUNCTION("GOOGLETRANSLATE(B438, ""en"", ""ml"")"),"നമ്മ ഊരു ടാക്സിയിലേക്ക് സ്വാഗതം.")</f>
        <v>നമ്മ ഊരു ടാക്സിയിലേക്ക് സ്വാഗതം.</v>
      </c>
      <c r="G438" s="7" t="str">
        <f>IFERROR(__xludf.DUMMYFUNCTION("GOOGLETRANSLATE(B438, ""en"", ""te"")"),"నమ్మ ఊరు టాక్సీకి స్వాగతం")</f>
        <v>నమ్మ ఊరు టాక్సీకి స్వాగతం</v>
      </c>
    </row>
    <row r="439">
      <c r="A439" s="13" t="s">
        <v>848</v>
      </c>
      <c r="B439" s="12" t="s">
        <v>849</v>
      </c>
      <c r="C439" s="6" t="str">
        <f>IFERROR(__xludf.DUMMYFUNCTION("GOOGLETRANSLATE(B439, ""en"", ""ta"")"),"நீங்கள் எப்படித் தொடர விரும்புகிறீர்கள் என்பதைத் தேர்வுசெய்யவும்.")</f>
        <v>நீங்கள் எப்படித் தொடர விரும்புகிறீர்கள் என்பதைத் தேர்வுசெய்யவும்.</v>
      </c>
      <c r="D439" s="6" t="str">
        <f>IFERROR(__xludf.DUMMYFUNCTION("GOOGLETRANSLATE(B439, ""en"", ""hi"")"),"आप आगे कैसे बढ़ना चाहते हैं, यह चुनें।")</f>
        <v>आप आगे कैसे बढ़ना चाहते हैं, यह चुनें।</v>
      </c>
      <c r="E439" s="6" t="str">
        <f>IFERROR(__xludf.DUMMYFUNCTION("GOOGLETRANSLATE(B439, ""en"", ""kn"")"),"ನೀವು ಹೇಗೆ ಮುಂದುವರಿಯಲು ಬಯಸುತ್ತೀರಿ ಎಂಬುದನ್ನು ಆರಿಸಿ.")</f>
        <v>ನೀವು ಹೇಗೆ ಮುಂದುವರಿಯಲು ಬಯಸುತ್ತೀರಿ ಎಂಬುದನ್ನು ಆರಿಸಿ.</v>
      </c>
      <c r="F439" s="7" t="str">
        <f>IFERROR(__xludf.DUMMYFUNCTION("GOOGLETRANSLATE(B439, ""en"", ""ml"")"),"നിങ്ങൾ എങ്ങനെ തുടരണമെന്ന് തിരഞ്ഞെടുക്കുക.")</f>
        <v>നിങ്ങൾ എങ്ങനെ തുടരണമെന്ന് തിരഞ്ഞെടുക്കുക.</v>
      </c>
      <c r="G439" s="7" t="str">
        <f>IFERROR(__xludf.DUMMYFUNCTION("GOOGLETRANSLATE(B439, ""en"", ""te"")"),"మీరు ఎలా కొనసాగించాలనుకుంటున్నారో ఎంచుకోండి.")</f>
        <v>మీరు ఎలా కొనసాగించాలనుకుంటున్నారో ఎంచుకోండి.</v>
      </c>
    </row>
    <row r="440">
      <c r="A440" s="13" t="s">
        <v>850</v>
      </c>
      <c r="B440" s="12" t="s">
        <v>851</v>
      </c>
      <c r="C440" s="6" t="str">
        <f>IFERROR(__xludf.DUMMYFUNCTION("GOOGLETRANSLATE(B440, ""en"", ""ta"")"),"எனத் தொடரவும்")</f>
        <v>எனத் தொடரவும்</v>
      </c>
      <c r="D440" s="6" t="str">
        <f>IFERROR(__xludf.DUMMYFUNCTION("GOOGLETRANSLATE(B440, ""en"", ""hi"")"),"जारी रखें")</f>
        <v>जारी रखें</v>
      </c>
      <c r="E440" s="6" t="str">
        <f>IFERROR(__xludf.DUMMYFUNCTION("GOOGLETRANSLATE(B440, ""en"", ""kn"")"),"ಹೀಗೆ ಮುಂದುವರಿಸಿ")</f>
        <v>ಹೀಗೆ ಮುಂದುವರಿಸಿ</v>
      </c>
      <c r="F440" s="7" t="str">
        <f>IFERROR(__xludf.DUMMYFUNCTION("GOOGLETRANSLATE(B440, ""en"", ""ml"")"),"ഇതായി തുടരുക")</f>
        <v>ഇതായി തുടരുക</v>
      </c>
      <c r="G440" s="7" t="str">
        <f>IFERROR(__xludf.DUMMYFUNCTION("GOOGLETRANSLATE(B440, ""en"", ""te"")"),"ఇలా కొనసాగించండి")</f>
        <v>ఇలా కొనసాగించండి</v>
      </c>
    </row>
    <row r="441">
      <c r="A441" s="13" t="s">
        <v>852</v>
      </c>
      <c r="B441" s="12" t="s">
        <v>853</v>
      </c>
      <c r="C441" s="6" t="str">
        <f>IFERROR(__xludf.DUMMYFUNCTION("GOOGLETRANSLATE(B441, ""en"", ""ta"")"),"பயணிகள்")</f>
        <v>பயணிகள்</v>
      </c>
      <c r="D441" s="6" t="str">
        <f>IFERROR(__xludf.DUMMYFUNCTION("GOOGLETRANSLATE(B441, ""en"", ""hi"")"),"यात्री")</f>
        <v>यात्री</v>
      </c>
      <c r="E441" s="6" t="str">
        <f>IFERROR(__xludf.DUMMYFUNCTION("GOOGLETRANSLATE(B441, ""en"", ""kn"")"),"ಪ್ರಯಾಣಿಕ")</f>
        <v>ಪ್ರಯಾಣಿಕ</v>
      </c>
      <c r="F441" s="7" t="str">
        <f>IFERROR(__xludf.DUMMYFUNCTION("GOOGLETRANSLATE(B441, ""en"", ""ml"")"),"യാത്രക്കാരൻ")</f>
        <v>യാത്രക്കാരൻ</v>
      </c>
      <c r="G441" s="7" t="str">
        <f>IFERROR(__xludf.DUMMYFUNCTION("GOOGLETRANSLATE(B441, ""en"", ""te"")"),"ప్రయాణీకుడు")</f>
        <v>ప్రయాణీకుడు</v>
      </c>
    </row>
    <row r="442">
      <c r="A442" s="13" t="s">
        <v>680</v>
      </c>
      <c r="B442" s="12" t="s">
        <v>681</v>
      </c>
      <c r="C442" s="6" t="str">
        <f>IFERROR(__xludf.DUMMYFUNCTION("GOOGLETRANSLATE(B442, ""en"", ""ta"")"),"டிரைவர்")</f>
        <v>டிரைவர்</v>
      </c>
      <c r="D442" s="6" t="str">
        <f>IFERROR(__xludf.DUMMYFUNCTION("GOOGLETRANSLATE(B442, ""en"", ""hi"")"),"ड्राइवर")</f>
        <v>ड्राइवर</v>
      </c>
      <c r="E442" s="6" t="str">
        <f>IFERROR(__xludf.DUMMYFUNCTION("GOOGLETRANSLATE(B442, ""en"", ""kn"")"),"ಚಾಲಕ")</f>
        <v>ಚಾಲಕ</v>
      </c>
      <c r="F442" s="7" t="str">
        <f>IFERROR(__xludf.DUMMYFUNCTION("GOOGLETRANSLATE(B442, ""en"", ""ml"")"),"ഡ്രൈവർ")</f>
        <v>ഡ്രൈവർ</v>
      </c>
      <c r="G442" s="7" t="str">
        <f>IFERROR(__xludf.DUMMYFUNCTION("GOOGLETRANSLATE(B442, ""en"", ""te"")"),"డ్రైవర్")</f>
        <v>డ్రైవర్</v>
      </c>
    </row>
    <row r="443">
      <c r="A443" s="13" t="s">
        <v>854</v>
      </c>
      <c r="B443" s="12" t="s">
        <v>855</v>
      </c>
      <c r="C443" s="6" t="str">
        <f>IFERROR(__xludf.DUMMYFUNCTION("GOOGLETRANSLATE(B443, ""en"", ""ta"")"),"ஆகுங்கள்")</f>
        <v>ஆகுங்கள்</v>
      </c>
      <c r="D443" s="6" t="str">
        <f>IFERROR(__xludf.DUMMYFUNCTION("GOOGLETRANSLATE(B443, ""en"", ""hi"")"),"बनें एक")</f>
        <v>बनें एक</v>
      </c>
      <c r="E443" s="6" t="str">
        <f>IFERROR(__xludf.DUMMYFUNCTION("GOOGLETRANSLATE(B443, ""en"", ""kn"")"),"ಆಗಿ")</f>
        <v>ಆಗಿ</v>
      </c>
      <c r="F443" s="7" t="str">
        <f>IFERROR(__xludf.DUMMYFUNCTION("GOOGLETRANSLATE(B443, ""en"", ""ml"")"),"ഒരു ആകുക")</f>
        <v>ഒരു ആകുക</v>
      </c>
      <c r="G443" s="7" t="str">
        <f>IFERROR(__xludf.DUMMYFUNCTION("GOOGLETRANSLATE(B443, ""en"", ""te"")"),"అవ్వండి")</f>
        <v>అవ్వండి</v>
      </c>
    </row>
    <row r="444">
      <c r="A444" s="13" t="s">
        <v>856</v>
      </c>
      <c r="B444" s="12" t="s">
        <v>857</v>
      </c>
      <c r="C444" s="6" t="str">
        <f>IFERROR(__xludf.DUMMYFUNCTION("GOOGLETRANSLATE(B444, ""en"", ""ta"")"),"&amp; பணம் சம்பாதிக்கவும்")</f>
        <v>&amp; பணம் சம்பாதிக்கவும்</v>
      </c>
      <c r="D444" s="6" t="str">
        <f>IFERROR(__xludf.DUMMYFUNCTION("GOOGLETRANSLATE(B444, ""en"", ""hi"")"),"&amp; पैसे कमाएं")</f>
        <v>&amp; पैसे कमाएं</v>
      </c>
      <c r="E444" s="6" t="str">
        <f>IFERROR(__xludf.DUMMYFUNCTION("GOOGLETRANSLATE(B444, ""en"", ""kn"")"),"&amp; ಹಣ ಗಳಿಸಿ")</f>
        <v>&amp; ಹಣ ಗಳಿಸಿ</v>
      </c>
      <c r="F444" s="7" t="str">
        <f>IFERROR(__xludf.DUMMYFUNCTION("GOOGLETRANSLATE(B444, ""en"", ""ml"")"),"&amp; പണം സമ്പാദിക്കുക")</f>
        <v>&amp; പണം സമ്പാദിക്കുക</v>
      </c>
      <c r="G444" s="7" t="str">
        <f>IFERROR(__xludf.DUMMYFUNCTION("GOOGLETRANSLATE(B444, ""en"", ""te"")"),"&amp; డబ్బు సంపాదించండి")</f>
        <v>&amp; డబ్బు సంపాదించండి</v>
      </c>
    </row>
    <row r="445">
      <c r="A445" s="14" t="s">
        <v>858</v>
      </c>
      <c r="B445" s="12" t="s">
        <v>859</v>
      </c>
      <c r="C445" s="6" t="str">
        <f>IFERROR(__xludf.DUMMYFUNCTION("GOOGLETRANSLATE(B445, ""en"", ""ta"")"),"தொடர்பு")</f>
        <v>தொடர்பு</v>
      </c>
      <c r="D445" s="6" t="str">
        <f>IFERROR(__xludf.DUMMYFUNCTION("GOOGLETRANSLATE(B445, ""en"", ""hi"")"),"संपर्क")</f>
        <v>संपर्क</v>
      </c>
      <c r="E445" s="6" t="str">
        <f>IFERROR(__xludf.DUMMYFUNCTION("GOOGLETRANSLATE(B445, ""en"", ""kn"")"),"ಸಂಪರ್ಕಿಸಿ")</f>
        <v>ಸಂಪರ್ಕಿಸಿ</v>
      </c>
      <c r="F445" s="7" t="str">
        <f>IFERROR(__xludf.DUMMYFUNCTION("GOOGLETRANSLATE(B445, ""en"", ""ml"")"),"ബന്ധപ്പെടുക")</f>
        <v>ബന്ധപ്പെടുക</v>
      </c>
      <c r="G445" s="7" t="str">
        <f>IFERROR(__xludf.DUMMYFUNCTION("GOOGLETRANSLATE(B445, ""en"", ""te"")"),"సంప్రదించండి")</f>
        <v>సంప్రదించండి</v>
      </c>
    </row>
    <row r="446">
      <c r="A446" s="11" t="s">
        <v>860</v>
      </c>
      <c r="B446" s="12" t="s">
        <v>861</v>
      </c>
      <c r="C446" s="6" t="str">
        <f>IFERROR(__xludf.DUMMYFUNCTION("GOOGLETRANSLATE(B446, ""en"", ""ta"")"),"பின்னூட்டத்தை அனுப்பு")</f>
        <v>பின்னூட்டத்தை அனுப்பு</v>
      </c>
      <c r="D446" s="6" t="str">
        <f>IFERROR(__xludf.DUMMYFUNCTION("GOOGLETRANSLATE(B446, ""en"", ""hi"")"),"प्रतिक्रिया भेजें")</f>
        <v>प्रतिक्रिया भेजें</v>
      </c>
      <c r="E446" s="6" t="str">
        <f>IFERROR(__xludf.DUMMYFUNCTION("GOOGLETRANSLATE(B446, ""en"", ""kn"")"),"ಪ್ರತಿಕ್ರಿಯೆ ಕಳುಹಿಸಿ")</f>
        <v>ಪ್ರತಿಕ್ರಿಯೆ ಕಳುಹಿಸಿ</v>
      </c>
      <c r="F446" s="7" t="str">
        <f>IFERROR(__xludf.DUMMYFUNCTION("GOOGLETRANSLATE(B446, ""en"", ""ml"")"),"ഫീഡ്‌ബാക്ക് അയയ്ക്കുക")</f>
        <v>ഫീഡ്‌ബാക്ക് അയയ്ക്കുക</v>
      </c>
      <c r="G446" s="7" t="str">
        <f>IFERROR(__xludf.DUMMYFUNCTION("GOOGLETRANSLATE(B446, ""en"", ""te"")"),"ఫీడ్‌బ్యాక్ పంపండి")</f>
        <v>ఫీడ్‌బ్యాక్ పంపండి</v>
      </c>
    </row>
    <row r="447">
      <c r="A447" s="11" t="s">
        <v>862</v>
      </c>
      <c r="B447" s="12" t="s">
        <v>863</v>
      </c>
      <c r="C447" s="6" t="str">
        <f>IFERROR(__xludf.DUMMYFUNCTION("GOOGLETRANSLATE(B447, ""en"", ""ta"")"),"விதிமுறைகள் மற்றும் நிபந்தனைகள்")</f>
        <v>விதிமுறைகள் மற்றும் நிபந்தனைகள்</v>
      </c>
      <c r="D447" s="6" t="str">
        <f>IFERROR(__xludf.DUMMYFUNCTION("GOOGLETRANSLATE(B447, ""en"", ""hi"")"),"नियम और शर्तें")</f>
        <v>नियम और शर्तें</v>
      </c>
      <c r="E447" s="6" t="str">
        <f>IFERROR(__xludf.DUMMYFUNCTION("GOOGLETRANSLATE(B447, ""en"", ""kn"")"),"ನಿಯಮಗಳು ಮತ್ತು ಷರತ್ತುಗಳು")</f>
        <v>ನಿಯಮಗಳು ಮತ್ತು ಷರತ್ತುಗಳು</v>
      </c>
      <c r="F447" s="7" t="str">
        <f>IFERROR(__xludf.DUMMYFUNCTION("GOOGLETRANSLATE(B447, ""en"", ""ml"")"),"ഉപാധികളും നിബന്ധനകളും")</f>
        <v>ഉപാധികളും നിബന്ധനകളും</v>
      </c>
      <c r="G447" s="7" t="str">
        <f>IFERROR(__xludf.DUMMYFUNCTION("GOOGLETRANSLATE(B447, ""en"", ""te"")"),"నిబంధనలు మరియు షరతులు")</f>
        <v>నిబంధనలు మరియు షరతులు</v>
      </c>
    </row>
    <row r="448">
      <c r="A448" s="11" t="s">
        <v>864</v>
      </c>
      <c r="B448" s="12" t="s">
        <v>865</v>
      </c>
      <c r="C448" s="6" t="str">
        <f>IFERROR(__xludf.DUMMYFUNCTION("GOOGLETRANSLATE(B448, ""en"", ""ta"")"),"தனியுரிமைக் கொள்கை")</f>
        <v>தனியுரிமைக் கொள்கை</v>
      </c>
      <c r="D448" s="6" t="str">
        <f>IFERROR(__xludf.DUMMYFUNCTION("GOOGLETRANSLATE(B448, ""en"", ""hi"")"),"गोपनीयता नीति")</f>
        <v>गोपनीयता नीति</v>
      </c>
      <c r="E448" s="6" t="str">
        <f>IFERROR(__xludf.DUMMYFUNCTION("GOOGLETRANSLATE(B448, ""en"", ""kn"")"),"ಗೌಪ್ಯತಾ ನೀತಿ")</f>
        <v>ಗೌಪ್ಯತಾ ನೀತಿ</v>
      </c>
      <c r="F448" s="7" t="str">
        <f>IFERROR(__xludf.DUMMYFUNCTION("GOOGLETRANSLATE(B448, ""en"", ""ml"")"),"സ്വകാര്യതാ നയം")</f>
        <v>സ്വകാര്യതാ നയം</v>
      </c>
      <c r="G448" s="7" t="str">
        <f>IFERROR(__xludf.DUMMYFUNCTION("GOOGLETRANSLATE(B448, ""en"", ""te"")"),"గోప్యతా విధానం")</f>
        <v>గోప్యతా విధానం</v>
      </c>
    </row>
    <row r="449">
      <c r="A449" s="11" t="s">
        <v>866</v>
      </c>
      <c r="B449" s="12" t="s">
        <v>867</v>
      </c>
      <c r="C449" s="6" t="str">
        <f>IFERROR(__xludf.DUMMYFUNCTION("GOOGLETRANSLATE(B449, ""en"", ""ta"")"),"எங்களை பற்றி")</f>
        <v>எங்களை பற்றி</v>
      </c>
      <c r="D449" s="6" t="str">
        <f>IFERROR(__xludf.DUMMYFUNCTION("GOOGLETRANSLATE(B449, ""en"", ""hi"")"),"हमारे बारे में")</f>
        <v>हमारे बारे में</v>
      </c>
      <c r="E449" s="6" t="str">
        <f>IFERROR(__xludf.DUMMYFUNCTION("GOOGLETRANSLATE(B449, ""en"", ""kn"")"),"ನಮ್ಮ ಬಗ್ಗೆ")</f>
        <v>ನಮ್ಮ ಬಗ್ಗೆ</v>
      </c>
      <c r="F449" s="7" t="str">
        <f>IFERROR(__xludf.DUMMYFUNCTION("GOOGLETRANSLATE(B449, ""en"", ""ml"")"),"ഞങ്ങളേക്കുറിച്ച്")</f>
        <v>ഞങ്ങളേക്കുറിച്ച്</v>
      </c>
      <c r="G449" s="7" t="str">
        <f>IFERROR(__xludf.DUMMYFUNCTION("GOOGLETRANSLATE(B449, ""en"", ""te"")"),"మా గురించి")</f>
        <v>మా గురించి</v>
      </c>
    </row>
    <row r="450">
      <c r="A450" s="11" t="s">
        <v>868</v>
      </c>
      <c r="B450" s="12" t="s">
        <v>869</v>
      </c>
      <c r="C450" s="6" t="str">
        <f>IFERROR(__xludf.DUMMYFUNCTION("GOOGLETRANSLATE(B450, ""en"", ""ta"")"),"மேலும் பயன்பாடுகள்")</f>
        <v>மேலும் பயன்பாடுகள்</v>
      </c>
      <c r="D450" s="6" t="str">
        <f>IFERROR(__xludf.DUMMYFUNCTION("GOOGLETRANSLATE(B450, ""en"", ""hi"")"),"और ऐप")</f>
        <v>और ऐप</v>
      </c>
      <c r="E450" s="6" t="str">
        <f>IFERROR(__xludf.DUMMYFUNCTION("GOOGLETRANSLATE(B450, ""en"", ""kn"")"),"ಇನ್ನಷ್ಟು ಅಪ್ಲಿಕೇಶನ್‌ಗಳು")</f>
        <v>ಇನ್ನಷ್ಟು ಅಪ್ಲಿಕೇಶನ್‌ಗಳು</v>
      </c>
      <c r="F450" s="7" t="str">
        <f>IFERROR(__xludf.DUMMYFUNCTION("GOOGLETRANSLATE(B450, ""en"", ""ml"")"),"കൂടുതൽ ആപ്ലിക്കേഷനുകൾ")</f>
        <v>കൂടുതൽ ആപ്ലിക്കേഷനുകൾ</v>
      </c>
      <c r="G450" s="7" t="str">
        <f>IFERROR(__xludf.DUMMYFUNCTION("GOOGLETRANSLATE(B450, ""en"", ""te"")"),"మరిన్ని యాప్‌లు")</f>
        <v>మరిన్ని యాప్‌లు</v>
      </c>
    </row>
    <row r="451">
      <c r="A451" s="4"/>
      <c r="B451" s="5"/>
      <c r="C451" s="6"/>
      <c r="D451" s="6"/>
      <c r="E451" s="6"/>
    </row>
    <row r="452">
      <c r="A452" s="4"/>
      <c r="B452" s="5"/>
      <c r="C452" s="6"/>
      <c r="D452" s="6"/>
      <c r="E452" s="6"/>
    </row>
    <row r="453">
      <c r="A453" s="4"/>
      <c r="B453" s="5"/>
      <c r="C453" s="6"/>
      <c r="D453" s="6"/>
      <c r="E453" s="6"/>
    </row>
    <row r="454">
      <c r="A454" s="4"/>
      <c r="B454" s="5"/>
      <c r="C454" s="6"/>
      <c r="D454" s="6"/>
      <c r="E454" s="6"/>
    </row>
    <row r="455">
      <c r="A455" s="4"/>
      <c r="B455" s="5"/>
      <c r="C455" s="6"/>
      <c r="D455" s="6"/>
      <c r="E455" s="6"/>
    </row>
    <row r="456">
      <c r="A456" s="4"/>
      <c r="B456" s="5"/>
      <c r="C456" s="6"/>
      <c r="D456" s="6"/>
      <c r="E456" s="6"/>
    </row>
    <row r="457">
      <c r="A457" s="4"/>
      <c r="B457" s="5"/>
      <c r="C457" s="6"/>
      <c r="D457" s="6"/>
      <c r="E457" s="6"/>
    </row>
    <row r="458">
      <c r="A458" s="4"/>
      <c r="B458" s="5"/>
      <c r="C458" s="6"/>
      <c r="D458" s="6"/>
      <c r="E458" s="6"/>
    </row>
    <row r="459">
      <c r="A459" s="4"/>
      <c r="B459" s="5"/>
      <c r="C459" s="6"/>
      <c r="D459" s="6"/>
      <c r="E459" s="6"/>
    </row>
    <row r="460">
      <c r="A460" s="4"/>
      <c r="B460" s="5"/>
      <c r="C460" s="6"/>
      <c r="D460" s="6"/>
      <c r="E460" s="6"/>
    </row>
    <row r="461">
      <c r="A461" s="4"/>
      <c r="B461" s="5"/>
      <c r="C461" s="6"/>
      <c r="D461" s="6"/>
      <c r="E461" s="6"/>
    </row>
    <row r="462">
      <c r="A462" s="4"/>
      <c r="B462" s="5"/>
      <c r="C462" s="6"/>
      <c r="D462" s="6"/>
      <c r="E462" s="6"/>
    </row>
    <row r="463">
      <c r="A463" s="4"/>
      <c r="B463" s="5"/>
      <c r="C463" s="6"/>
      <c r="D463" s="6"/>
      <c r="E463" s="6"/>
    </row>
    <row r="464">
      <c r="A464" s="4"/>
      <c r="B464" s="5"/>
      <c r="C464" s="6"/>
      <c r="D464" s="6"/>
      <c r="E464" s="6"/>
    </row>
    <row r="465">
      <c r="A465" s="4"/>
      <c r="B465" s="5"/>
      <c r="C465" s="6"/>
      <c r="D465" s="6"/>
      <c r="E465" s="6"/>
    </row>
    <row r="466">
      <c r="A466" s="4"/>
      <c r="B466" s="5"/>
      <c r="C466" s="6"/>
      <c r="D466" s="6"/>
      <c r="E466" s="6"/>
    </row>
    <row r="467">
      <c r="A467" s="4"/>
      <c r="B467" s="5"/>
      <c r="C467" s="6"/>
      <c r="D467" s="6"/>
      <c r="E467" s="6"/>
    </row>
    <row r="468">
      <c r="A468" s="4"/>
      <c r="B468" s="5"/>
      <c r="C468" s="6"/>
      <c r="D468" s="6"/>
      <c r="E468" s="6"/>
    </row>
    <row r="469">
      <c r="A469" s="4"/>
      <c r="B469" s="5"/>
      <c r="C469" s="6"/>
      <c r="D469" s="6"/>
      <c r="E469" s="6"/>
    </row>
    <row r="470">
      <c r="A470" s="4"/>
      <c r="B470" s="5"/>
      <c r="C470" s="6"/>
      <c r="D470" s="6"/>
      <c r="E470" s="6"/>
    </row>
    <row r="471">
      <c r="A471" s="4"/>
      <c r="B471" s="5"/>
      <c r="C471" s="6"/>
      <c r="D471" s="6"/>
      <c r="E471" s="6"/>
    </row>
    <row r="472">
      <c r="A472" s="4"/>
      <c r="B472" s="5"/>
      <c r="C472" s="6"/>
      <c r="D472" s="6"/>
      <c r="E472" s="6"/>
    </row>
    <row r="473">
      <c r="A473" s="4"/>
      <c r="B473" s="5"/>
      <c r="C473" s="6"/>
      <c r="D473" s="6"/>
      <c r="E473" s="6"/>
    </row>
    <row r="474">
      <c r="A474" s="4"/>
      <c r="B474" s="5"/>
      <c r="C474" s="6"/>
      <c r="D474" s="6"/>
      <c r="E474" s="6"/>
    </row>
    <row r="475">
      <c r="A475" s="4"/>
      <c r="B475" s="5"/>
      <c r="C475" s="6"/>
      <c r="D475" s="6"/>
      <c r="E475" s="6"/>
    </row>
    <row r="476">
      <c r="A476" s="4"/>
      <c r="B476" s="5"/>
      <c r="C476" s="6"/>
      <c r="D476" s="6"/>
      <c r="E476" s="6"/>
    </row>
    <row r="477">
      <c r="A477" s="4"/>
      <c r="B477" s="5"/>
      <c r="C477" s="6"/>
      <c r="D477" s="6"/>
      <c r="E477" s="6"/>
    </row>
    <row r="478">
      <c r="A478" s="4"/>
      <c r="B478" s="5"/>
      <c r="C478" s="6"/>
      <c r="D478" s="6"/>
      <c r="E478" s="6"/>
    </row>
    <row r="479">
      <c r="A479" s="4"/>
      <c r="B479" s="5"/>
      <c r="C479" s="6"/>
      <c r="D479" s="6"/>
      <c r="E479" s="6"/>
    </row>
    <row r="480">
      <c r="A480" s="4"/>
      <c r="B480" s="5"/>
      <c r="C480" s="6"/>
      <c r="D480" s="6"/>
      <c r="E480" s="6"/>
    </row>
    <row r="481">
      <c r="A481" s="4"/>
      <c r="B481" s="5"/>
      <c r="C481" s="6"/>
      <c r="D481" s="6"/>
      <c r="E481" s="6"/>
    </row>
    <row r="482">
      <c r="A482" s="4"/>
      <c r="B482" s="5"/>
      <c r="C482" s="6"/>
      <c r="D482" s="6"/>
      <c r="E482" s="6"/>
    </row>
    <row r="483">
      <c r="A483" s="4"/>
      <c r="B483" s="5"/>
      <c r="C483" s="6"/>
      <c r="D483" s="6"/>
      <c r="E483" s="6"/>
    </row>
    <row r="484">
      <c r="A484" s="4"/>
      <c r="B484" s="5"/>
      <c r="C484" s="6"/>
      <c r="D484" s="6"/>
      <c r="E484" s="6"/>
    </row>
    <row r="485">
      <c r="A485" s="4"/>
      <c r="B485" s="5"/>
      <c r="C485" s="6"/>
      <c r="D485" s="6"/>
      <c r="E485" s="6"/>
    </row>
    <row r="486">
      <c r="A486" s="4"/>
      <c r="B486" s="5"/>
      <c r="C486" s="6"/>
      <c r="D486" s="6"/>
      <c r="E486" s="6"/>
    </row>
    <row r="487">
      <c r="A487" s="4"/>
      <c r="B487" s="5"/>
      <c r="C487" s="6"/>
      <c r="D487" s="6"/>
      <c r="E487" s="6"/>
    </row>
    <row r="488">
      <c r="A488" s="4"/>
      <c r="B488" s="5"/>
      <c r="C488" s="6"/>
      <c r="D488" s="6"/>
      <c r="E488" s="6"/>
    </row>
    <row r="489">
      <c r="A489" s="4"/>
      <c r="B489" s="5"/>
      <c r="C489" s="6"/>
      <c r="D489" s="6"/>
      <c r="E489" s="6"/>
    </row>
    <row r="490">
      <c r="A490" s="4"/>
      <c r="B490" s="5"/>
      <c r="C490" s="6"/>
      <c r="D490" s="6"/>
      <c r="E490" s="6"/>
    </row>
    <row r="491">
      <c r="A491" s="4"/>
      <c r="B491" s="5"/>
      <c r="C491" s="6"/>
      <c r="D491" s="6"/>
      <c r="E491" s="6"/>
    </row>
    <row r="492">
      <c r="A492" s="4"/>
      <c r="B492" s="5"/>
      <c r="C492" s="6"/>
      <c r="D492" s="6"/>
      <c r="E492" s="6"/>
    </row>
    <row r="493">
      <c r="A493" s="4"/>
      <c r="B493" s="5"/>
      <c r="C493" s="6"/>
      <c r="D493" s="6"/>
      <c r="E493" s="6"/>
    </row>
    <row r="494">
      <c r="A494" s="4"/>
      <c r="B494" s="5"/>
      <c r="C494" s="6"/>
      <c r="D494" s="6"/>
      <c r="E494" s="6"/>
    </row>
    <row r="495">
      <c r="A495" s="4"/>
      <c r="B495" s="5"/>
      <c r="C495" s="6"/>
      <c r="D495" s="6"/>
      <c r="E495" s="6"/>
    </row>
    <row r="496">
      <c r="A496" s="4"/>
      <c r="B496" s="5"/>
      <c r="C496" s="6"/>
      <c r="D496" s="6"/>
      <c r="E496" s="6"/>
    </row>
    <row r="497">
      <c r="A497" s="4"/>
      <c r="B497" s="5"/>
      <c r="C497" s="6"/>
      <c r="D497" s="6"/>
      <c r="E497" s="6"/>
    </row>
    <row r="498">
      <c r="A498" s="4"/>
      <c r="B498" s="5"/>
      <c r="C498" s="6"/>
      <c r="D498" s="6"/>
      <c r="E498" s="6"/>
    </row>
    <row r="499">
      <c r="A499" s="4"/>
      <c r="B499" s="5"/>
      <c r="C499" s="6"/>
      <c r="D499" s="6"/>
      <c r="E499" s="6"/>
    </row>
    <row r="500">
      <c r="A500" s="4"/>
      <c r="B500" s="5"/>
      <c r="C500" s="6"/>
      <c r="D500" s="6"/>
      <c r="E500" s="6"/>
    </row>
    <row r="501">
      <c r="A501" s="4"/>
      <c r="B501" s="5"/>
      <c r="C501" s="6"/>
      <c r="D501" s="6"/>
      <c r="E501" s="6"/>
    </row>
    <row r="502">
      <c r="A502" s="4"/>
      <c r="B502" s="5"/>
      <c r="C502" s="6"/>
      <c r="D502" s="6"/>
      <c r="E502" s="6"/>
    </row>
    <row r="503">
      <c r="A503" s="4"/>
      <c r="B503" s="5"/>
      <c r="C503" s="6"/>
      <c r="D503" s="6"/>
      <c r="E503" s="6"/>
    </row>
    <row r="504">
      <c r="A504" s="4"/>
      <c r="B504" s="5"/>
      <c r="C504" s="6"/>
      <c r="D504" s="6"/>
      <c r="E504" s="6"/>
    </row>
    <row r="505">
      <c r="A505" s="4"/>
      <c r="B505" s="5"/>
      <c r="C505" s="6"/>
      <c r="D505" s="6"/>
      <c r="E505" s="6"/>
    </row>
    <row r="506">
      <c r="A506" s="4"/>
      <c r="B506" s="5"/>
      <c r="C506" s="6"/>
      <c r="D506" s="6"/>
      <c r="E506" s="6"/>
    </row>
    <row r="507">
      <c r="A507" s="4"/>
      <c r="B507" s="5"/>
      <c r="C507" s="6"/>
      <c r="D507" s="6"/>
      <c r="E507" s="6"/>
    </row>
    <row r="508">
      <c r="A508" s="4"/>
      <c r="B508" s="5"/>
      <c r="C508" s="6"/>
      <c r="D508" s="6"/>
      <c r="E508" s="6"/>
    </row>
    <row r="509">
      <c r="A509" s="4"/>
      <c r="B509" s="5"/>
      <c r="C509" s="6"/>
      <c r="D509" s="6"/>
      <c r="E509" s="6"/>
    </row>
    <row r="510">
      <c r="A510" s="4"/>
      <c r="B510" s="5"/>
      <c r="C510" s="6"/>
      <c r="D510" s="6"/>
      <c r="E510" s="6"/>
    </row>
    <row r="511">
      <c r="A511" s="4"/>
      <c r="B511" s="5"/>
      <c r="C511" s="6"/>
      <c r="D511" s="6"/>
      <c r="E511" s="6"/>
    </row>
    <row r="512">
      <c r="A512" s="4"/>
      <c r="B512" s="5"/>
      <c r="C512" s="6"/>
      <c r="D512" s="6"/>
      <c r="E512" s="6"/>
    </row>
    <row r="513">
      <c r="A513" s="4"/>
      <c r="B513" s="5"/>
      <c r="C513" s="6"/>
      <c r="D513" s="6"/>
      <c r="E513" s="6"/>
    </row>
    <row r="514">
      <c r="A514" s="4"/>
      <c r="B514" s="5"/>
      <c r="C514" s="6"/>
      <c r="D514" s="6"/>
      <c r="E514" s="6"/>
    </row>
    <row r="515">
      <c r="A515" s="4"/>
      <c r="B515" s="5"/>
      <c r="C515" s="6"/>
      <c r="D515" s="6"/>
      <c r="E515" s="6"/>
    </row>
    <row r="516">
      <c r="A516" s="4"/>
      <c r="B516" s="5"/>
      <c r="C516" s="6"/>
      <c r="D516" s="6"/>
      <c r="E516" s="6"/>
    </row>
    <row r="517">
      <c r="A517" s="4"/>
      <c r="B517" s="5"/>
      <c r="C517" s="6"/>
      <c r="D517" s="6"/>
      <c r="E517" s="6"/>
    </row>
    <row r="518">
      <c r="A518" s="4"/>
      <c r="B518" s="5"/>
      <c r="C518" s="6"/>
      <c r="D518" s="6"/>
      <c r="E518" s="6"/>
    </row>
    <row r="519">
      <c r="A519" s="4"/>
      <c r="B519" s="5"/>
      <c r="C519" s="6"/>
      <c r="D519" s="6"/>
      <c r="E519" s="6"/>
    </row>
    <row r="520">
      <c r="A520" s="4"/>
      <c r="B520" s="5"/>
      <c r="C520" s="6"/>
      <c r="D520" s="6"/>
      <c r="E520" s="6"/>
    </row>
    <row r="521">
      <c r="A521" s="4"/>
      <c r="B521" s="5"/>
      <c r="C521" s="6"/>
      <c r="D521" s="6"/>
      <c r="E521" s="6"/>
    </row>
    <row r="522">
      <c r="A522" s="4"/>
      <c r="B522" s="5"/>
      <c r="C522" s="6"/>
      <c r="D522" s="6"/>
      <c r="E522" s="6"/>
    </row>
    <row r="523">
      <c r="A523" s="4"/>
      <c r="B523" s="5"/>
      <c r="C523" s="6"/>
      <c r="D523" s="6"/>
      <c r="E523" s="6"/>
    </row>
    <row r="524">
      <c r="A524" s="4"/>
      <c r="B524" s="5"/>
      <c r="C524" s="6"/>
      <c r="D524" s="6"/>
      <c r="E524" s="6"/>
    </row>
    <row r="525">
      <c r="A525" s="4"/>
      <c r="B525" s="5"/>
      <c r="C525" s="6"/>
      <c r="D525" s="6"/>
      <c r="E525" s="6"/>
    </row>
    <row r="526">
      <c r="A526" s="4"/>
      <c r="B526" s="5"/>
      <c r="C526" s="6"/>
      <c r="D526" s="6"/>
      <c r="E526" s="6"/>
    </row>
    <row r="527">
      <c r="A527" s="4"/>
      <c r="B527" s="5"/>
      <c r="C527" s="6"/>
      <c r="D527" s="6"/>
      <c r="E527" s="6"/>
    </row>
    <row r="528">
      <c r="A528" s="4"/>
      <c r="B528" s="5"/>
      <c r="C528" s="6"/>
      <c r="D528" s="6"/>
      <c r="E528" s="6"/>
    </row>
    <row r="529">
      <c r="A529" s="4"/>
      <c r="B529" s="5"/>
      <c r="C529" s="6"/>
      <c r="D529" s="6"/>
      <c r="E529" s="6"/>
    </row>
    <row r="530">
      <c r="A530" s="4"/>
      <c r="B530" s="5"/>
      <c r="C530" s="6"/>
      <c r="D530" s="6"/>
      <c r="E530" s="6"/>
    </row>
    <row r="531">
      <c r="A531" s="4"/>
      <c r="B531" s="5"/>
      <c r="C531" s="6"/>
      <c r="D531" s="6"/>
      <c r="E531" s="6"/>
    </row>
    <row r="532">
      <c r="A532" s="4"/>
      <c r="B532" s="5"/>
      <c r="C532" s="6"/>
      <c r="D532" s="6"/>
      <c r="E532" s="6"/>
    </row>
    <row r="533">
      <c r="A533" s="4"/>
      <c r="B533" s="5"/>
      <c r="C533" s="6"/>
      <c r="D533" s="6"/>
      <c r="E533" s="6"/>
    </row>
    <row r="534">
      <c r="A534" s="4"/>
      <c r="B534" s="5"/>
      <c r="C534" s="6"/>
      <c r="D534" s="6"/>
      <c r="E534" s="6"/>
    </row>
    <row r="535">
      <c r="A535" s="4"/>
      <c r="B535" s="5"/>
      <c r="C535" s="6"/>
      <c r="D535" s="6"/>
      <c r="E535" s="6"/>
    </row>
    <row r="536">
      <c r="A536" s="4"/>
      <c r="B536" s="5"/>
      <c r="C536" s="6"/>
      <c r="D536" s="6"/>
      <c r="E536" s="6"/>
    </row>
    <row r="537">
      <c r="A537" s="4"/>
      <c r="B537" s="5"/>
      <c r="C537" s="6"/>
      <c r="D537" s="6"/>
      <c r="E537" s="6"/>
    </row>
    <row r="538">
      <c r="A538" s="4"/>
      <c r="B538" s="5"/>
      <c r="C538" s="6"/>
      <c r="D538" s="6"/>
      <c r="E538" s="6"/>
    </row>
    <row r="539">
      <c r="A539" s="4"/>
      <c r="B539" s="5"/>
      <c r="C539" s="6"/>
      <c r="D539" s="6"/>
      <c r="E539" s="6"/>
    </row>
    <row r="540">
      <c r="A540" s="4"/>
      <c r="B540" s="5"/>
      <c r="C540" s="6"/>
      <c r="D540" s="6"/>
      <c r="E540" s="6"/>
    </row>
    <row r="541">
      <c r="A541" s="4"/>
      <c r="B541" s="5"/>
      <c r="C541" s="6"/>
      <c r="D541" s="6"/>
      <c r="E541" s="6"/>
    </row>
    <row r="542">
      <c r="A542" s="4"/>
      <c r="B542" s="5"/>
      <c r="C542" s="6"/>
      <c r="D542" s="6"/>
      <c r="E542" s="6"/>
    </row>
    <row r="543">
      <c r="A543" s="4"/>
      <c r="B543" s="5"/>
      <c r="C543" s="6"/>
      <c r="D543" s="6"/>
      <c r="E543" s="6"/>
    </row>
    <row r="544">
      <c r="A544" s="4"/>
      <c r="B544" s="5"/>
      <c r="C544" s="6"/>
      <c r="D544" s="6"/>
      <c r="E544" s="6"/>
    </row>
    <row r="545">
      <c r="A545" s="4"/>
      <c r="B545" s="5"/>
      <c r="C545" s="6"/>
      <c r="D545" s="6"/>
      <c r="E545" s="6"/>
    </row>
    <row r="546">
      <c r="A546" s="4"/>
      <c r="B546" s="5"/>
      <c r="C546" s="6"/>
      <c r="D546" s="6"/>
      <c r="E546" s="6"/>
    </row>
    <row r="547">
      <c r="A547" s="4"/>
      <c r="B547" s="5"/>
      <c r="C547" s="6"/>
      <c r="D547" s="6"/>
      <c r="E547" s="6"/>
    </row>
    <row r="548">
      <c r="A548" s="4"/>
      <c r="B548" s="5"/>
      <c r="C548" s="6"/>
      <c r="D548" s="6"/>
      <c r="E548" s="6"/>
    </row>
    <row r="549">
      <c r="A549" s="4"/>
      <c r="B549" s="5"/>
      <c r="C549" s="6"/>
      <c r="D549" s="6"/>
      <c r="E549" s="6"/>
    </row>
    <row r="550">
      <c r="A550" s="4"/>
      <c r="B550" s="5"/>
      <c r="C550" s="6"/>
      <c r="D550" s="6"/>
      <c r="E550" s="6"/>
    </row>
    <row r="551">
      <c r="A551" s="4"/>
      <c r="B551" s="5"/>
      <c r="C551" s="6"/>
      <c r="D551" s="6"/>
      <c r="E551" s="6"/>
    </row>
    <row r="552">
      <c r="A552" s="4"/>
      <c r="B552" s="5"/>
      <c r="C552" s="6"/>
      <c r="D552" s="6"/>
      <c r="E552" s="6"/>
    </row>
    <row r="553">
      <c r="A553" s="4"/>
      <c r="B553" s="5"/>
      <c r="C553" s="6"/>
      <c r="D553" s="6"/>
      <c r="E553" s="6"/>
    </row>
    <row r="554">
      <c r="A554" s="4"/>
      <c r="B554" s="5"/>
      <c r="C554" s="6"/>
      <c r="D554" s="6"/>
      <c r="E554" s="6"/>
    </row>
    <row r="555">
      <c r="A555" s="4"/>
      <c r="B555" s="5"/>
      <c r="C555" s="6"/>
      <c r="D555" s="6"/>
      <c r="E555" s="6"/>
    </row>
    <row r="556">
      <c r="A556" s="4"/>
      <c r="B556" s="5"/>
      <c r="C556" s="6"/>
      <c r="D556" s="6"/>
      <c r="E556" s="6"/>
    </row>
    <row r="557">
      <c r="A557" s="4"/>
      <c r="B557" s="5"/>
      <c r="C557" s="6"/>
      <c r="D557" s="6"/>
      <c r="E557" s="6"/>
    </row>
    <row r="558">
      <c r="A558" s="4"/>
      <c r="B558" s="5"/>
      <c r="C558" s="6"/>
      <c r="D558" s="6"/>
      <c r="E558" s="6"/>
    </row>
    <row r="559">
      <c r="A559" s="4"/>
      <c r="B559" s="5"/>
      <c r="C559" s="6"/>
      <c r="D559" s="6"/>
      <c r="E559" s="6"/>
    </row>
    <row r="560">
      <c r="A560" s="4"/>
      <c r="B560" s="5"/>
      <c r="C560" s="6"/>
      <c r="D560" s="6"/>
      <c r="E560" s="6"/>
    </row>
    <row r="561">
      <c r="A561" s="4"/>
      <c r="B561" s="5"/>
      <c r="C561" s="6"/>
      <c r="D561" s="6"/>
      <c r="E561" s="6"/>
    </row>
    <row r="562">
      <c r="A562" s="4"/>
      <c r="B562" s="5"/>
      <c r="C562" s="6"/>
      <c r="D562" s="6"/>
      <c r="E562" s="6"/>
    </row>
    <row r="563">
      <c r="A563" s="4"/>
      <c r="B563" s="5"/>
      <c r="C563" s="6"/>
      <c r="D563" s="6"/>
      <c r="E563" s="6"/>
    </row>
    <row r="564">
      <c r="A564" s="4"/>
      <c r="B564" s="5"/>
      <c r="C564" s="6"/>
      <c r="D564" s="6"/>
      <c r="E564" s="6"/>
    </row>
    <row r="565">
      <c r="A565" s="4"/>
      <c r="B565" s="5"/>
      <c r="C565" s="6"/>
      <c r="D565" s="6"/>
      <c r="E565" s="6"/>
    </row>
    <row r="566">
      <c r="A566" s="4"/>
      <c r="B566" s="5"/>
      <c r="C566" s="6"/>
      <c r="D566" s="6"/>
      <c r="E566" s="6"/>
    </row>
    <row r="567">
      <c r="A567" s="4"/>
      <c r="B567" s="5"/>
      <c r="C567" s="6"/>
      <c r="D567" s="6"/>
      <c r="E567" s="6"/>
    </row>
    <row r="568">
      <c r="A568" s="4"/>
      <c r="B568" s="5"/>
      <c r="C568" s="6"/>
      <c r="D568" s="6"/>
      <c r="E568" s="6"/>
    </row>
    <row r="569">
      <c r="A569" s="4"/>
      <c r="B569" s="5"/>
      <c r="C569" s="6"/>
      <c r="D569" s="6"/>
      <c r="E569" s="6"/>
    </row>
    <row r="570">
      <c r="A570" s="4"/>
      <c r="B570" s="5"/>
      <c r="C570" s="6"/>
      <c r="D570" s="6"/>
      <c r="E570" s="6"/>
    </row>
    <row r="571">
      <c r="A571" s="4"/>
      <c r="B571" s="5"/>
      <c r="C571" s="6"/>
      <c r="D571" s="6"/>
      <c r="E571" s="6"/>
    </row>
    <row r="572">
      <c r="A572" s="4"/>
      <c r="B572" s="5"/>
      <c r="C572" s="6"/>
      <c r="D572" s="6"/>
      <c r="E572" s="6"/>
    </row>
    <row r="573">
      <c r="A573" s="4"/>
      <c r="B573" s="5"/>
      <c r="C573" s="6"/>
      <c r="D573" s="6"/>
      <c r="E573" s="6"/>
    </row>
    <row r="574">
      <c r="A574" s="4"/>
      <c r="B574" s="5"/>
      <c r="C574" s="6"/>
      <c r="D574" s="6"/>
      <c r="E574" s="6"/>
    </row>
    <row r="575">
      <c r="A575" s="4"/>
      <c r="B575" s="5"/>
      <c r="C575" s="6"/>
      <c r="D575" s="6"/>
      <c r="E575" s="6"/>
    </row>
    <row r="576">
      <c r="A576" s="4"/>
      <c r="B576" s="5"/>
      <c r="C576" s="6"/>
      <c r="D576" s="6"/>
      <c r="E576" s="6"/>
    </row>
    <row r="577">
      <c r="A577" s="4"/>
      <c r="B577" s="5"/>
      <c r="C577" s="6"/>
      <c r="D577" s="6"/>
      <c r="E577" s="6"/>
    </row>
    <row r="578">
      <c r="A578" s="4"/>
      <c r="B578" s="5"/>
      <c r="C578" s="6"/>
      <c r="D578" s="6"/>
      <c r="E578" s="6"/>
    </row>
    <row r="579">
      <c r="A579" s="4"/>
      <c r="B579" s="5"/>
      <c r="C579" s="6"/>
      <c r="D579" s="6"/>
      <c r="E579" s="6"/>
    </row>
    <row r="580">
      <c r="A580" s="4"/>
      <c r="B580" s="5"/>
      <c r="C580" s="6"/>
      <c r="D580" s="6"/>
      <c r="E580" s="6"/>
    </row>
    <row r="581">
      <c r="A581" s="4"/>
      <c r="B581" s="5"/>
      <c r="C581" s="6"/>
      <c r="D581" s="6"/>
      <c r="E581" s="6"/>
    </row>
    <row r="582">
      <c r="A582" s="4"/>
      <c r="B582" s="5"/>
      <c r="C582" s="6"/>
      <c r="D582" s="6"/>
      <c r="E582" s="6"/>
    </row>
    <row r="583">
      <c r="A583" s="4"/>
      <c r="B583" s="5"/>
      <c r="C583" s="6"/>
      <c r="D583" s="6"/>
      <c r="E583" s="6"/>
    </row>
    <row r="584">
      <c r="A584" s="4"/>
      <c r="B584" s="5"/>
      <c r="C584" s="6"/>
      <c r="D584" s="6"/>
      <c r="E584" s="6"/>
    </row>
    <row r="585">
      <c r="A585" s="4"/>
      <c r="B585" s="5"/>
      <c r="C585" s="6"/>
      <c r="D585" s="6"/>
      <c r="E585" s="6"/>
    </row>
    <row r="586">
      <c r="A586" s="4"/>
      <c r="B586" s="5"/>
      <c r="C586" s="6"/>
      <c r="D586" s="6"/>
      <c r="E586" s="6"/>
    </row>
    <row r="587">
      <c r="A587" s="4"/>
      <c r="B587" s="5"/>
      <c r="C587" s="6"/>
      <c r="D587" s="6"/>
      <c r="E587" s="6"/>
    </row>
    <row r="588">
      <c r="A588" s="4"/>
      <c r="B588" s="5"/>
      <c r="C588" s="6"/>
      <c r="D588" s="6"/>
      <c r="E588" s="6"/>
    </row>
    <row r="589">
      <c r="A589" s="4"/>
      <c r="B589" s="5"/>
      <c r="C589" s="6"/>
      <c r="D589" s="6"/>
      <c r="E589" s="6"/>
    </row>
    <row r="590">
      <c r="A590" s="4"/>
      <c r="B590" s="5"/>
      <c r="C590" s="6"/>
      <c r="D590" s="6"/>
      <c r="E590" s="6"/>
    </row>
    <row r="591">
      <c r="A591" s="4"/>
      <c r="B591" s="5"/>
      <c r="C591" s="6"/>
      <c r="D591" s="6"/>
      <c r="E591" s="6"/>
    </row>
    <row r="592">
      <c r="A592" s="15"/>
      <c r="B592" s="5"/>
      <c r="C592" s="6"/>
      <c r="D592" s="6"/>
      <c r="E592" s="6"/>
    </row>
    <row r="593">
      <c r="A593" s="4"/>
      <c r="B593" s="5"/>
      <c r="C593" s="6"/>
      <c r="D593" s="6"/>
      <c r="E593" s="6"/>
    </row>
    <row r="594">
      <c r="A594" s="4"/>
      <c r="B594" s="5"/>
      <c r="C594" s="6"/>
      <c r="D594" s="6"/>
      <c r="E594" s="6"/>
    </row>
    <row r="595">
      <c r="A595" s="4"/>
      <c r="B595" s="5"/>
      <c r="C595" s="6"/>
      <c r="D595" s="6"/>
      <c r="E595" s="6"/>
    </row>
    <row r="596">
      <c r="A596" s="4"/>
      <c r="B596" s="5"/>
      <c r="C596" s="6"/>
      <c r="D596" s="6"/>
      <c r="E596" s="6"/>
    </row>
    <row r="597">
      <c r="A597" s="4"/>
      <c r="B597" s="5"/>
      <c r="C597" s="6"/>
      <c r="D597" s="6"/>
      <c r="E597" s="6"/>
    </row>
    <row r="598">
      <c r="A598" s="4"/>
      <c r="B598" s="5"/>
      <c r="C598" s="6"/>
      <c r="D598" s="6"/>
      <c r="E598" s="6"/>
    </row>
    <row r="599">
      <c r="A599" s="4"/>
      <c r="B599" s="5"/>
      <c r="C599" s="6"/>
      <c r="D599" s="6"/>
      <c r="E599" s="6"/>
    </row>
    <row r="600">
      <c r="A600" s="4"/>
      <c r="B600" s="5"/>
      <c r="C600" s="6"/>
      <c r="D600" s="6"/>
      <c r="E600" s="6"/>
    </row>
    <row r="601">
      <c r="A601" s="4"/>
      <c r="B601" s="5"/>
      <c r="C601" s="6"/>
      <c r="D601" s="6"/>
      <c r="E601" s="6"/>
    </row>
    <row r="602">
      <c r="A602" s="4"/>
      <c r="B602" s="5"/>
      <c r="C602" s="6"/>
      <c r="D602" s="6"/>
      <c r="E602" s="6"/>
    </row>
    <row r="603">
      <c r="A603" s="4"/>
      <c r="B603" s="5"/>
      <c r="C603" s="6"/>
      <c r="D603" s="6"/>
      <c r="E603" s="6"/>
    </row>
    <row r="604">
      <c r="A604" s="4"/>
      <c r="B604" s="5"/>
      <c r="C604" s="6"/>
      <c r="D604" s="6"/>
      <c r="E604" s="6"/>
    </row>
    <row r="605">
      <c r="A605" s="4"/>
      <c r="B605" s="5"/>
      <c r="C605" s="6"/>
      <c r="D605" s="6"/>
      <c r="E605" s="6"/>
    </row>
    <row r="606">
      <c r="A606" s="4"/>
      <c r="B606" s="5"/>
      <c r="C606" s="6"/>
      <c r="D606" s="6"/>
      <c r="E606" s="6"/>
    </row>
    <row r="607">
      <c r="A607" s="4"/>
      <c r="B607" s="5"/>
      <c r="C607" s="6"/>
      <c r="D607" s="6"/>
      <c r="E607" s="6"/>
    </row>
    <row r="608">
      <c r="A608" s="4"/>
      <c r="B608" s="5"/>
      <c r="C608" s="6"/>
      <c r="D608" s="6"/>
      <c r="E608" s="6"/>
    </row>
    <row r="609">
      <c r="A609" s="4"/>
      <c r="B609" s="5"/>
      <c r="C609" s="6"/>
      <c r="D609" s="6"/>
      <c r="E609" s="6"/>
    </row>
    <row r="610">
      <c r="A610" s="4"/>
      <c r="B610" s="5"/>
      <c r="C610" s="6"/>
      <c r="D610" s="6"/>
      <c r="E610" s="6"/>
    </row>
    <row r="611">
      <c r="A611" s="4"/>
      <c r="B611" s="5"/>
      <c r="C611" s="6"/>
      <c r="D611" s="6"/>
      <c r="E611" s="6"/>
    </row>
    <row r="612">
      <c r="A612" s="4"/>
      <c r="B612" s="5"/>
      <c r="C612" s="6"/>
      <c r="D612" s="6"/>
      <c r="E612" s="6"/>
    </row>
    <row r="613">
      <c r="A613" s="4"/>
      <c r="B613" s="5"/>
      <c r="C613" s="6"/>
      <c r="D613" s="6"/>
      <c r="E613" s="6"/>
    </row>
    <row r="614">
      <c r="A614" s="4"/>
      <c r="B614" s="5"/>
      <c r="C614" s="6"/>
      <c r="D614" s="6"/>
      <c r="E614" s="6"/>
    </row>
    <row r="615">
      <c r="A615" s="4"/>
      <c r="B615" s="5"/>
      <c r="C615" s="6"/>
      <c r="D615" s="6"/>
      <c r="E615" s="6"/>
    </row>
    <row r="616">
      <c r="A616" s="4"/>
      <c r="B616" s="5"/>
      <c r="C616" s="6"/>
      <c r="D616" s="6"/>
      <c r="E616" s="6"/>
    </row>
    <row r="617">
      <c r="A617" s="4"/>
      <c r="B617" s="5"/>
      <c r="C617" s="6"/>
      <c r="D617" s="6"/>
      <c r="E617" s="6"/>
    </row>
    <row r="618">
      <c r="A618" s="4"/>
      <c r="B618" s="5"/>
      <c r="C618" s="6"/>
      <c r="D618" s="6"/>
      <c r="E618" s="6"/>
    </row>
    <row r="619">
      <c r="A619" s="4"/>
      <c r="B619" s="5"/>
      <c r="C619" s="6"/>
      <c r="D619" s="6"/>
      <c r="E619" s="6"/>
    </row>
    <row r="620">
      <c r="A620" s="4"/>
      <c r="B620" s="5"/>
      <c r="C620" s="6"/>
      <c r="D620" s="6"/>
      <c r="E620" s="6"/>
    </row>
    <row r="621">
      <c r="A621" s="4"/>
      <c r="B621" s="5"/>
      <c r="C621" s="6"/>
      <c r="D621" s="6"/>
      <c r="E621" s="6"/>
    </row>
    <row r="622">
      <c r="A622" s="4"/>
      <c r="B622" s="5"/>
      <c r="C622" s="6"/>
      <c r="D622" s="6"/>
      <c r="E622" s="6"/>
    </row>
    <row r="623">
      <c r="A623" s="4"/>
      <c r="B623" s="5"/>
      <c r="C623" s="6"/>
      <c r="D623" s="6"/>
      <c r="E623" s="6"/>
    </row>
    <row r="624">
      <c r="A624" s="4"/>
      <c r="B624" s="5"/>
      <c r="C624" s="6"/>
      <c r="D624" s="6"/>
      <c r="E624" s="6"/>
    </row>
    <row r="625">
      <c r="A625" s="4"/>
      <c r="B625" s="5"/>
      <c r="C625" s="6"/>
      <c r="D625" s="6"/>
      <c r="E625" s="6"/>
    </row>
    <row r="626">
      <c r="A626" s="4"/>
      <c r="B626" s="5"/>
      <c r="C626" s="6"/>
      <c r="D626" s="6"/>
      <c r="E626" s="6"/>
    </row>
    <row r="627">
      <c r="A627" s="4"/>
      <c r="B627" s="5"/>
      <c r="C627" s="6"/>
      <c r="D627" s="6"/>
      <c r="E627" s="6"/>
    </row>
    <row r="628">
      <c r="A628" s="4"/>
      <c r="B628" s="5"/>
      <c r="C628" s="6"/>
      <c r="D628" s="6"/>
      <c r="E628" s="6"/>
    </row>
    <row r="629">
      <c r="A629" s="4"/>
      <c r="B629" s="5"/>
      <c r="C629" s="6"/>
      <c r="D629" s="6"/>
      <c r="E629" s="6"/>
    </row>
    <row r="630">
      <c r="A630" s="4"/>
      <c r="B630" s="5"/>
      <c r="C630" s="6"/>
      <c r="D630" s="6"/>
      <c r="E630" s="6"/>
    </row>
    <row r="631">
      <c r="A631" s="4"/>
      <c r="B631" s="5"/>
      <c r="C631" s="6"/>
      <c r="D631" s="6"/>
      <c r="E631" s="6"/>
    </row>
    <row r="632">
      <c r="A632" s="4"/>
      <c r="B632" s="5"/>
      <c r="C632" s="6"/>
      <c r="D632" s="6"/>
      <c r="E632" s="6"/>
    </row>
    <row r="633">
      <c r="A633" s="4"/>
      <c r="B633" s="5"/>
      <c r="C633" s="6"/>
      <c r="D633" s="6"/>
      <c r="E633" s="6"/>
    </row>
    <row r="634">
      <c r="A634" s="4"/>
      <c r="B634" s="5"/>
      <c r="C634" s="6"/>
      <c r="D634" s="6"/>
      <c r="E634" s="6"/>
    </row>
    <row r="635">
      <c r="A635" s="4"/>
      <c r="B635" s="5"/>
      <c r="C635" s="6"/>
      <c r="D635" s="6"/>
      <c r="E635" s="6"/>
    </row>
    <row r="636">
      <c r="A636" s="4"/>
      <c r="B636" s="5"/>
      <c r="C636" s="6"/>
      <c r="D636" s="6"/>
      <c r="E636" s="6"/>
    </row>
    <row r="637">
      <c r="A637" s="4"/>
      <c r="B637" s="5"/>
      <c r="C637" s="6"/>
      <c r="D637" s="6"/>
      <c r="E637" s="6"/>
    </row>
    <row r="638">
      <c r="A638" s="4"/>
      <c r="B638" s="5"/>
      <c r="C638" s="6"/>
      <c r="D638" s="6"/>
      <c r="E638" s="6"/>
    </row>
    <row r="639">
      <c r="A639" s="4"/>
      <c r="B639" s="5"/>
      <c r="C639" s="6"/>
      <c r="D639" s="6"/>
      <c r="E639" s="6"/>
    </row>
    <row r="640">
      <c r="A640" s="4"/>
      <c r="B640" s="5"/>
      <c r="C640" s="6"/>
      <c r="D640" s="6"/>
      <c r="E640" s="6"/>
    </row>
    <row r="641">
      <c r="A641" s="4"/>
      <c r="B641" s="5"/>
      <c r="C641" s="6"/>
      <c r="D641" s="6"/>
      <c r="E641" s="6"/>
    </row>
    <row r="642">
      <c r="A642" s="4"/>
      <c r="B642" s="5"/>
      <c r="C642" s="6"/>
      <c r="D642" s="6"/>
      <c r="E642" s="6"/>
    </row>
    <row r="643">
      <c r="A643" s="4"/>
      <c r="B643" s="5"/>
      <c r="C643" s="6"/>
      <c r="D643" s="6"/>
      <c r="E643" s="6"/>
    </row>
    <row r="644">
      <c r="A644" s="4"/>
      <c r="B644" s="5"/>
      <c r="C644" s="6"/>
      <c r="D644" s="6"/>
      <c r="E644" s="6"/>
    </row>
    <row r="645">
      <c r="A645" s="4"/>
      <c r="B645" s="5"/>
      <c r="C645" s="6"/>
      <c r="D645" s="6"/>
      <c r="E645" s="6"/>
    </row>
    <row r="646">
      <c r="A646" s="4"/>
      <c r="B646" s="5"/>
      <c r="C646" s="6"/>
      <c r="D646" s="6"/>
      <c r="E646" s="6"/>
    </row>
    <row r="647">
      <c r="A647" s="4"/>
      <c r="B647" s="5"/>
      <c r="C647" s="6"/>
      <c r="D647" s="6"/>
      <c r="E647" s="6"/>
    </row>
    <row r="648">
      <c r="A648" s="4"/>
      <c r="B648" s="5"/>
      <c r="C648" s="6"/>
      <c r="D648" s="6"/>
      <c r="E648" s="6"/>
    </row>
    <row r="649">
      <c r="A649" s="4"/>
      <c r="B649" s="5"/>
      <c r="C649" s="6"/>
      <c r="D649" s="6"/>
      <c r="E649" s="6"/>
    </row>
    <row r="650">
      <c r="A650" s="4"/>
      <c r="B650" s="5"/>
      <c r="C650" s="6"/>
      <c r="D650" s="6"/>
      <c r="E650" s="6"/>
    </row>
    <row r="651">
      <c r="A651" s="4"/>
      <c r="B651" s="5"/>
      <c r="C651" s="6"/>
      <c r="D651" s="6"/>
      <c r="E651" s="6"/>
    </row>
    <row r="652">
      <c r="A652" s="4"/>
      <c r="B652" s="5"/>
      <c r="C652" s="6"/>
      <c r="D652" s="6"/>
      <c r="E652" s="6"/>
    </row>
    <row r="653">
      <c r="A653" s="4"/>
      <c r="B653" s="5"/>
      <c r="C653" s="6"/>
      <c r="D653" s="6"/>
      <c r="E653" s="6"/>
    </row>
    <row r="654">
      <c r="A654" s="4"/>
      <c r="B654" s="5"/>
      <c r="C654" s="6"/>
      <c r="D654" s="6"/>
      <c r="E654" s="6"/>
    </row>
    <row r="655">
      <c r="A655" s="4"/>
      <c r="B655" s="5"/>
      <c r="C655" s="6"/>
      <c r="D655" s="6"/>
      <c r="E655" s="6"/>
    </row>
    <row r="656">
      <c r="A656" s="4"/>
      <c r="B656" s="5"/>
      <c r="C656" s="6"/>
      <c r="D656" s="6"/>
      <c r="E656" s="6"/>
    </row>
    <row r="657">
      <c r="A657" s="4"/>
      <c r="B657" s="5"/>
      <c r="C657" s="6"/>
      <c r="D657" s="6"/>
      <c r="E657" s="6"/>
    </row>
    <row r="658">
      <c r="A658" s="4"/>
      <c r="B658" s="5"/>
      <c r="C658" s="6"/>
      <c r="D658" s="6"/>
      <c r="E658" s="6"/>
    </row>
    <row r="659">
      <c r="A659" s="4"/>
      <c r="B659" s="5"/>
      <c r="C659" s="6"/>
      <c r="D659" s="6"/>
      <c r="E659" s="6"/>
    </row>
    <row r="660">
      <c r="A660" s="4"/>
      <c r="B660" s="5"/>
      <c r="C660" s="6"/>
      <c r="D660" s="6"/>
      <c r="E660" s="6"/>
    </row>
    <row r="661">
      <c r="A661" s="4"/>
      <c r="B661" s="5"/>
      <c r="C661" s="6"/>
      <c r="D661" s="6"/>
      <c r="E661" s="6"/>
    </row>
    <row r="662">
      <c r="A662" s="4"/>
      <c r="B662" s="5"/>
      <c r="C662" s="6"/>
      <c r="D662" s="6"/>
      <c r="E662" s="6"/>
    </row>
    <row r="663">
      <c r="A663" s="4"/>
      <c r="B663" s="5"/>
      <c r="C663" s="6"/>
      <c r="D663" s="6"/>
      <c r="E663" s="6"/>
    </row>
    <row r="664">
      <c r="A664" s="4"/>
      <c r="B664" s="5"/>
      <c r="C664" s="6"/>
      <c r="D664" s="6"/>
      <c r="E664" s="6"/>
    </row>
    <row r="665">
      <c r="A665" s="4"/>
      <c r="B665" s="5"/>
      <c r="C665" s="6"/>
      <c r="D665" s="6"/>
      <c r="E665" s="6"/>
    </row>
    <row r="666">
      <c r="A666" s="4"/>
      <c r="B666" s="5"/>
      <c r="C666" s="6"/>
      <c r="D666" s="6"/>
      <c r="E666" s="6"/>
    </row>
    <row r="667">
      <c r="A667" s="4"/>
      <c r="B667" s="5"/>
      <c r="C667" s="6"/>
      <c r="D667" s="6"/>
      <c r="E667" s="6"/>
    </row>
    <row r="668">
      <c r="A668" s="4"/>
      <c r="B668" s="5"/>
      <c r="C668" s="6"/>
      <c r="D668" s="6"/>
      <c r="E668" s="6"/>
    </row>
    <row r="669">
      <c r="A669" s="4"/>
      <c r="B669" s="5"/>
      <c r="C669" s="6"/>
      <c r="D669" s="6"/>
      <c r="E669" s="6"/>
    </row>
    <row r="670">
      <c r="A670" s="4"/>
      <c r="B670" s="5"/>
      <c r="C670" s="6"/>
      <c r="D670" s="6"/>
      <c r="E670" s="6"/>
    </row>
    <row r="671">
      <c r="A671" s="4"/>
      <c r="B671" s="5"/>
      <c r="C671" s="6"/>
      <c r="D671" s="6"/>
      <c r="E671" s="6"/>
    </row>
    <row r="672">
      <c r="A672" s="4"/>
      <c r="B672" s="5"/>
      <c r="C672" s="6"/>
      <c r="D672" s="6"/>
      <c r="E672" s="6"/>
    </row>
    <row r="673">
      <c r="A673" s="4"/>
      <c r="B673" s="5"/>
      <c r="C673" s="6"/>
      <c r="D673" s="6"/>
      <c r="E673" s="6"/>
    </row>
    <row r="674">
      <c r="A674" s="4"/>
      <c r="B674" s="5"/>
      <c r="C674" s="6"/>
      <c r="D674" s="6"/>
      <c r="E674" s="6"/>
    </row>
    <row r="675">
      <c r="A675" s="4"/>
      <c r="B675" s="5"/>
      <c r="C675" s="6"/>
      <c r="D675" s="6"/>
      <c r="E675" s="6"/>
    </row>
    <row r="676">
      <c r="A676" s="4"/>
      <c r="B676" s="5"/>
      <c r="C676" s="6"/>
      <c r="D676" s="6"/>
      <c r="E676" s="6"/>
    </row>
    <row r="677">
      <c r="A677" s="4"/>
      <c r="B677" s="5"/>
      <c r="C677" s="6"/>
      <c r="D677" s="6"/>
      <c r="E677" s="6"/>
    </row>
    <row r="678">
      <c r="A678" s="4"/>
      <c r="B678" s="5"/>
      <c r="C678" s="6"/>
      <c r="D678" s="6"/>
      <c r="E678" s="6"/>
    </row>
    <row r="679">
      <c r="A679" s="4"/>
      <c r="B679" s="5"/>
      <c r="C679" s="6"/>
      <c r="D679" s="6"/>
      <c r="E679" s="6"/>
    </row>
    <row r="680">
      <c r="A680" s="4"/>
      <c r="B680" s="5"/>
      <c r="C680" s="6"/>
      <c r="D680" s="6"/>
      <c r="E680" s="6"/>
    </row>
    <row r="681">
      <c r="A681" s="4"/>
      <c r="B681" s="5"/>
      <c r="C681" s="6"/>
      <c r="D681" s="6"/>
      <c r="E681" s="6"/>
    </row>
    <row r="682">
      <c r="A682" s="4"/>
      <c r="B682" s="5"/>
      <c r="C682" s="6"/>
      <c r="D682" s="6"/>
      <c r="E682" s="6"/>
    </row>
    <row r="683">
      <c r="A683" s="4"/>
      <c r="B683" s="5"/>
      <c r="C683" s="6"/>
      <c r="D683" s="6"/>
      <c r="E683" s="6"/>
    </row>
    <row r="684">
      <c r="A684" s="4"/>
      <c r="B684" s="5"/>
      <c r="C684" s="6"/>
      <c r="D684" s="6"/>
      <c r="E684" s="6"/>
    </row>
    <row r="685">
      <c r="A685" s="4"/>
      <c r="B685" s="5"/>
      <c r="C685" s="6"/>
      <c r="D685" s="6"/>
      <c r="E685" s="6"/>
    </row>
    <row r="686">
      <c r="A686" s="4"/>
      <c r="B686" s="5"/>
      <c r="C686" s="6"/>
      <c r="D686" s="6"/>
      <c r="E686" s="6"/>
    </row>
    <row r="687">
      <c r="A687" s="4"/>
      <c r="B687" s="5"/>
      <c r="C687" s="6"/>
      <c r="D687" s="6"/>
      <c r="E687" s="6"/>
    </row>
    <row r="688">
      <c r="A688" s="4"/>
      <c r="B688" s="5"/>
      <c r="C688" s="6"/>
      <c r="D688" s="6"/>
      <c r="E688" s="6"/>
    </row>
    <row r="689">
      <c r="A689" s="4"/>
      <c r="B689" s="5"/>
      <c r="C689" s="6"/>
      <c r="D689" s="6"/>
      <c r="E689" s="6"/>
    </row>
    <row r="690">
      <c r="A690" s="4"/>
      <c r="B690" s="5"/>
      <c r="C690" s="6"/>
      <c r="D690" s="6"/>
      <c r="E690" s="6"/>
    </row>
    <row r="691">
      <c r="A691" s="4"/>
      <c r="B691" s="5"/>
      <c r="C691" s="6"/>
      <c r="D691" s="6"/>
      <c r="E691" s="6"/>
    </row>
    <row r="692">
      <c r="A692" s="4"/>
      <c r="B692" s="5"/>
      <c r="C692" s="6"/>
      <c r="D692" s="6"/>
      <c r="E692" s="6"/>
    </row>
    <row r="693">
      <c r="A693" s="4"/>
      <c r="B693" s="5"/>
      <c r="C693" s="6"/>
      <c r="D693" s="6"/>
      <c r="E693" s="6"/>
    </row>
    <row r="694">
      <c r="A694" s="4"/>
      <c r="B694" s="5"/>
      <c r="C694" s="6"/>
      <c r="D694" s="6"/>
      <c r="E694" s="6"/>
    </row>
    <row r="695">
      <c r="A695" s="4"/>
      <c r="B695" s="5"/>
      <c r="C695" s="6"/>
      <c r="D695" s="6"/>
      <c r="E695" s="6"/>
    </row>
    <row r="696">
      <c r="A696" s="4"/>
      <c r="B696" s="5"/>
      <c r="C696" s="6"/>
      <c r="D696" s="6"/>
      <c r="E696" s="6"/>
    </row>
    <row r="697">
      <c r="A697" s="4"/>
      <c r="B697" s="5"/>
      <c r="C697" s="6"/>
      <c r="D697" s="6"/>
      <c r="E697" s="6"/>
    </row>
    <row r="698">
      <c r="A698" s="4"/>
      <c r="B698" s="5"/>
      <c r="C698" s="6"/>
      <c r="D698" s="6"/>
      <c r="E698" s="6"/>
    </row>
    <row r="699">
      <c r="A699" s="4"/>
      <c r="B699" s="5"/>
      <c r="C699" s="6"/>
      <c r="D699" s="6"/>
      <c r="E699" s="6"/>
    </row>
    <row r="700">
      <c r="A700" s="4"/>
      <c r="B700" s="5"/>
      <c r="C700" s="6"/>
      <c r="D700" s="6"/>
      <c r="E700" s="6"/>
    </row>
    <row r="701">
      <c r="A701" s="4"/>
      <c r="B701" s="5"/>
      <c r="C701" s="6"/>
      <c r="D701" s="6"/>
      <c r="E701" s="6"/>
    </row>
    <row r="702">
      <c r="A702" s="4"/>
      <c r="B702" s="5"/>
      <c r="C702" s="6"/>
      <c r="D702" s="6"/>
      <c r="E702" s="6"/>
    </row>
    <row r="703">
      <c r="A703" s="4"/>
      <c r="B703" s="5"/>
      <c r="C703" s="6"/>
      <c r="D703" s="6"/>
      <c r="E703" s="6"/>
    </row>
    <row r="704">
      <c r="A704" s="4"/>
      <c r="B704" s="5"/>
      <c r="C704" s="6"/>
      <c r="D704" s="6"/>
      <c r="E704" s="6"/>
    </row>
    <row r="705">
      <c r="A705" s="4"/>
      <c r="B705" s="5"/>
      <c r="C705" s="6"/>
      <c r="D705" s="6"/>
      <c r="E705" s="6"/>
    </row>
    <row r="706">
      <c r="A706" s="4"/>
      <c r="B706" s="5"/>
      <c r="C706" s="6"/>
      <c r="D706" s="6"/>
      <c r="E706" s="6"/>
    </row>
    <row r="707">
      <c r="A707" s="4"/>
      <c r="B707" s="5"/>
      <c r="C707" s="6"/>
      <c r="D707" s="6"/>
      <c r="E707" s="6"/>
    </row>
    <row r="708">
      <c r="A708" s="4"/>
      <c r="B708" s="5"/>
      <c r="C708" s="6"/>
      <c r="D708" s="6"/>
      <c r="E708" s="6"/>
    </row>
    <row r="709">
      <c r="A709" s="4"/>
      <c r="B709" s="5"/>
      <c r="C709" s="6"/>
      <c r="D709" s="6"/>
      <c r="E709" s="6"/>
    </row>
    <row r="710">
      <c r="A710" s="4"/>
      <c r="B710" s="5"/>
      <c r="C710" s="6"/>
      <c r="D710" s="6"/>
      <c r="E710" s="6"/>
    </row>
    <row r="711">
      <c r="A711" s="4"/>
      <c r="B711" s="5"/>
      <c r="C711" s="6"/>
      <c r="D711" s="6"/>
      <c r="E711" s="6"/>
    </row>
    <row r="712">
      <c r="A712" s="4"/>
      <c r="B712" s="5"/>
      <c r="C712" s="6"/>
      <c r="D712" s="6"/>
      <c r="E712" s="6"/>
    </row>
    <row r="713">
      <c r="A713" s="4"/>
      <c r="B713" s="5"/>
      <c r="C713" s="6"/>
      <c r="D713" s="6"/>
      <c r="E713" s="6"/>
    </row>
    <row r="714">
      <c r="A714" s="4"/>
      <c r="B714" s="5"/>
      <c r="C714" s="6"/>
      <c r="D714" s="6"/>
      <c r="E714" s="6"/>
    </row>
    <row r="715">
      <c r="A715" s="4"/>
      <c r="B715" s="5"/>
      <c r="C715" s="6"/>
      <c r="D715" s="6"/>
      <c r="E715" s="6"/>
    </row>
    <row r="716">
      <c r="A716" s="4"/>
      <c r="B716" s="5"/>
      <c r="C716" s="6"/>
      <c r="D716" s="6"/>
      <c r="E716" s="6"/>
    </row>
    <row r="717">
      <c r="A717" s="4"/>
      <c r="B717" s="5"/>
      <c r="C717" s="6"/>
      <c r="D717" s="6"/>
      <c r="E717" s="6"/>
    </row>
    <row r="718">
      <c r="A718" s="4"/>
      <c r="B718" s="5"/>
      <c r="C718" s="6"/>
      <c r="D718" s="6"/>
      <c r="E718" s="6"/>
    </row>
    <row r="719">
      <c r="A719" s="4"/>
      <c r="B719" s="5"/>
      <c r="C719" s="6"/>
      <c r="D719" s="6"/>
      <c r="E719" s="6"/>
    </row>
    <row r="720">
      <c r="A720" s="4"/>
      <c r="B720" s="5"/>
      <c r="C720" s="6"/>
      <c r="D720" s="6"/>
      <c r="E720" s="6"/>
    </row>
    <row r="721">
      <c r="A721" s="4"/>
      <c r="B721" s="5"/>
      <c r="C721" s="6"/>
      <c r="D721" s="6"/>
      <c r="E721" s="6"/>
    </row>
    <row r="722">
      <c r="A722" s="4"/>
      <c r="B722" s="5"/>
      <c r="C722" s="6"/>
      <c r="D722" s="6"/>
      <c r="E722" s="6"/>
    </row>
    <row r="723">
      <c r="A723" s="4"/>
      <c r="B723" s="5"/>
      <c r="C723" s="6"/>
      <c r="D723" s="6"/>
      <c r="E723" s="6"/>
    </row>
    <row r="724">
      <c r="A724" s="4"/>
      <c r="B724" s="5"/>
      <c r="C724" s="6"/>
      <c r="D724" s="6"/>
      <c r="E724" s="6"/>
    </row>
    <row r="725">
      <c r="A725" s="4"/>
      <c r="B725" s="5"/>
      <c r="C725" s="6"/>
      <c r="D725" s="6"/>
      <c r="E725" s="6"/>
    </row>
    <row r="726">
      <c r="A726" s="4"/>
      <c r="B726" s="5"/>
      <c r="C726" s="6"/>
      <c r="D726" s="6"/>
      <c r="E726" s="6"/>
    </row>
    <row r="727">
      <c r="A727" s="4"/>
      <c r="B727" s="5"/>
      <c r="C727" s="6"/>
      <c r="D727" s="6"/>
      <c r="E727" s="6"/>
    </row>
    <row r="728">
      <c r="A728" s="4"/>
      <c r="B728" s="5"/>
      <c r="C728" s="6"/>
      <c r="D728" s="6"/>
      <c r="E728" s="6"/>
    </row>
    <row r="729">
      <c r="A729" s="4"/>
      <c r="B729" s="5"/>
      <c r="C729" s="6"/>
      <c r="D729" s="6"/>
      <c r="E729" s="6"/>
    </row>
    <row r="730">
      <c r="A730" s="4"/>
      <c r="B730" s="5"/>
      <c r="C730" s="6"/>
      <c r="D730" s="6"/>
      <c r="E730" s="6"/>
    </row>
    <row r="731">
      <c r="A731" s="4"/>
      <c r="B731" s="5"/>
      <c r="C731" s="6"/>
      <c r="D731" s="6"/>
      <c r="E731" s="6"/>
    </row>
    <row r="732">
      <c r="A732" s="4"/>
      <c r="B732" s="5"/>
      <c r="C732" s="6"/>
      <c r="D732" s="6"/>
      <c r="E732" s="6"/>
    </row>
    <row r="733">
      <c r="A733" s="4"/>
      <c r="B733" s="5"/>
      <c r="C733" s="6"/>
      <c r="D733" s="6"/>
      <c r="E733" s="6"/>
    </row>
    <row r="734">
      <c r="A734" s="4"/>
      <c r="B734" s="5"/>
      <c r="C734" s="6"/>
      <c r="D734" s="6"/>
      <c r="E734" s="6"/>
    </row>
    <row r="735">
      <c r="A735" s="4"/>
      <c r="B735" s="5"/>
      <c r="C735" s="6"/>
      <c r="D735" s="6"/>
      <c r="E735" s="6"/>
    </row>
    <row r="736">
      <c r="A736" s="4"/>
      <c r="B736" s="9"/>
      <c r="C736" s="6"/>
      <c r="D736" s="6"/>
      <c r="E736" s="6"/>
    </row>
    <row r="737">
      <c r="A737" s="4"/>
      <c r="B737" s="9"/>
      <c r="C737" s="6"/>
      <c r="D737" s="6"/>
      <c r="E737" s="6"/>
    </row>
    <row r="738">
      <c r="A738" s="4"/>
      <c r="B738" s="9"/>
      <c r="C738" s="6"/>
      <c r="D738" s="6"/>
      <c r="E738" s="6"/>
    </row>
    <row r="739">
      <c r="A739" s="4"/>
      <c r="B739" s="9"/>
      <c r="C739" s="6"/>
      <c r="D739" s="6"/>
      <c r="E739" s="6"/>
    </row>
    <row r="740">
      <c r="A740" s="4"/>
      <c r="B740" s="9"/>
      <c r="C740" s="6"/>
      <c r="D740" s="6"/>
      <c r="E740" s="6"/>
    </row>
    <row r="741">
      <c r="A741" s="4"/>
      <c r="B741" s="9"/>
      <c r="C741" s="6"/>
      <c r="D741" s="6"/>
      <c r="E741" s="6"/>
    </row>
    <row r="742">
      <c r="A742" s="4"/>
      <c r="B742" s="9"/>
      <c r="C742" s="6"/>
      <c r="D742" s="6"/>
      <c r="E742" s="6"/>
    </row>
    <row r="743">
      <c r="A743" s="4"/>
      <c r="B743" s="9"/>
      <c r="C743" s="6"/>
      <c r="D743" s="6"/>
      <c r="E743" s="6"/>
    </row>
    <row r="744">
      <c r="A744" s="4"/>
      <c r="B744" s="9"/>
      <c r="C744" s="6"/>
      <c r="D744" s="6"/>
      <c r="E744" s="6"/>
    </row>
    <row r="745">
      <c r="A745" s="4"/>
      <c r="B745" s="9"/>
      <c r="C745" s="6"/>
      <c r="D745" s="6"/>
      <c r="E745" s="6"/>
    </row>
    <row r="746">
      <c r="A746" s="4"/>
      <c r="B746" s="9"/>
      <c r="C746" s="6"/>
      <c r="D746" s="6"/>
      <c r="E746" s="6"/>
    </row>
    <row r="747">
      <c r="A747" s="4"/>
      <c r="B747" s="9"/>
      <c r="C747" s="6"/>
      <c r="D747" s="6"/>
      <c r="E747" s="6"/>
    </row>
    <row r="748">
      <c r="A748" s="4"/>
      <c r="B748" s="9"/>
      <c r="C748" s="6"/>
      <c r="D748" s="6"/>
      <c r="E748" s="6"/>
    </row>
    <row r="749">
      <c r="A749" s="4"/>
      <c r="B749" s="9"/>
      <c r="C749" s="6"/>
      <c r="D749" s="6"/>
      <c r="E749" s="6"/>
    </row>
    <row r="750">
      <c r="A750" s="4"/>
      <c r="B750" s="9"/>
      <c r="C750" s="6"/>
      <c r="D750" s="6"/>
      <c r="E750" s="6"/>
    </row>
    <row r="751">
      <c r="A751" s="4"/>
      <c r="B751" s="9"/>
      <c r="C751" s="6"/>
      <c r="D751" s="6"/>
      <c r="E751" s="6"/>
    </row>
    <row r="752">
      <c r="A752" s="4"/>
      <c r="B752" s="9"/>
      <c r="C752" s="6"/>
      <c r="D752" s="6"/>
      <c r="E752" s="6"/>
    </row>
    <row r="753">
      <c r="A753" s="4"/>
      <c r="B753" s="9"/>
      <c r="C753" s="6"/>
      <c r="D753" s="6"/>
      <c r="E753" s="6"/>
    </row>
    <row r="754">
      <c r="A754" s="4"/>
      <c r="B754" s="9"/>
      <c r="C754" s="6"/>
      <c r="D754" s="6"/>
      <c r="E754" s="6"/>
    </row>
    <row r="755">
      <c r="A755" s="4"/>
      <c r="B755" s="9"/>
      <c r="C755" s="6"/>
      <c r="D755" s="6"/>
      <c r="E755" s="6"/>
    </row>
    <row r="756">
      <c r="A756" s="4"/>
      <c r="B756" s="9"/>
      <c r="C756" s="6"/>
      <c r="D756" s="6"/>
      <c r="E756" s="6"/>
    </row>
    <row r="757">
      <c r="A757" s="4"/>
      <c r="B757" s="9"/>
      <c r="C757" s="6"/>
      <c r="D757" s="6"/>
      <c r="E757" s="6"/>
    </row>
    <row r="758">
      <c r="A758" s="4"/>
      <c r="B758" s="9"/>
      <c r="C758" s="6"/>
      <c r="D758" s="6"/>
      <c r="E758" s="6"/>
    </row>
    <row r="759">
      <c r="A759" s="4"/>
      <c r="B759" s="9"/>
      <c r="C759" s="6"/>
      <c r="D759" s="6"/>
      <c r="E759" s="6"/>
    </row>
    <row r="760">
      <c r="A760" s="4"/>
      <c r="B760" s="9"/>
      <c r="C760" s="6"/>
      <c r="D760" s="6"/>
      <c r="E760" s="6"/>
    </row>
    <row r="761">
      <c r="A761" s="4"/>
      <c r="B761" s="9"/>
      <c r="C761" s="6"/>
      <c r="D761" s="6"/>
      <c r="E761" s="6"/>
    </row>
    <row r="762">
      <c r="A762" s="4"/>
      <c r="B762" s="9"/>
      <c r="C762" s="6"/>
      <c r="D762" s="6"/>
      <c r="E762" s="6"/>
    </row>
    <row r="763">
      <c r="A763" s="4"/>
      <c r="B763" s="16"/>
      <c r="C763" s="6"/>
      <c r="D763" s="6"/>
      <c r="E763" s="6"/>
    </row>
    <row r="764">
      <c r="A764" s="4"/>
      <c r="B764" s="9"/>
      <c r="C764" s="6"/>
      <c r="D764" s="6"/>
      <c r="E764" s="6"/>
    </row>
    <row r="765">
      <c r="A765" s="4"/>
      <c r="B765" s="9"/>
      <c r="C765" s="6"/>
      <c r="D765" s="6"/>
      <c r="E765" s="6"/>
    </row>
    <row r="766">
      <c r="A766" s="4"/>
      <c r="B766" s="9"/>
      <c r="C766" s="6"/>
      <c r="D766" s="6"/>
      <c r="E766" s="6"/>
    </row>
    <row r="767">
      <c r="A767" s="4"/>
      <c r="B767" s="9"/>
      <c r="C767" s="6"/>
      <c r="D767" s="6"/>
      <c r="E767" s="6"/>
    </row>
    <row r="768">
      <c r="A768" s="4"/>
      <c r="B768" s="9"/>
      <c r="C768" s="6"/>
      <c r="D768" s="6"/>
      <c r="E768" s="6"/>
    </row>
    <row r="769">
      <c r="A769" s="4"/>
      <c r="B769" s="9"/>
      <c r="C769" s="6"/>
      <c r="D769" s="6"/>
      <c r="E769" s="6"/>
    </row>
    <row r="770">
      <c r="A770" s="4"/>
      <c r="B770" s="9"/>
      <c r="C770" s="6"/>
      <c r="D770" s="6"/>
      <c r="E770" s="6"/>
    </row>
    <row r="771">
      <c r="A771" s="4"/>
      <c r="B771" s="5"/>
      <c r="C771" s="6"/>
      <c r="D771" s="6"/>
      <c r="E771" s="6"/>
    </row>
    <row r="772">
      <c r="A772" s="4"/>
      <c r="B772" s="5"/>
      <c r="C772" s="6"/>
      <c r="D772" s="6"/>
      <c r="E772" s="6"/>
    </row>
    <row r="773">
      <c r="A773" s="4"/>
      <c r="B773" s="5"/>
      <c r="C773" s="6"/>
      <c r="D773" s="6"/>
      <c r="E773" s="6"/>
    </row>
    <row r="774">
      <c r="A774" s="4"/>
      <c r="B774" s="5"/>
      <c r="C774" s="6"/>
      <c r="D774" s="6"/>
      <c r="E774" s="6"/>
    </row>
    <row r="775">
      <c r="A775" s="4"/>
      <c r="B775" s="5"/>
      <c r="C775" s="6"/>
      <c r="D775" s="6"/>
      <c r="E775" s="6"/>
    </row>
    <row r="776">
      <c r="A776" s="4"/>
      <c r="B776" s="5"/>
      <c r="C776" s="6"/>
      <c r="D776" s="6"/>
      <c r="E776" s="6"/>
    </row>
    <row r="777">
      <c r="A777" s="4"/>
      <c r="B777" s="5"/>
      <c r="C777" s="6"/>
      <c r="D777" s="6"/>
      <c r="E777" s="6"/>
    </row>
    <row r="778">
      <c r="A778" s="4"/>
      <c r="B778" s="5"/>
      <c r="C778" s="6"/>
      <c r="D778" s="6"/>
      <c r="E778" s="6"/>
    </row>
    <row r="779">
      <c r="A779" s="4"/>
      <c r="B779" s="5"/>
      <c r="C779" s="6"/>
      <c r="D779" s="6"/>
      <c r="E779" s="6"/>
    </row>
    <row r="780">
      <c r="A780" s="4"/>
      <c r="B780" s="5"/>
      <c r="C780" s="6"/>
      <c r="D780" s="6"/>
      <c r="E780" s="6"/>
    </row>
    <row r="781">
      <c r="A781" s="4"/>
      <c r="B781" s="5"/>
      <c r="C781" s="6"/>
      <c r="D781" s="6"/>
      <c r="E781" s="6"/>
    </row>
    <row r="782">
      <c r="A782" s="4"/>
      <c r="B782" s="5"/>
      <c r="C782" s="6"/>
      <c r="D782" s="6"/>
      <c r="E782" s="6"/>
    </row>
    <row r="783">
      <c r="A783" s="4"/>
      <c r="B783" s="5"/>
      <c r="C783" s="6"/>
      <c r="D783" s="6"/>
      <c r="E783" s="6"/>
    </row>
    <row r="784">
      <c r="A784" s="4"/>
      <c r="B784" s="5"/>
      <c r="C784" s="6"/>
      <c r="D784" s="6"/>
      <c r="E784" s="6"/>
    </row>
    <row r="785">
      <c r="A785" s="4"/>
      <c r="B785" s="5"/>
      <c r="C785" s="6"/>
      <c r="D785" s="6"/>
      <c r="E785" s="6"/>
    </row>
    <row r="786">
      <c r="A786" s="4"/>
      <c r="B786" s="5"/>
      <c r="C786" s="6"/>
      <c r="D786" s="6"/>
      <c r="E786" s="6"/>
    </row>
    <row r="787">
      <c r="A787" s="4"/>
      <c r="B787" s="5"/>
      <c r="C787" s="6"/>
      <c r="D787" s="6"/>
      <c r="E787" s="6"/>
    </row>
    <row r="788">
      <c r="A788" s="4"/>
      <c r="B788" s="5"/>
      <c r="C788" s="6"/>
      <c r="D788" s="6"/>
      <c r="E788" s="6"/>
    </row>
    <row r="789">
      <c r="A789" s="4"/>
      <c r="B789" s="5"/>
      <c r="C789" s="6"/>
      <c r="D789" s="6"/>
      <c r="E789" s="6"/>
    </row>
    <row r="790">
      <c r="A790" s="4"/>
      <c r="B790" s="5"/>
      <c r="C790" s="6"/>
      <c r="D790" s="6"/>
      <c r="E790" s="6"/>
    </row>
    <row r="791">
      <c r="A791" s="4"/>
      <c r="B791" s="5"/>
      <c r="C791" s="6"/>
      <c r="D791" s="6"/>
      <c r="E791" s="6"/>
    </row>
    <row r="792">
      <c r="A792" s="4"/>
      <c r="B792" s="5"/>
      <c r="C792" s="6"/>
      <c r="D792" s="6"/>
      <c r="E792" s="6"/>
    </row>
    <row r="793">
      <c r="A793" s="4"/>
      <c r="B793" s="5"/>
      <c r="C793" s="6"/>
      <c r="D793" s="6"/>
      <c r="E793" s="6"/>
    </row>
    <row r="794">
      <c r="A794" s="4"/>
      <c r="B794" s="5"/>
      <c r="C794" s="6"/>
      <c r="D794" s="6"/>
      <c r="E794" s="6"/>
    </row>
    <row r="795">
      <c r="A795" s="4"/>
      <c r="B795" s="5"/>
      <c r="C795" s="6"/>
      <c r="D795" s="6"/>
      <c r="E795" s="6"/>
    </row>
    <row r="796">
      <c r="A796" s="4"/>
      <c r="B796" s="5"/>
      <c r="C796" s="6"/>
      <c r="D796" s="6"/>
      <c r="E796" s="6"/>
    </row>
    <row r="797">
      <c r="A797" s="4"/>
      <c r="B797" s="5"/>
      <c r="C797" s="6"/>
      <c r="D797" s="6"/>
      <c r="E797" s="6"/>
    </row>
    <row r="798">
      <c r="A798" s="4"/>
      <c r="B798" s="5"/>
      <c r="C798" s="6"/>
      <c r="D798" s="6"/>
      <c r="E798" s="6"/>
    </row>
    <row r="799">
      <c r="A799" s="4"/>
      <c r="B799" s="5"/>
      <c r="C799" s="6"/>
      <c r="D799" s="6"/>
      <c r="E799" s="6"/>
    </row>
    <row r="800">
      <c r="A800" s="4"/>
      <c r="B800" s="5"/>
      <c r="C800" s="6"/>
      <c r="D800" s="6"/>
      <c r="E800" s="6"/>
    </row>
    <row r="801">
      <c r="A801" s="4"/>
      <c r="B801" s="5"/>
      <c r="C801" s="6"/>
      <c r="D801" s="6"/>
      <c r="E801" s="6"/>
    </row>
    <row r="802">
      <c r="A802" s="4"/>
      <c r="B802" s="5"/>
      <c r="C802" s="6"/>
      <c r="D802" s="6"/>
      <c r="E802" s="6"/>
    </row>
    <row r="803">
      <c r="A803" s="4"/>
      <c r="B803" s="5"/>
      <c r="C803" s="6"/>
      <c r="D803" s="6"/>
      <c r="E803" s="6"/>
    </row>
    <row r="804">
      <c r="A804" s="4"/>
      <c r="B804" s="5"/>
      <c r="C804" s="6"/>
      <c r="D804" s="6"/>
      <c r="E804" s="6"/>
    </row>
    <row r="805">
      <c r="A805" s="4"/>
      <c r="B805" s="5"/>
      <c r="C805" s="6"/>
      <c r="D805" s="6"/>
      <c r="E805" s="6"/>
    </row>
    <row r="806">
      <c r="A806" s="4"/>
      <c r="B806" s="5"/>
      <c r="C806" s="6"/>
      <c r="D806" s="6"/>
      <c r="E806" s="6"/>
    </row>
    <row r="807">
      <c r="A807" s="4"/>
      <c r="B807" s="5"/>
      <c r="C807" s="6"/>
      <c r="D807" s="6"/>
      <c r="E807" s="6"/>
    </row>
    <row r="808">
      <c r="A808" s="4"/>
      <c r="B808" s="5"/>
      <c r="C808" s="6"/>
      <c r="D808" s="6"/>
      <c r="E808" s="6"/>
    </row>
    <row r="809">
      <c r="A809" s="4"/>
      <c r="B809" s="5"/>
      <c r="C809" s="6"/>
      <c r="D809" s="6"/>
      <c r="E809" s="6"/>
    </row>
    <row r="810">
      <c r="A810" s="4"/>
      <c r="B810" s="5"/>
      <c r="C810" s="6"/>
      <c r="D810" s="6"/>
      <c r="E810" s="6"/>
    </row>
    <row r="811">
      <c r="A811" s="4"/>
      <c r="B811" s="5"/>
      <c r="C811" s="6"/>
      <c r="D811" s="6"/>
      <c r="E811" s="6"/>
    </row>
    <row r="812">
      <c r="A812" s="4"/>
      <c r="B812" s="5"/>
      <c r="C812" s="6"/>
      <c r="D812" s="6"/>
      <c r="E812" s="6"/>
    </row>
    <row r="813">
      <c r="A813" s="4"/>
      <c r="B813" s="5"/>
      <c r="C813" s="6"/>
      <c r="D813" s="6"/>
      <c r="E813" s="6"/>
    </row>
    <row r="814">
      <c r="A814" s="8"/>
      <c r="B814" s="5"/>
      <c r="C814" s="6"/>
      <c r="D814" s="6"/>
      <c r="E814" s="6"/>
    </row>
    <row r="815">
      <c r="A815" s="8"/>
      <c r="B815" s="5"/>
      <c r="C815" s="6"/>
      <c r="D815" s="6"/>
      <c r="E815" s="6"/>
    </row>
    <row r="816">
      <c r="A816" s="8"/>
      <c r="B816" s="5"/>
      <c r="C816" s="6"/>
      <c r="D816" s="6"/>
      <c r="E816" s="6"/>
    </row>
    <row r="817">
      <c r="A817" s="8"/>
      <c r="B817" s="5"/>
      <c r="C817" s="6"/>
      <c r="D817" s="6"/>
      <c r="E817" s="6"/>
    </row>
    <row r="818">
      <c r="A818" s="8"/>
      <c r="B818" s="5"/>
      <c r="C818" s="6"/>
      <c r="D818" s="6"/>
      <c r="E818" s="6"/>
    </row>
    <row r="819">
      <c r="A819" s="8"/>
      <c r="B819" s="5"/>
      <c r="C819" s="6"/>
      <c r="D819" s="6"/>
      <c r="E819" s="6"/>
    </row>
    <row r="820">
      <c r="A820" s="8"/>
      <c r="B820" s="5"/>
      <c r="C820" s="6"/>
      <c r="D820" s="6"/>
      <c r="E820" s="6"/>
    </row>
    <row r="821">
      <c r="A821" s="8"/>
      <c r="B821" s="5"/>
      <c r="C821" s="6"/>
      <c r="D821" s="6"/>
      <c r="E821" s="6"/>
    </row>
    <row r="822">
      <c r="A822" s="8"/>
      <c r="B822" s="5"/>
      <c r="C822" s="6"/>
      <c r="D822" s="6"/>
      <c r="E822" s="6"/>
    </row>
    <row r="823">
      <c r="A823" s="8"/>
      <c r="B823" s="5"/>
      <c r="C823" s="6"/>
      <c r="D823" s="6"/>
      <c r="E823" s="6"/>
    </row>
    <row r="824">
      <c r="A824" s="8"/>
      <c r="B824" s="5"/>
      <c r="C824" s="6"/>
      <c r="D824" s="6"/>
      <c r="E824" s="6"/>
    </row>
    <row r="825">
      <c r="A825" s="8"/>
      <c r="B825" s="5"/>
      <c r="C825" s="6"/>
      <c r="D825" s="6"/>
      <c r="E825" s="6"/>
    </row>
    <row r="826">
      <c r="A826" s="8"/>
      <c r="B826" s="5"/>
      <c r="C826" s="6"/>
      <c r="D826" s="6"/>
      <c r="E826" s="6"/>
    </row>
    <row r="827">
      <c r="A827" s="8"/>
      <c r="B827" s="5"/>
      <c r="C827" s="6"/>
      <c r="D827" s="6"/>
      <c r="E827" s="6"/>
    </row>
    <row r="828">
      <c r="A828" s="8"/>
      <c r="B828" s="17"/>
      <c r="C828" s="6"/>
      <c r="D828" s="6"/>
      <c r="E828" s="6"/>
    </row>
    <row r="829">
      <c r="A829" s="8"/>
      <c r="B829" s="5"/>
      <c r="C829" s="6"/>
      <c r="D829" s="6"/>
      <c r="E829" s="6"/>
    </row>
    <row r="830">
      <c r="A830" s="8"/>
      <c r="B830" s="5"/>
      <c r="C830" s="6"/>
      <c r="D830" s="6"/>
      <c r="E830" s="6"/>
    </row>
    <row r="831">
      <c r="A831" s="8"/>
      <c r="B831" s="5"/>
      <c r="C831" s="6"/>
      <c r="D831" s="6"/>
      <c r="E831" s="6"/>
    </row>
    <row r="832">
      <c r="A832" s="8"/>
      <c r="B832" s="5"/>
      <c r="C832" s="6"/>
      <c r="D832" s="6"/>
      <c r="E832" s="6"/>
    </row>
    <row r="833">
      <c r="A833" s="4"/>
      <c r="B833" s="5"/>
      <c r="C833" s="6"/>
      <c r="D833" s="6"/>
      <c r="E833" s="6"/>
    </row>
    <row r="834">
      <c r="A834" s="4"/>
      <c r="B834" s="5"/>
      <c r="C834" s="6"/>
      <c r="D834" s="6"/>
      <c r="E834" s="6"/>
    </row>
    <row r="835">
      <c r="A835" s="4"/>
      <c r="B835" s="5"/>
      <c r="C835" s="6"/>
      <c r="D835" s="6"/>
      <c r="E835" s="6"/>
    </row>
    <row r="836">
      <c r="A836" s="4"/>
      <c r="B836" s="5"/>
      <c r="C836" s="6"/>
      <c r="D836" s="6"/>
      <c r="E836" s="6"/>
    </row>
    <row r="837">
      <c r="A837" s="4"/>
      <c r="B837" s="5"/>
      <c r="C837" s="6"/>
      <c r="D837" s="6"/>
      <c r="E837" s="6"/>
    </row>
    <row r="838">
      <c r="A838" s="4"/>
      <c r="B838" s="5"/>
      <c r="C838" s="6"/>
      <c r="D838" s="6"/>
      <c r="E838" s="6"/>
    </row>
    <row r="839">
      <c r="A839" s="4"/>
      <c r="B839" s="5"/>
      <c r="C839" s="6"/>
      <c r="D839" s="6"/>
      <c r="E839" s="6"/>
    </row>
    <row r="840">
      <c r="A840" s="4"/>
      <c r="B840" s="5"/>
      <c r="C840" s="6"/>
      <c r="D840" s="6"/>
      <c r="E840" s="6"/>
    </row>
    <row r="841">
      <c r="A841" s="4"/>
      <c r="B841" s="5"/>
      <c r="C841" s="6"/>
      <c r="D841" s="6"/>
      <c r="E841" s="6"/>
    </row>
    <row r="842">
      <c r="A842" s="4"/>
      <c r="B842" s="5"/>
      <c r="C842" s="6"/>
      <c r="D842" s="6"/>
      <c r="E842" s="6"/>
    </row>
    <row r="843">
      <c r="A843" s="4"/>
      <c r="B843" s="5"/>
      <c r="C843" s="6"/>
      <c r="D843" s="6"/>
      <c r="E843" s="6"/>
    </row>
    <row r="844">
      <c r="A844" s="4"/>
      <c r="B844" s="5"/>
      <c r="C844" s="6"/>
      <c r="D844" s="6"/>
      <c r="E844" s="6"/>
    </row>
    <row r="845">
      <c r="A845" s="4"/>
      <c r="B845" s="5"/>
      <c r="C845" s="6"/>
      <c r="D845" s="6"/>
      <c r="E845" s="6"/>
    </row>
    <row r="846">
      <c r="A846" s="4"/>
      <c r="B846" s="5"/>
      <c r="C846" s="6"/>
      <c r="D846" s="6"/>
      <c r="E846" s="6"/>
    </row>
    <row r="847">
      <c r="A847" s="4"/>
      <c r="B847" s="5"/>
      <c r="C847" s="6"/>
      <c r="D847" s="6"/>
      <c r="E847" s="6"/>
    </row>
    <row r="848">
      <c r="A848" s="10"/>
      <c r="B848" s="5"/>
      <c r="C848" s="6"/>
      <c r="D848" s="6"/>
      <c r="E848" s="6"/>
    </row>
    <row r="849">
      <c r="A849" s="4"/>
      <c r="B849" s="5"/>
      <c r="C849" s="6"/>
      <c r="D849" s="6"/>
      <c r="E849" s="6"/>
    </row>
    <row r="850">
      <c r="A850" s="4"/>
      <c r="B850" s="5"/>
      <c r="C850" s="6"/>
      <c r="D850" s="6"/>
      <c r="E850" s="6"/>
    </row>
    <row r="851">
      <c r="A851" s="4"/>
      <c r="B851" s="5"/>
      <c r="C851" s="6"/>
      <c r="D851" s="6"/>
      <c r="E851" s="6"/>
    </row>
    <row r="852">
      <c r="A852" s="4"/>
      <c r="B852" s="5"/>
      <c r="C852" s="6"/>
      <c r="D852" s="6"/>
      <c r="E852" s="6"/>
    </row>
    <row r="853">
      <c r="A853" s="4"/>
      <c r="B853" s="5"/>
      <c r="C853" s="6"/>
      <c r="D853" s="6"/>
      <c r="E853" s="6"/>
    </row>
    <row r="854">
      <c r="A854" s="4"/>
      <c r="B854" s="5"/>
      <c r="C854" s="6"/>
      <c r="D854" s="6"/>
      <c r="E854" s="6"/>
    </row>
    <row r="855">
      <c r="A855" s="4"/>
      <c r="B855" s="5"/>
      <c r="C855" s="6"/>
      <c r="D855" s="6"/>
      <c r="E855" s="6"/>
    </row>
    <row r="856">
      <c r="A856" s="4"/>
      <c r="B856" s="5"/>
      <c r="C856" s="6"/>
      <c r="D856" s="6"/>
      <c r="E856" s="6"/>
    </row>
    <row r="857">
      <c r="A857" s="4"/>
      <c r="B857" s="5"/>
      <c r="C857" s="6"/>
      <c r="D857" s="6"/>
      <c r="E857" s="6"/>
    </row>
    <row r="858">
      <c r="A858" s="4"/>
      <c r="B858" s="5"/>
      <c r="C858" s="6"/>
      <c r="D858" s="6"/>
      <c r="E858" s="6"/>
    </row>
    <row r="859">
      <c r="A859" s="4"/>
      <c r="B859" s="5"/>
      <c r="C859" s="6"/>
      <c r="D859" s="6"/>
      <c r="E859" s="6"/>
    </row>
    <row r="860">
      <c r="A860" s="4"/>
      <c r="B860" s="5"/>
      <c r="C860" s="6"/>
      <c r="D860" s="6"/>
      <c r="E860" s="6"/>
    </row>
    <row r="861">
      <c r="A861" s="4"/>
      <c r="B861" s="5"/>
      <c r="C861" s="6"/>
      <c r="D861" s="6"/>
      <c r="E861" s="6"/>
    </row>
    <row r="862">
      <c r="A862" s="4"/>
      <c r="B862" s="5"/>
      <c r="C862" s="6"/>
      <c r="D862" s="6"/>
      <c r="E862" s="6"/>
    </row>
    <row r="863">
      <c r="A863" s="4"/>
      <c r="B863" s="5"/>
      <c r="C863" s="6"/>
      <c r="D863" s="6"/>
      <c r="E863" s="6"/>
    </row>
    <row r="864">
      <c r="A864" s="4"/>
      <c r="B864" s="5"/>
      <c r="C864" s="6"/>
      <c r="D864" s="6"/>
      <c r="E864" s="6"/>
    </row>
    <row r="865">
      <c r="A865" s="4"/>
      <c r="B865" s="5"/>
      <c r="C865" s="6"/>
      <c r="D865" s="6"/>
      <c r="E865" s="6"/>
    </row>
    <row r="866">
      <c r="A866" s="4"/>
      <c r="B866" s="5"/>
      <c r="C866" s="6"/>
      <c r="D866" s="6"/>
      <c r="E866" s="6"/>
    </row>
    <row r="867">
      <c r="A867" s="4"/>
      <c r="B867" s="5"/>
      <c r="C867" s="6"/>
      <c r="D867" s="6"/>
      <c r="E867" s="6"/>
    </row>
    <row r="868">
      <c r="A868" s="4"/>
      <c r="B868" s="5"/>
      <c r="C868" s="6"/>
      <c r="D868" s="6"/>
      <c r="E868" s="6"/>
    </row>
    <row r="869">
      <c r="A869" s="4"/>
      <c r="B869" s="5"/>
      <c r="C869" s="6"/>
      <c r="D869" s="6"/>
      <c r="E869" s="6"/>
    </row>
    <row r="870">
      <c r="A870" s="4"/>
      <c r="B870" s="5"/>
      <c r="C870" s="6"/>
      <c r="D870" s="6"/>
      <c r="E870" s="6"/>
    </row>
    <row r="871">
      <c r="A871" s="4"/>
      <c r="B871" s="5"/>
      <c r="C871" s="6"/>
      <c r="D871" s="6"/>
      <c r="E871" s="6"/>
    </row>
    <row r="872">
      <c r="A872" s="4"/>
      <c r="B872" s="5"/>
      <c r="C872" s="6"/>
      <c r="D872" s="6"/>
      <c r="E872" s="6"/>
    </row>
    <row r="873">
      <c r="A873" s="4"/>
      <c r="B873" s="5"/>
      <c r="C873" s="6"/>
      <c r="D873" s="6"/>
      <c r="E873" s="6"/>
    </row>
    <row r="874">
      <c r="A874" s="4"/>
      <c r="B874" s="5"/>
      <c r="C874" s="6"/>
      <c r="D874" s="6"/>
      <c r="E874" s="6"/>
    </row>
    <row r="875">
      <c r="A875" s="4"/>
      <c r="B875" s="5"/>
      <c r="C875" s="6"/>
      <c r="D875" s="6"/>
      <c r="E875" s="6"/>
    </row>
    <row r="876">
      <c r="A876" s="4"/>
      <c r="B876" s="5"/>
      <c r="C876" s="6"/>
      <c r="D876" s="6"/>
      <c r="E876" s="6"/>
    </row>
    <row r="877">
      <c r="A877" s="4"/>
      <c r="B877" s="5"/>
      <c r="C877" s="6"/>
      <c r="D877" s="6"/>
      <c r="E877" s="6"/>
    </row>
    <row r="878">
      <c r="A878" s="4"/>
      <c r="B878" s="5"/>
      <c r="C878" s="6"/>
      <c r="D878" s="6"/>
      <c r="E878" s="6"/>
    </row>
    <row r="879">
      <c r="A879" s="4"/>
      <c r="B879" s="5"/>
      <c r="C879" s="6"/>
      <c r="D879" s="6"/>
      <c r="E879" s="6"/>
    </row>
    <row r="880">
      <c r="A880" s="4"/>
      <c r="B880" s="5"/>
      <c r="C880" s="6"/>
      <c r="D880" s="6"/>
      <c r="E880" s="6"/>
    </row>
    <row r="881">
      <c r="A881" s="4"/>
      <c r="B881" s="5"/>
      <c r="C881" s="6"/>
      <c r="D881" s="6"/>
      <c r="E881" s="6"/>
    </row>
    <row r="882">
      <c r="A882" s="4"/>
      <c r="B882" s="5"/>
      <c r="C882" s="6"/>
      <c r="D882" s="6"/>
      <c r="E882" s="6"/>
    </row>
    <row r="883">
      <c r="A883" s="4"/>
      <c r="B883" s="5"/>
      <c r="C883" s="6"/>
      <c r="D883" s="6"/>
      <c r="E883" s="6"/>
    </row>
    <row r="884">
      <c r="A884" s="4"/>
      <c r="B884" s="5"/>
      <c r="C884" s="6"/>
      <c r="D884" s="6"/>
      <c r="E884" s="6"/>
    </row>
    <row r="885">
      <c r="A885" s="4"/>
      <c r="B885" s="5"/>
      <c r="C885" s="6"/>
      <c r="D885" s="6"/>
      <c r="E885" s="6"/>
    </row>
    <row r="886">
      <c r="A886" s="4"/>
      <c r="B886" s="5"/>
      <c r="C886" s="6"/>
      <c r="D886" s="6"/>
      <c r="E886" s="6"/>
    </row>
    <row r="887">
      <c r="A887" s="4"/>
      <c r="B887" s="5"/>
      <c r="C887" s="6"/>
      <c r="D887" s="6"/>
      <c r="E887" s="6"/>
    </row>
    <row r="888">
      <c r="A888" s="4"/>
      <c r="B888" s="5"/>
      <c r="C888" s="6"/>
      <c r="D888" s="6"/>
      <c r="E888" s="6"/>
    </row>
    <row r="889">
      <c r="A889" s="4"/>
      <c r="B889" s="5"/>
      <c r="C889" s="6"/>
      <c r="D889" s="6"/>
      <c r="E889" s="6"/>
    </row>
    <row r="890">
      <c r="A890" s="4"/>
      <c r="B890" s="5"/>
      <c r="C890" s="6"/>
      <c r="D890" s="6"/>
      <c r="E890" s="6"/>
    </row>
    <row r="891">
      <c r="A891" s="4"/>
      <c r="B891" s="5"/>
      <c r="C891" s="6"/>
      <c r="D891" s="6"/>
      <c r="E891" s="6"/>
    </row>
    <row r="892">
      <c r="A892" s="4"/>
      <c r="B892" s="5"/>
      <c r="C892" s="6"/>
      <c r="D892" s="6"/>
      <c r="E892" s="6"/>
    </row>
    <row r="893">
      <c r="A893" s="4"/>
      <c r="B893" s="5"/>
      <c r="C893" s="6"/>
      <c r="D893" s="6"/>
      <c r="E893" s="6"/>
    </row>
    <row r="894">
      <c r="A894" s="4"/>
      <c r="B894" s="5"/>
      <c r="C894" s="6"/>
      <c r="D894" s="6"/>
      <c r="E894" s="6"/>
    </row>
    <row r="895">
      <c r="A895" s="4"/>
      <c r="B895" s="5"/>
      <c r="C895" s="6"/>
      <c r="D895" s="6"/>
      <c r="E895" s="6"/>
    </row>
    <row r="896">
      <c r="A896" s="4"/>
      <c r="B896" s="5"/>
      <c r="C896" s="6"/>
      <c r="D896" s="6"/>
      <c r="E896" s="6"/>
    </row>
    <row r="897">
      <c r="A897" s="4"/>
      <c r="B897" s="5"/>
      <c r="C897" s="6"/>
      <c r="D897" s="6"/>
      <c r="E897" s="6"/>
    </row>
    <row r="898">
      <c r="A898" s="4"/>
      <c r="B898" s="5"/>
      <c r="C898" s="6"/>
      <c r="D898" s="6"/>
      <c r="E898" s="6"/>
    </row>
    <row r="899">
      <c r="A899" s="4"/>
      <c r="B899" s="5"/>
      <c r="C899" s="6"/>
      <c r="D899" s="6"/>
      <c r="E899" s="6"/>
    </row>
    <row r="900">
      <c r="A900" s="4"/>
      <c r="B900" s="5"/>
      <c r="C900" s="6"/>
      <c r="D900" s="6"/>
      <c r="E900" s="6"/>
    </row>
    <row r="901">
      <c r="A901" s="4"/>
      <c r="B901" s="5"/>
      <c r="C901" s="6"/>
      <c r="D901" s="6"/>
      <c r="E901" s="6"/>
    </row>
    <row r="902">
      <c r="A902" s="4"/>
      <c r="B902" s="5"/>
      <c r="C902" s="6"/>
      <c r="D902" s="6"/>
      <c r="E902" s="6"/>
    </row>
    <row r="903">
      <c r="A903" s="4"/>
      <c r="B903" s="5"/>
      <c r="C903" s="6"/>
      <c r="D903" s="6"/>
      <c r="E903" s="6"/>
    </row>
    <row r="904">
      <c r="A904" s="4"/>
      <c r="B904" s="5"/>
      <c r="C904" s="6"/>
      <c r="D904" s="6"/>
      <c r="E904" s="6"/>
    </row>
    <row r="905">
      <c r="A905" s="4"/>
      <c r="B905" s="5"/>
      <c r="C905" s="6"/>
      <c r="D905" s="6"/>
      <c r="E905" s="6"/>
    </row>
    <row r="906">
      <c r="A906" s="4"/>
      <c r="B906" s="5"/>
      <c r="C906" s="6"/>
      <c r="D906" s="6"/>
      <c r="E906" s="6"/>
    </row>
    <row r="907">
      <c r="A907" s="4"/>
      <c r="B907" s="5"/>
      <c r="C907" s="6"/>
      <c r="D907" s="6"/>
      <c r="E907" s="6"/>
    </row>
    <row r="908">
      <c r="A908" s="4"/>
      <c r="B908" s="5"/>
      <c r="C908" s="6"/>
      <c r="D908" s="6"/>
      <c r="E908" s="6"/>
    </row>
    <row r="909">
      <c r="A909" s="4"/>
      <c r="B909" s="5"/>
      <c r="C909" s="6"/>
      <c r="D909" s="6"/>
      <c r="E909" s="6"/>
    </row>
    <row r="910">
      <c r="A910" s="4"/>
      <c r="B910" s="5"/>
      <c r="C910" s="6"/>
      <c r="D910" s="6"/>
      <c r="E910" s="6"/>
    </row>
    <row r="911">
      <c r="A911" s="4"/>
      <c r="B911" s="5"/>
      <c r="C911" s="6"/>
      <c r="D911" s="6"/>
      <c r="E911" s="6"/>
    </row>
    <row r="912">
      <c r="A912" s="4"/>
      <c r="B912" s="5"/>
      <c r="C912" s="6"/>
      <c r="D912" s="6"/>
      <c r="E912" s="6"/>
    </row>
    <row r="913">
      <c r="A913" s="4"/>
      <c r="B913" s="5"/>
      <c r="C913" s="6"/>
      <c r="D913" s="6"/>
      <c r="E913" s="6"/>
    </row>
    <row r="914">
      <c r="A914" s="4"/>
      <c r="B914" s="5"/>
      <c r="C914" s="6"/>
      <c r="D914" s="6"/>
      <c r="E914" s="6"/>
    </row>
    <row r="915">
      <c r="A915" s="4"/>
      <c r="B915" s="5"/>
      <c r="C915" s="6"/>
      <c r="D915" s="6"/>
      <c r="E915" s="6"/>
    </row>
    <row r="916">
      <c r="A916" s="4"/>
      <c r="B916" s="5"/>
      <c r="C916" s="6"/>
      <c r="D916" s="6"/>
      <c r="E916" s="6"/>
    </row>
    <row r="917">
      <c r="A917" s="4"/>
      <c r="B917" s="5"/>
      <c r="C917" s="6"/>
      <c r="D917" s="6"/>
      <c r="E917" s="6"/>
    </row>
    <row r="918">
      <c r="A918" s="4"/>
      <c r="B918" s="5"/>
      <c r="C918" s="6"/>
      <c r="D918" s="6"/>
      <c r="E918" s="6"/>
    </row>
    <row r="919">
      <c r="A919" s="4"/>
      <c r="B919" s="5"/>
      <c r="C919" s="6"/>
      <c r="D919" s="6"/>
      <c r="E919" s="6"/>
    </row>
    <row r="920">
      <c r="A920" s="4"/>
      <c r="B920" s="5"/>
      <c r="C920" s="6"/>
      <c r="D920" s="6"/>
      <c r="E920" s="6"/>
    </row>
    <row r="921">
      <c r="A921" s="4"/>
      <c r="B921" s="5"/>
      <c r="C921" s="6"/>
      <c r="D921" s="6"/>
      <c r="E921" s="6"/>
    </row>
    <row r="922">
      <c r="A922" s="4"/>
      <c r="B922" s="5"/>
      <c r="C922" s="6"/>
      <c r="D922" s="6"/>
      <c r="E922" s="6"/>
    </row>
    <row r="923">
      <c r="A923" s="4"/>
      <c r="B923" s="5"/>
      <c r="C923" s="6"/>
      <c r="D923" s="6"/>
      <c r="E923" s="6"/>
    </row>
    <row r="924">
      <c r="A924" s="4"/>
      <c r="B924" s="5"/>
      <c r="C924" s="6"/>
      <c r="D924" s="6"/>
      <c r="E924" s="6"/>
    </row>
    <row r="925">
      <c r="A925" s="4"/>
      <c r="B925" s="5"/>
      <c r="C925" s="6"/>
      <c r="D925" s="6"/>
      <c r="E925" s="6"/>
    </row>
    <row r="926">
      <c r="A926" s="4"/>
      <c r="B926" s="5"/>
      <c r="C926" s="6"/>
      <c r="D926" s="6"/>
      <c r="E926" s="6"/>
    </row>
    <row r="927">
      <c r="A927" s="4"/>
      <c r="B927" s="5"/>
      <c r="C927" s="6"/>
      <c r="D927" s="6"/>
      <c r="E927" s="6"/>
    </row>
    <row r="928">
      <c r="A928" s="4"/>
      <c r="B928" s="5"/>
      <c r="C928" s="6"/>
      <c r="D928" s="6"/>
      <c r="E928" s="6"/>
    </row>
    <row r="929">
      <c r="A929" s="4"/>
      <c r="B929" s="5"/>
      <c r="C929" s="6"/>
      <c r="D929" s="6"/>
      <c r="E929" s="6"/>
    </row>
    <row r="930">
      <c r="A930" s="4"/>
      <c r="B930" s="5"/>
      <c r="C930" s="6"/>
      <c r="D930" s="6"/>
      <c r="E930" s="6"/>
    </row>
    <row r="931">
      <c r="A931" s="4"/>
      <c r="B931" s="5"/>
      <c r="C931" s="6"/>
      <c r="D931" s="6"/>
      <c r="E931" s="6"/>
    </row>
    <row r="932">
      <c r="A932" s="4"/>
      <c r="B932" s="5"/>
      <c r="C932" s="6"/>
      <c r="D932" s="6"/>
      <c r="E932" s="6"/>
    </row>
    <row r="933">
      <c r="A933" s="4"/>
      <c r="B933" s="5"/>
      <c r="C933" s="6"/>
      <c r="D933" s="6"/>
      <c r="E933" s="6"/>
    </row>
    <row r="934">
      <c r="A934" s="4"/>
      <c r="B934" s="5"/>
      <c r="C934" s="6"/>
      <c r="D934" s="6"/>
      <c r="E934" s="6"/>
    </row>
    <row r="935">
      <c r="A935" s="4"/>
      <c r="B935" s="5"/>
      <c r="C935" s="6"/>
      <c r="D935" s="6"/>
      <c r="E935" s="6"/>
    </row>
    <row r="936">
      <c r="A936" s="4"/>
      <c r="B936" s="5"/>
      <c r="C936" s="6"/>
      <c r="D936" s="6"/>
      <c r="E936" s="6"/>
    </row>
    <row r="937">
      <c r="A937" s="4"/>
      <c r="B937" s="5"/>
      <c r="C937" s="6"/>
      <c r="D937" s="6"/>
      <c r="E937" s="6"/>
    </row>
    <row r="938">
      <c r="A938" s="4"/>
      <c r="B938" s="5"/>
      <c r="C938" s="6"/>
      <c r="D938" s="6"/>
      <c r="E938" s="6"/>
    </row>
    <row r="939">
      <c r="A939" s="4"/>
      <c r="B939" s="5"/>
      <c r="C939" s="6"/>
      <c r="D939" s="6"/>
      <c r="E939" s="6"/>
    </row>
    <row r="940">
      <c r="A940" s="4"/>
      <c r="B940" s="5"/>
      <c r="C940" s="6"/>
      <c r="D940" s="6"/>
      <c r="E940" s="6"/>
    </row>
    <row r="941">
      <c r="A941" s="4"/>
      <c r="B941" s="5"/>
      <c r="C941" s="6"/>
      <c r="D941" s="6"/>
      <c r="E941" s="6"/>
    </row>
    <row r="942">
      <c r="A942" s="4"/>
      <c r="B942" s="5"/>
      <c r="C942" s="6"/>
      <c r="D942" s="6"/>
      <c r="E942" s="6"/>
    </row>
    <row r="943">
      <c r="A943" s="4"/>
      <c r="B943" s="5"/>
      <c r="C943" s="6"/>
      <c r="D943" s="6"/>
      <c r="E943" s="6"/>
    </row>
    <row r="944">
      <c r="A944" s="4"/>
      <c r="B944" s="5"/>
      <c r="C944" s="6"/>
      <c r="D944" s="6"/>
      <c r="E944" s="6"/>
    </row>
    <row r="945">
      <c r="A945" s="4"/>
      <c r="B945" s="5"/>
      <c r="C945" s="6"/>
      <c r="D945" s="6"/>
      <c r="E945" s="6"/>
    </row>
    <row r="946">
      <c r="A946" s="4"/>
      <c r="B946" s="5"/>
      <c r="C946" s="6"/>
      <c r="D946" s="6"/>
      <c r="E946" s="6"/>
    </row>
    <row r="947">
      <c r="A947" s="4"/>
      <c r="B947" s="5"/>
      <c r="C947" s="6"/>
      <c r="D947" s="6"/>
      <c r="E947" s="6"/>
    </row>
    <row r="948">
      <c r="A948" s="4"/>
      <c r="B948" s="5"/>
      <c r="C948" s="6"/>
      <c r="D948" s="6"/>
      <c r="E948" s="6"/>
    </row>
    <row r="949">
      <c r="A949" s="4"/>
      <c r="B949" s="5"/>
      <c r="C949" s="6"/>
      <c r="D949" s="6"/>
      <c r="E949" s="6"/>
    </row>
    <row r="950">
      <c r="A950" s="4"/>
      <c r="B950" s="5"/>
      <c r="C950" s="6"/>
      <c r="D950" s="6"/>
      <c r="E950" s="6"/>
    </row>
    <row r="951">
      <c r="A951" s="4"/>
      <c r="B951" s="5"/>
      <c r="C951" s="6"/>
      <c r="D951" s="6"/>
      <c r="E951" s="6"/>
    </row>
    <row r="952">
      <c r="A952" s="4"/>
      <c r="B952" s="5"/>
      <c r="C952" s="6"/>
      <c r="D952" s="6"/>
      <c r="E952" s="6"/>
    </row>
    <row r="953">
      <c r="A953" s="4"/>
      <c r="B953" s="5"/>
      <c r="C953" s="6"/>
      <c r="D953" s="6"/>
      <c r="E953" s="6"/>
    </row>
    <row r="954">
      <c r="A954" s="4"/>
      <c r="B954" s="5"/>
      <c r="C954" s="6"/>
      <c r="D954" s="6"/>
      <c r="E954" s="6"/>
    </row>
    <row r="955">
      <c r="A955" s="4"/>
      <c r="B955" s="5"/>
      <c r="C955" s="6"/>
      <c r="D955" s="6"/>
      <c r="E955" s="6"/>
    </row>
    <row r="956">
      <c r="A956" s="4"/>
      <c r="B956" s="5"/>
      <c r="C956" s="6"/>
      <c r="D956" s="6"/>
      <c r="E956" s="6"/>
    </row>
    <row r="957">
      <c r="A957" s="4"/>
      <c r="B957" s="5"/>
      <c r="C957" s="6"/>
      <c r="D957" s="6"/>
      <c r="E957" s="6"/>
    </row>
    <row r="958">
      <c r="A958" s="4"/>
      <c r="B958" s="5"/>
      <c r="C958" s="6"/>
      <c r="D958" s="6"/>
      <c r="E958" s="6"/>
    </row>
    <row r="959">
      <c r="A959" s="4"/>
      <c r="B959" s="5"/>
      <c r="C959" s="6"/>
      <c r="D959" s="6"/>
      <c r="E959" s="6"/>
    </row>
    <row r="960">
      <c r="A960" s="4"/>
      <c r="B960" s="5"/>
      <c r="C960" s="6"/>
      <c r="D960" s="6"/>
      <c r="E960" s="6"/>
    </row>
    <row r="961">
      <c r="A961" s="4"/>
      <c r="B961" s="5"/>
      <c r="C961" s="6"/>
      <c r="D961" s="6"/>
      <c r="E961" s="6"/>
    </row>
    <row r="962">
      <c r="A962" s="4"/>
      <c r="B962" s="5"/>
      <c r="C962" s="6"/>
      <c r="D962" s="6"/>
      <c r="E962" s="6"/>
    </row>
    <row r="963">
      <c r="A963" s="4"/>
      <c r="B963" s="5"/>
      <c r="C963" s="6"/>
      <c r="D963" s="6"/>
      <c r="E963" s="6"/>
    </row>
    <row r="964">
      <c r="A964" s="4"/>
      <c r="B964" s="5"/>
      <c r="C964" s="6"/>
      <c r="D964" s="6"/>
      <c r="E964" s="6"/>
    </row>
    <row r="965">
      <c r="A965" s="4"/>
      <c r="B965" s="5"/>
      <c r="C965" s="6"/>
      <c r="D965" s="6"/>
      <c r="E965" s="6"/>
    </row>
    <row r="966">
      <c r="A966" s="4"/>
      <c r="B966" s="5"/>
      <c r="C966" s="6"/>
      <c r="D966" s="6"/>
      <c r="E966" s="6"/>
    </row>
    <row r="967">
      <c r="A967" s="4"/>
      <c r="B967" s="5"/>
      <c r="C967" s="6"/>
      <c r="D967" s="6"/>
      <c r="E967" s="6"/>
    </row>
    <row r="968">
      <c r="A968" s="4"/>
      <c r="B968" s="5"/>
      <c r="C968" s="6"/>
      <c r="D968" s="6"/>
      <c r="E968" s="6"/>
    </row>
    <row r="969">
      <c r="A969" s="4"/>
      <c r="B969" s="5"/>
      <c r="C969" s="6"/>
      <c r="D969" s="6"/>
      <c r="E969" s="6"/>
    </row>
    <row r="970">
      <c r="A970" s="4"/>
      <c r="B970" s="5"/>
      <c r="C970" s="6"/>
      <c r="D970" s="6"/>
      <c r="E970" s="6"/>
    </row>
    <row r="971">
      <c r="A971" s="4"/>
      <c r="B971" s="5"/>
      <c r="C971" s="6"/>
      <c r="D971" s="6"/>
      <c r="E971" s="6"/>
    </row>
    <row r="972">
      <c r="A972" s="4"/>
      <c r="B972" s="5"/>
      <c r="C972" s="6"/>
      <c r="D972" s="6"/>
      <c r="E972" s="6"/>
    </row>
    <row r="973">
      <c r="A973" s="4"/>
      <c r="B973" s="5"/>
      <c r="C973" s="6"/>
      <c r="D973" s="6"/>
      <c r="E973" s="6"/>
    </row>
    <row r="974">
      <c r="A974" s="4"/>
      <c r="B974" s="5"/>
      <c r="C974" s="6"/>
      <c r="D974" s="6"/>
      <c r="E974" s="6"/>
    </row>
    <row r="975">
      <c r="A975" s="4"/>
      <c r="B975" s="5"/>
      <c r="C975" s="6"/>
      <c r="D975" s="6"/>
      <c r="E975" s="6"/>
    </row>
    <row r="976">
      <c r="A976" s="4"/>
      <c r="B976" s="5"/>
      <c r="C976" s="6"/>
      <c r="D976" s="6"/>
      <c r="E976" s="6"/>
    </row>
    <row r="977">
      <c r="A977" s="4"/>
      <c r="B977" s="5"/>
      <c r="C977" s="6"/>
      <c r="D977" s="6"/>
      <c r="E977" s="6"/>
    </row>
    <row r="978">
      <c r="A978" s="4"/>
      <c r="B978" s="5"/>
      <c r="C978" s="6"/>
      <c r="D978" s="6"/>
      <c r="E978" s="6"/>
    </row>
    <row r="979">
      <c r="A979" s="4"/>
      <c r="B979" s="5"/>
      <c r="C979" s="6"/>
      <c r="D979" s="6"/>
      <c r="E979" s="6"/>
    </row>
    <row r="980">
      <c r="A980" s="4"/>
      <c r="B980" s="5"/>
      <c r="C980" s="6"/>
      <c r="D980" s="6"/>
      <c r="E980" s="6"/>
    </row>
    <row r="981">
      <c r="A981" s="4"/>
      <c r="B981" s="5"/>
      <c r="C981" s="6"/>
      <c r="D981" s="6"/>
      <c r="E981" s="6"/>
    </row>
    <row r="982">
      <c r="A982" s="4"/>
      <c r="B982" s="5"/>
      <c r="C982" s="6"/>
      <c r="D982" s="6"/>
      <c r="E982" s="6"/>
    </row>
    <row r="983">
      <c r="A983" s="4"/>
      <c r="B983" s="5"/>
      <c r="C983" s="6"/>
      <c r="D983" s="6"/>
      <c r="E983" s="6"/>
    </row>
    <row r="984">
      <c r="A984" s="4"/>
      <c r="B984" s="5"/>
      <c r="C984" s="6"/>
      <c r="D984" s="6"/>
      <c r="E984" s="6"/>
    </row>
    <row r="985">
      <c r="A985" s="4"/>
      <c r="B985" s="5"/>
      <c r="C985" s="6"/>
      <c r="D985" s="6"/>
      <c r="E985" s="6"/>
    </row>
    <row r="986">
      <c r="A986" s="4"/>
      <c r="B986" s="5"/>
      <c r="C986" s="6"/>
      <c r="D986" s="6"/>
      <c r="E986" s="6"/>
    </row>
    <row r="987">
      <c r="A987" s="4"/>
      <c r="B987" s="5"/>
      <c r="C987" s="6"/>
      <c r="D987" s="6"/>
      <c r="E987" s="6"/>
    </row>
    <row r="988">
      <c r="A988" s="4"/>
      <c r="B988" s="5"/>
      <c r="C988" s="6"/>
      <c r="D988" s="6"/>
      <c r="E988" s="6"/>
    </row>
    <row r="989">
      <c r="A989" s="4"/>
      <c r="B989" s="5"/>
      <c r="C989" s="6"/>
      <c r="D989" s="6"/>
      <c r="E989" s="6"/>
    </row>
    <row r="990">
      <c r="A990" s="4"/>
      <c r="B990" s="5"/>
      <c r="C990" s="6"/>
      <c r="D990" s="6"/>
      <c r="E990" s="6"/>
    </row>
    <row r="991">
      <c r="A991" s="4"/>
      <c r="B991" s="5"/>
      <c r="C991" s="6"/>
      <c r="D991" s="6"/>
      <c r="E991" s="6"/>
    </row>
    <row r="992">
      <c r="A992" s="4"/>
      <c r="B992" s="5"/>
      <c r="C992" s="6"/>
      <c r="D992" s="6"/>
      <c r="E992" s="6"/>
    </row>
    <row r="993">
      <c r="A993" s="4"/>
      <c r="B993" s="5"/>
      <c r="C993" s="6"/>
      <c r="D993" s="6"/>
      <c r="E993" s="6"/>
    </row>
    <row r="994">
      <c r="A994" s="4"/>
      <c r="B994" s="5"/>
      <c r="C994" s="6"/>
      <c r="D994" s="6"/>
      <c r="E994" s="6"/>
    </row>
    <row r="995">
      <c r="A995" s="4"/>
      <c r="B995" s="5"/>
      <c r="C995" s="6"/>
      <c r="D995" s="6"/>
      <c r="E995" s="6"/>
    </row>
    <row r="996">
      <c r="A996" s="4"/>
      <c r="B996" s="5"/>
      <c r="C996" s="6"/>
      <c r="D996" s="6"/>
      <c r="E996" s="6"/>
    </row>
    <row r="997">
      <c r="A997" s="4"/>
      <c r="B997" s="5"/>
      <c r="C997" s="6"/>
      <c r="D997" s="6"/>
      <c r="E997" s="6"/>
    </row>
    <row r="998">
      <c r="A998" s="4"/>
      <c r="B998" s="5"/>
      <c r="C998" s="6"/>
      <c r="D998" s="6"/>
      <c r="E998" s="6"/>
    </row>
    <row r="999">
      <c r="A999" s="4"/>
      <c r="B999" s="5"/>
      <c r="C999" s="6"/>
      <c r="D999" s="6"/>
      <c r="E999" s="6"/>
    </row>
    <row r="1000">
      <c r="A1000" s="4"/>
      <c r="B1000" s="5"/>
      <c r="C1000" s="6"/>
      <c r="D1000" s="6"/>
      <c r="E1000" s="6"/>
    </row>
    <row r="1001">
      <c r="A1001" s="4"/>
      <c r="B1001" s="5"/>
      <c r="C1001" s="6"/>
      <c r="D1001" s="6"/>
      <c r="E1001" s="6"/>
    </row>
    <row r="1002">
      <c r="A1002" s="4"/>
      <c r="B1002" s="5"/>
      <c r="C1002" s="6"/>
      <c r="D1002" s="6"/>
      <c r="E1002" s="6"/>
    </row>
    <row r="1003">
      <c r="A1003" s="4"/>
      <c r="B1003" s="5"/>
      <c r="C1003" s="6"/>
      <c r="D1003" s="6"/>
      <c r="E1003" s="6"/>
    </row>
    <row r="1004">
      <c r="A1004" s="4"/>
      <c r="B1004" s="5"/>
      <c r="C1004" s="6"/>
      <c r="D1004" s="6"/>
      <c r="E1004" s="6"/>
    </row>
    <row r="1005">
      <c r="A1005" s="4"/>
      <c r="B1005" s="5"/>
      <c r="C1005" s="6"/>
      <c r="D1005" s="6"/>
      <c r="E1005" s="6"/>
    </row>
    <row r="1006">
      <c r="A1006" s="4"/>
      <c r="B1006" s="5"/>
      <c r="C1006" s="6"/>
      <c r="D1006" s="6"/>
      <c r="E1006" s="6"/>
    </row>
    <row r="1007">
      <c r="A1007" s="4"/>
      <c r="B1007" s="5"/>
      <c r="C1007" s="6"/>
      <c r="D1007" s="6"/>
      <c r="E1007" s="6"/>
    </row>
    <row r="1008">
      <c r="A1008" s="4"/>
      <c r="B1008" s="5"/>
      <c r="C1008" s="6"/>
      <c r="D1008" s="6"/>
      <c r="E1008" s="6"/>
    </row>
    <row r="1009">
      <c r="A1009" s="4"/>
      <c r="B1009" s="5"/>
      <c r="C1009" s="6"/>
      <c r="D1009" s="6"/>
      <c r="E1009" s="6"/>
    </row>
    <row r="1010">
      <c r="A1010" s="4"/>
      <c r="B1010" s="5"/>
      <c r="C1010" s="6"/>
      <c r="D1010" s="6"/>
      <c r="E1010" s="6"/>
    </row>
    <row r="1011">
      <c r="A1011" s="4"/>
      <c r="B1011" s="5"/>
      <c r="C1011" s="6"/>
      <c r="D1011" s="6"/>
      <c r="E1011" s="6"/>
    </row>
    <row r="1012">
      <c r="A1012" s="4"/>
      <c r="B1012" s="5"/>
      <c r="C1012" s="6"/>
      <c r="D1012" s="6"/>
      <c r="E1012" s="6"/>
    </row>
    <row r="1013">
      <c r="A1013" s="4"/>
      <c r="B1013" s="5"/>
      <c r="C1013" s="6"/>
      <c r="D1013" s="6"/>
      <c r="E1013" s="6"/>
    </row>
    <row r="1014">
      <c r="A1014" s="4"/>
      <c r="B1014" s="5"/>
      <c r="C1014" s="6"/>
      <c r="D1014" s="6"/>
      <c r="E1014" s="6"/>
    </row>
    <row r="1015">
      <c r="A1015" s="4"/>
      <c r="B1015" s="5"/>
      <c r="C1015" s="6"/>
      <c r="D1015" s="6"/>
      <c r="E1015" s="6"/>
    </row>
    <row r="1016">
      <c r="A1016" s="4"/>
      <c r="B1016" s="5"/>
      <c r="C1016" s="6"/>
      <c r="D1016" s="6"/>
      <c r="E1016" s="6"/>
    </row>
    <row r="1017">
      <c r="A1017" s="4"/>
      <c r="B1017" s="5"/>
      <c r="C1017" s="6"/>
      <c r="D1017" s="6"/>
      <c r="E1017" s="6"/>
    </row>
    <row r="1018">
      <c r="A1018" s="4"/>
      <c r="B1018" s="5"/>
      <c r="C1018" s="6"/>
      <c r="D1018" s="6"/>
      <c r="E1018" s="6"/>
    </row>
    <row r="1019">
      <c r="A1019" s="4"/>
      <c r="B1019" s="5"/>
      <c r="C1019" s="6"/>
      <c r="D1019" s="6"/>
      <c r="E1019" s="6"/>
    </row>
    <row r="1020">
      <c r="A1020" s="4"/>
      <c r="B1020" s="5"/>
      <c r="C1020" s="6"/>
      <c r="D1020" s="6"/>
      <c r="E1020" s="6"/>
    </row>
    <row r="1021">
      <c r="A1021" s="4"/>
      <c r="B1021" s="5"/>
      <c r="C1021" s="6"/>
      <c r="D1021" s="6"/>
      <c r="E1021" s="6"/>
    </row>
    <row r="1022">
      <c r="A1022" s="4"/>
      <c r="B1022" s="5"/>
      <c r="C1022" s="6"/>
      <c r="D1022" s="6"/>
      <c r="E1022" s="6"/>
    </row>
    <row r="1023">
      <c r="A1023" s="4"/>
      <c r="B1023" s="5"/>
      <c r="C1023" s="6"/>
      <c r="D1023" s="6"/>
      <c r="E1023" s="6"/>
    </row>
    <row r="1024">
      <c r="A1024" s="4"/>
      <c r="B1024" s="5"/>
      <c r="C1024" s="6"/>
      <c r="D1024" s="6"/>
      <c r="E1024" s="6"/>
    </row>
    <row r="1025">
      <c r="A1025" s="4"/>
      <c r="B1025" s="5"/>
      <c r="C1025" s="6"/>
      <c r="D1025" s="6"/>
      <c r="E1025" s="6"/>
    </row>
    <row r="1026">
      <c r="A1026" s="4"/>
      <c r="B1026" s="5"/>
      <c r="C1026" s="6"/>
      <c r="D1026" s="6"/>
      <c r="E1026" s="6"/>
    </row>
    <row r="1027">
      <c r="A1027" s="4"/>
      <c r="B1027" s="5"/>
      <c r="C1027" s="6"/>
      <c r="D1027" s="6"/>
      <c r="E1027" s="6"/>
    </row>
    <row r="1028">
      <c r="A1028" s="4"/>
      <c r="B1028" s="5"/>
      <c r="C1028" s="6"/>
      <c r="D1028" s="6"/>
      <c r="E1028" s="6"/>
    </row>
    <row r="1029">
      <c r="A1029" s="4"/>
      <c r="B1029" s="5"/>
      <c r="C1029" s="6"/>
      <c r="D1029" s="6"/>
      <c r="E1029" s="6"/>
    </row>
    <row r="1030">
      <c r="A1030" s="4"/>
      <c r="B1030" s="5"/>
      <c r="C1030" s="6"/>
      <c r="D1030" s="6"/>
      <c r="E1030" s="6"/>
    </row>
    <row r="1031">
      <c r="A1031" s="4"/>
      <c r="B1031" s="5"/>
      <c r="C1031" s="6"/>
      <c r="D1031" s="6"/>
      <c r="E1031" s="6"/>
    </row>
    <row r="1032">
      <c r="A1032" s="4"/>
      <c r="B1032" s="5"/>
      <c r="C1032" s="6"/>
      <c r="D1032" s="6"/>
      <c r="E1032" s="6"/>
    </row>
    <row r="1033">
      <c r="A1033" s="4"/>
      <c r="B1033" s="5"/>
      <c r="C1033" s="6"/>
      <c r="D1033" s="6"/>
      <c r="E1033" s="6"/>
    </row>
    <row r="1034">
      <c r="A1034" s="4"/>
      <c r="B1034" s="5"/>
      <c r="C1034" s="6"/>
      <c r="D1034" s="6"/>
      <c r="E1034" s="6"/>
    </row>
    <row r="1035">
      <c r="A1035" s="4"/>
      <c r="B1035" s="5"/>
      <c r="C1035" s="6"/>
      <c r="D1035" s="6"/>
      <c r="E1035" s="6"/>
    </row>
    <row r="1036">
      <c r="A1036" s="4"/>
      <c r="B1036" s="5"/>
      <c r="C1036" s="6"/>
      <c r="D1036" s="6"/>
      <c r="E1036" s="6"/>
    </row>
    <row r="1037">
      <c r="A1037" s="4"/>
      <c r="B1037" s="5"/>
      <c r="C1037" s="6"/>
      <c r="D1037" s="6"/>
      <c r="E1037" s="6"/>
    </row>
    <row r="1038">
      <c r="A1038" s="4"/>
      <c r="B1038" s="5"/>
      <c r="C1038" s="6"/>
      <c r="D1038" s="6"/>
      <c r="E1038" s="6"/>
    </row>
    <row r="1039">
      <c r="A1039" s="4"/>
      <c r="B1039" s="5"/>
      <c r="C1039" s="6"/>
      <c r="D1039" s="6"/>
      <c r="E1039" s="6"/>
    </row>
    <row r="1040">
      <c r="A1040" s="4"/>
      <c r="B1040" s="5"/>
      <c r="C1040" s="6"/>
      <c r="D1040" s="6"/>
      <c r="E1040" s="6"/>
    </row>
    <row r="1041">
      <c r="A1041" s="4"/>
      <c r="B1041" s="5"/>
      <c r="C1041" s="6"/>
      <c r="D1041" s="6"/>
      <c r="E1041" s="6"/>
    </row>
    <row r="1042">
      <c r="A1042" s="4"/>
      <c r="B1042" s="5"/>
      <c r="C1042" s="6"/>
      <c r="D1042" s="6"/>
      <c r="E1042" s="6"/>
    </row>
    <row r="1043">
      <c r="A1043" s="4"/>
      <c r="B1043" s="5"/>
      <c r="C1043" s="6"/>
      <c r="D1043" s="6"/>
      <c r="E1043" s="6"/>
    </row>
    <row r="1044">
      <c r="A1044" s="4"/>
      <c r="B1044" s="5"/>
      <c r="C1044" s="6"/>
      <c r="D1044" s="6"/>
      <c r="E1044" s="6"/>
    </row>
    <row r="1045">
      <c r="A1045" s="4"/>
      <c r="B1045" s="5"/>
      <c r="C1045" s="6"/>
      <c r="D1045" s="6"/>
      <c r="E1045" s="6"/>
    </row>
    <row r="1046">
      <c r="A1046" s="4"/>
      <c r="B1046" s="5"/>
      <c r="C1046" s="6"/>
      <c r="D1046" s="6"/>
      <c r="E1046" s="6"/>
    </row>
    <row r="1047">
      <c r="A1047" s="4"/>
      <c r="B1047" s="5"/>
      <c r="C1047" s="6"/>
      <c r="D1047" s="6"/>
      <c r="E1047" s="6"/>
    </row>
    <row r="1048">
      <c r="A1048" s="4"/>
      <c r="B1048" s="5"/>
      <c r="C1048" s="6"/>
      <c r="D1048" s="6"/>
      <c r="E1048" s="6"/>
    </row>
    <row r="1049">
      <c r="A1049" s="4"/>
      <c r="B1049" s="5"/>
      <c r="C1049" s="6"/>
      <c r="D1049" s="6"/>
      <c r="E1049" s="6"/>
    </row>
    <row r="1050">
      <c r="A1050" s="4"/>
      <c r="B1050" s="5"/>
      <c r="C1050" s="6"/>
      <c r="D1050" s="6"/>
      <c r="E1050" s="6"/>
    </row>
    <row r="1051">
      <c r="A1051" s="4"/>
      <c r="B1051" s="5"/>
      <c r="C1051" s="6"/>
      <c r="D1051" s="6"/>
      <c r="E1051" s="6"/>
    </row>
    <row r="1052">
      <c r="A1052" s="4"/>
      <c r="B1052" s="5"/>
      <c r="C1052" s="6"/>
      <c r="D1052" s="6"/>
      <c r="E1052" s="6"/>
    </row>
    <row r="1053">
      <c r="A1053" s="4"/>
      <c r="B1053" s="5"/>
      <c r="C1053" s="6"/>
      <c r="D1053" s="6"/>
      <c r="E1053" s="6"/>
    </row>
    <row r="1054">
      <c r="A1054" s="4"/>
      <c r="B1054" s="5"/>
      <c r="C1054" s="6"/>
      <c r="D1054" s="6"/>
      <c r="E1054" s="6"/>
    </row>
    <row r="1055">
      <c r="A1055" s="4"/>
      <c r="B1055" s="5"/>
      <c r="C1055" s="6"/>
      <c r="D1055" s="6"/>
      <c r="E1055" s="6"/>
    </row>
    <row r="1056">
      <c r="A1056" s="4"/>
      <c r="B1056" s="5"/>
      <c r="C1056" s="6"/>
      <c r="D1056" s="6"/>
      <c r="E1056" s="6"/>
    </row>
    <row r="1057">
      <c r="A1057" s="4"/>
      <c r="B1057" s="5"/>
      <c r="C1057" s="6"/>
      <c r="D1057" s="6"/>
      <c r="E1057" s="6"/>
    </row>
    <row r="1058">
      <c r="A1058" s="4"/>
      <c r="B1058" s="5"/>
      <c r="C1058" s="6"/>
      <c r="D1058" s="6"/>
      <c r="E1058" s="6"/>
    </row>
    <row r="1059">
      <c r="A1059" s="4"/>
      <c r="B1059" s="5"/>
      <c r="C1059" s="6"/>
      <c r="D1059" s="6"/>
      <c r="E1059" s="6"/>
    </row>
    <row r="1060">
      <c r="A1060" s="4"/>
      <c r="B1060" s="5"/>
      <c r="C1060" s="6"/>
      <c r="D1060" s="6"/>
      <c r="E1060" s="6"/>
    </row>
    <row r="1061">
      <c r="A1061" s="4"/>
      <c r="B1061" s="5"/>
      <c r="C1061" s="6"/>
      <c r="D1061" s="6"/>
      <c r="E1061" s="6"/>
    </row>
    <row r="1062">
      <c r="A1062" s="4"/>
      <c r="B1062" s="5"/>
      <c r="C1062" s="6"/>
      <c r="D1062" s="6"/>
      <c r="E1062" s="6"/>
    </row>
    <row r="1063">
      <c r="A1063" s="4"/>
      <c r="B1063" s="5"/>
      <c r="C1063" s="6"/>
      <c r="D1063" s="6"/>
      <c r="E1063" s="6"/>
    </row>
    <row r="1064">
      <c r="A1064" s="4"/>
      <c r="B1064" s="5"/>
      <c r="C1064" s="6"/>
      <c r="D1064" s="6"/>
      <c r="E1064" s="6"/>
    </row>
    <row r="1065">
      <c r="A1065" s="4"/>
      <c r="B1065" s="5"/>
      <c r="C1065" s="6"/>
      <c r="D1065" s="6"/>
      <c r="E1065" s="6"/>
    </row>
    <row r="1066">
      <c r="A1066" s="4"/>
      <c r="B1066" s="5"/>
      <c r="C1066" s="6"/>
      <c r="D1066" s="6"/>
      <c r="E1066" s="6"/>
    </row>
    <row r="1067">
      <c r="A1067" s="4"/>
      <c r="B1067" s="5"/>
      <c r="C1067" s="6"/>
      <c r="D1067" s="6"/>
      <c r="E1067" s="6"/>
    </row>
    <row r="1068">
      <c r="A1068" s="4"/>
      <c r="B1068" s="5"/>
      <c r="C1068" s="6"/>
      <c r="D1068" s="6"/>
      <c r="E1068" s="6"/>
    </row>
    <row r="1069">
      <c r="A1069" s="4"/>
      <c r="B1069" s="5"/>
      <c r="C1069" s="6"/>
      <c r="D1069" s="6"/>
      <c r="E1069" s="6"/>
    </row>
    <row r="1070">
      <c r="A1070" s="4"/>
      <c r="B1070" s="5"/>
      <c r="C1070" s="6"/>
      <c r="D1070" s="6"/>
      <c r="E1070" s="6"/>
    </row>
    <row r="1071">
      <c r="A1071" s="4"/>
      <c r="B1071" s="5"/>
      <c r="C1071" s="6"/>
      <c r="D1071" s="6"/>
      <c r="E1071" s="6"/>
    </row>
    <row r="1072">
      <c r="A1072" s="4"/>
      <c r="B1072" s="5"/>
      <c r="C1072" s="6"/>
      <c r="D1072" s="6"/>
      <c r="E1072" s="6"/>
    </row>
    <row r="1073">
      <c r="A1073" s="4"/>
      <c r="B1073" s="5"/>
      <c r="C1073" s="6"/>
      <c r="D1073" s="6"/>
      <c r="E1073" s="6"/>
    </row>
    <row r="1074">
      <c r="A1074" s="4"/>
      <c r="B1074" s="5"/>
      <c r="C1074" s="6"/>
      <c r="D1074" s="6"/>
      <c r="E1074" s="6"/>
    </row>
    <row r="1075">
      <c r="A1075" s="4"/>
      <c r="B1075" s="5"/>
      <c r="C1075" s="6"/>
      <c r="D1075" s="6"/>
      <c r="E1075" s="6"/>
    </row>
    <row r="1076">
      <c r="A1076" s="4"/>
      <c r="B1076" s="5"/>
      <c r="C1076" s="6"/>
      <c r="D1076" s="6"/>
      <c r="E1076" s="6"/>
    </row>
    <row r="1077">
      <c r="A1077" s="4"/>
      <c r="B1077" s="5"/>
      <c r="C1077" s="6"/>
      <c r="D1077" s="6"/>
      <c r="E1077" s="6"/>
    </row>
    <row r="1078">
      <c r="A1078" s="4"/>
      <c r="B1078" s="5"/>
      <c r="C1078" s="6"/>
      <c r="D1078" s="6"/>
      <c r="E1078" s="6"/>
    </row>
    <row r="1079">
      <c r="A1079" s="4"/>
      <c r="B1079" s="5"/>
      <c r="C1079" s="6"/>
      <c r="D1079" s="6"/>
      <c r="E1079" s="6"/>
    </row>
    <row r="1080">
      <c r="A1080" s="8"/>
      <c r="B1080" s="9"/>
      <c r="C1080" s="6"/>
      <c r="D1080" s="6"/>
      <c r="E1080" s="6"/>
    </row>
    <row r="1081">
      <c r="A1081" s="8"/>
      <c r="B1081" s="6"/>
      <c r="C1081" s="6"/>
      <c r="D1081" s="6"/>
      <c r="E1081" s="6"/>
    </row>
    <row r="1082">
      <c r="A1082" s="8"/>
      <c r="B1082" s="6"/>
      <c r="C1082" s="6"/>
      <c r="D1082" s="6"/>
      <c r="E1082" s="6"/>
    </row>
    <row r="1083">
      <c r="A1083" s="8"/>
      <c r="B1083" s="6"/>
      <c r="C1083" s="6"/>
      <c r="D1083" s="6"/>
      <c r="E1083" s="6"/>
    </row>
    <row r="1084">
      <c r="A1084" s="8"/>
      <c r="B1084" s="6"/>
      <c r="C1084" s="6"/>
      <c r="D1084" s="6"/>
      <c r="E1084" s="6"/>
    </row>
    <row r="1085">
      <c r="A1085" s="10"/>
      <c r="B1085" s="6"/>
      <c r="C1085" s="6"/>
      <c r="D1085" s="6"/>
      <c r="E1085" s="6"/>
    </row>
    <row r="1086">
      <c r="A1086" s="8"/>
      <c r="B1086" s="6"/>
      <c r="C1086" s="6"/>
      <c r="D1086" s="6"/>
      <c r="E1086" s="6"/>
    </row>
    <row r="1087">
      <c r="A1087" s="8"/>
      <c r="B1087" s="6"/>
      <c r="C1087" s="6"/>
      <c r="D1087" s="6"/>
      <c r="E1087" s="6"/>
    </row>
    <row r="1088">
      <c r="A1088" s="8"/>
      <c r="B1088" s="6"/>
      <c r="C1088" s="6"/>
      <c r="D1088" s="6"/>
      <c r="E1088" s="6"/>
    </row>
    <row r="1089">
      <c r="A1089" s="8"/>
      <c r="B1089" s="6"/>
      <c r="C1089" s="6"/>
      <c r="D1089" s="6"/>
      <c r="E1089" s="6"/>
    </row>
    <row r="1090">
      <c r="A1090" s="8"/>
      <c r="B1090" s="6"/>
      <c r="C1090" s="6"/>
      <c r="D1090" s="6"/>
      <c r="E1090" s="6"/>
    </row>
    <row r="1091">
      <c r="A1091" s="8"/>
      <c r="B1091" s="6"/>
      <c r="C1091" s="6"/>
      <c r="D1091" s="6"/>
      <c r="E1091" s="6"/>
    </row>
    <row r="1092">
      <c r="A1092" s="4"/>
      <c r="B1092" s="5"/>
      <c r="C1092" s="6"/>
      <c r="D1092" s="6"/>
      <c r="E1092" s="6"/>
    </row>
    <row r="1093">
      <c r="A1093" s="10"/>
      <c r="B1093" s="5"/>
      <c r="C1093" s="6"/>
      <c r="D1093" s="6"/>
      <c r="E1093" s="6"/>
    </row>
    <row r="1094">
      <c r="A1094" s="10"/>
      <c r="B1094" s="5"/>
      <c r="C1094" s="6"/>
      <c r="D1094" s="6"/>
      <c r="E1094" s="6"/>
    </row>
    <row r="1095">
      <c r="A1095" s="10"/>
      <c r="B1095" s="5"/>
      <c r="C1095" s="6"/>
      <c r="D1095" s="6"/>
      <c r="E1095" s="6"/>
    </row>
    <row r="1096">
      <c r="A1096" s="10"/>
      <c r="B1096" s="5"/>
      <c r="C1096" s="6"/>
      <c r="D1096" s="6"/>
      <c r="E1096" s="6"/>
    </row>
    <row r="1097">
      <c r="A1097" s="10"/>
      <c r="B1097" s="5"/>
      <c r="C1097" s="6"/>
      <c r="D1097" s="6"/>
      <c r="E1097" s="6"/>
    </row>
    <row r="1098">
      <c r="A1098" s="10"/>
      <c r="B1098" s="5"/>
      <c r="C1098" s="6"/>
      <c r="D1098" s="6"/>
      <c r="E1098" s="6"/>
    </row>
    <row r="1099">
      <c r="A1099" s="10"/>
      <c r="B1099" s="5"/>
      <c r="C1099" s="6"/>
      <c r="D1099" s="6"/>
      <c r="E1099" s="6"/>
    </row>
    <row r="1100">
      <c r="A1100" s="10"/>
      <c r="B1100" s="5"/>
      <c r="C1100" s="6"/>
      <c r="D1100" s="6"/>
      <c r="E1100" s="6"/>
    </row>
    <row r="1101">
      <c r="A1101" s="10"/>
      <c r="B1101" s="5"/>
      <c r="C1101" s="6"/>
      <c r="D1101" s="6"/>
      <c r="E1101" s="6"/>
    </row>
    <row r="1102">
      <c r="A1102" s="10"/>
      <c r="B1102" s="5"/>
      <c r="C1102" s="6"/>
      <c r="D1102" s="6"/>
      <c r="E1102" s="6"/>
    </row>
    <row r="1103">
      <c r="A1103" s="10"/>
      <c r="B1103" s="5"/>
      <c r="C1103" s="6"/>
      <c r="D1103" s="6"/>
      <c r="E1103" s="6"/>
    </row>
    <row r="1104">
      <c r="A1104" s="10"/>
      <c r="B1104" s="5"/>
      <c r="C1104" s="6"/>
      <c r="D1104" s="6"/>
      <c r="E1104" s="6"/>
    </row>
    <row r="1105">
      <c r="A1105" s="4"/>
      <c r="B1105" s="5"/>
      <c r="C1105" s="6"/>
      <c r="D1105" s="6"/>
      <c r="E1105" s="6"/>
    </row>
    <row r="1106">
      <c r="A1106" s="4"/>
      <c r="B1106" s="5"/>
      <c r="C1106" s="6"/>
      <c r="D1106" s="6"/>
      <c r="E1106" s="6"/>
    </row>
    <row r="1107">
      <c r="A1107" s="4"/>
      <c r="B1107" s="5"/>
      <c r="C1107" s="6"/>
      <c r="D1107" s="6"/>
      <c r="E1107" s="6"/>
    </row>
    <row r="1108">
      <c r="A1108" s="4"/>
      <c r="B1108" s="5"/>
      <c r="C1108" s="6"/>
      <c r="D1108" s="6"/>
      <c r="E1108" s="6"/>
    </row>
    <row r="1109">
      <c r="A1109" s="4"/>
      <c r="B1109" s="5"/>
      <c r="C1109" s="6"/>
      <c r="D1109" s="6"/>
      <c r="E1109" s="6"/>
    </row>
    <row r="1110">
      <c r="A1110" s="4"/>
      <c r="B1110" s="5"/>
      <c r="C1110" s="6"/>
      <c r="D1110" s="6"/>
      <c r="E1110" s="6"/>
    </row>
    <row r="1111">
      <c r="A1111" s="4"/>
      <c r="B1111" s="5"/>
      <c r="C1111" s="6"/>
      <c r="D1111" s="6"/>
      <c r="E1111" s="6"/>
    </row>
    <row r="1112">
      <c r="A1112" s="4"/>
      <c r="B1112" s="5"/>
      <c r="C1112" s="6"/>
      <c r="D1112" s="6"/>
      <c r="E1112" s="6"/>
    </row>
    <row r="1113">
      <c r="A1113" s="4"/>
      <c r="B1113" s="5"/>
      <c r="C1113" s="6"/>
      <c r="D1113" s="6"/>
      <c r="E1113" s="6"/>
    </row>
    <row r="1114">
      <c r="A1114" s="4"/>
      <c r="B1114" s="5"/>
      <c r="C1114" s="6"/>
      <c r="D1114" s="6"/>
      <c r="E1114" s="6"/>
    </row>
    <row r="1115">
      <c r="A1115" s="4"/>
      <c r="B1115" s="5"/>
      <c r="C1115" s="6"/>
      <c r="D1115" s="6"/>
      <c r="E1115" s="6"/>
    </row>
    <row r="1116">
      <c r="A1116" s="4"/>
      <c r="B1116" s="5"/>
      <c r="C1116" s="6"/>
      <c r="D1116" s="6"/>
      <c r="E1116" s="6"/>
    </row>
    <row r="1117">
      <c r="A1117" s="4"/>
      <c r="B1117" s="5"/>
      <c r="C1117" s="6"/>
      <c r="D1117" s="6"/>
      <c r="E1117" s="6"/>
    </row>
    <row r="1118">
      <c r="A1118" s="4"/>
      <c r="B1118" s="5"/>
      <c r="C1118" s="6"/>
      <c r="D1118" s="6"/>
      <c r="E1118" s="6"/>
    </row>
    <row r="1119">
      <c r="A1119" s="4"/>
      <c r="B1119" s="5"/>
      <c r="C1119" s="6"/>
      <c r="D1119" s="6"/>
      <c r="E1119" s="6"/>
    </row>
    <row r="1120">
      <c r="A1120" s="4"/>
      <c r="B1120" s="5"/>
      <c r="C1120" s="6"/>
      <c r="D1120" s="6"/>
      <c r="E1120" s="6"/>
    </row>
    <row r="1121">
      <c r="A1121" s="4"/>
      <c r="B1121" s="5"/>
      <c r="C1121" s="6"/>
      <c r="D1121" s="6"/>
      <c r="E1121" s="6"/>
    </row>
    <row r="1122">
      <c r="A1122" s="4"/>
      <c r="B1122" s="5"/>
      <c r="C1122" s="6"/>
      <c r="D1122" s="6"/>
      <c r="E1122" s="6"/>
    </row>
    <row r="1123">
      <c r="A1123" s="4"/>
      <c r="B1123" s="5"/>
      <c r="C1123" s="6"/>
      <c r="D1123" s="6"/>
      <c r="E1123" s="6"/>
    </row>
    <row r="1124">
      <c r="A1124" s="4"/>
      <c r="B1124" s="5"/>
      <c r="C1124" s="6"/>
      <c r="D1124" s="6"/>
      <c r="E1124" s="6"/>
    </row>
    <row r="1125">
      <c r="A1125" s="4"/>
      <c r="B1125" s="5"/>
      <c r="C1125" s="6"/>
      <c r="D1125" s="6"/>
      <c r="E1125" s="6"/>
    </row>
    <row r="1126">
      <c r="A1126" s="4"/>
      <c r="B1126" s="5"/>
      <c r="C1126" s="6"/>
      <c r="D1126" s="6"/>
      <c r="E1126" s="6"/>
    </row>
    <row r="1127">
      <c r="A1127" s="4"/>
      <c r="B1127" s="5"/>
      <c r="C1127" s="6"/>
      <c r="D1127" s="6"/>
      <c r="E1127" s="6"/>
    </row>
    <row r="1128">
      <c r="A1128" s="4"/>
      <c r="B1128" s="5"/>
      <c r="C1128" s="6"/>
      <c r="D1128" s="6"/>
      <c r="E1128" s="6"/>
    </row>
    <row r="1129">
      <c r="A1129" s="4"/>
      <c r="B1129" s="5"/>
      <c r="C1129" s="6"/>
      <c r="D1129" s="6"/>
      <c r="E1129" s="6"/>
    </row>
    <row r="1130">
      <c r="A1130" s="4"/>
      <c r="B1130" s="5"/>
      <c r="C1130" s="6"/>
      <c r="D1130" s="6"/>
      <c r="E1130" s="6"/>
    </row>
    <row r="1131">
      <c r="A1131" s="4"/>
      <c r="B1131" s="5"/>
      <c r="C1131" s="6"/>
      <c r="D1131" s="6"/>
      <c r="E1131" s="6"/>
    </row>
    <row r="1132">
      <c r="A1132" s="4"/>
      <c r="B1132" s="5"/>
      <c r="C1132" s="6"/>
      <c r="D1132" s="6"/>
      <c r="E1132" s="6"/>
    </row>
    <row r="1133">
      <c r="A1133" s="4"/>
      <c r="B1133" s="5"/>
      <c r="C1133" s="6"/>
      <c r="D1133" s="6"/>
      <c r="E1133" s="6"/>
    </row>
    <row r="1134">
      <c r="A1134" s="4"/>
      <c r="B1134" s="5"/>
      <c r="C1134" s="6"/>
      <c r="D1134" s="6"/>
      <c r="E1134" s="6"/>
    </row>
    <row r="1135">
      <c r="A1135" s="4"/>
      <c r="B1135" s="5"/>
      <c r="C1135" s="6"/>
      <c r="D1135" s="6"/>
      <c r="E1135" s="6"/>
    </row>
    <row r="1136">
      <c r="A1136" s="4"/>
      <c r="B1136" s="5"/>
      <c r="C1136" s="6"/>
      <c r="D1136" s="6"/>
      <c r="E1136" s="6"/>
    </row>
    <row r="1137">
      <c r="A1137" s="4"/>
      <c r="B1137" s="5"/>
      <c r="C1137" s="6"/>
      <c r="D1137" s="6"/>
      <c r="E1137" s="6"/>
    </row>
    <row r="1138">
      <c r="A1138" s="4"/>
      <c r="B1138" s="5"/>
      <c r="C1138" s="6"/>
      <c r="D1138" s="6"/>
      <c r="E1138" s="6"/>
    </row>
    <row r="1139">
      <c r="A1139" s="4"/>
      <c r="B1139" s="5"/>
      <c r="C1139" s="6"/>
      <c r="D1139" s="6"/>
      <c r="E1139" s="6"/>
    </row>
    <row r="1140">
      <c r="A1140" s="4"/>
      <c r="B1140" s="5"/>
      <c r="C1140" s="6"/>
      <c r="D1140" s="6"/>
      <c r="E1140" s="6"/>
    </row>
    <row r="1141">
      <c r="A1141" s="4"/>
      <c r="B1141" s="5"/>
      <c r="C1141" s="6"/>
      <c r="D1141" s="6"/>
      <c r="E1141" s="6"/>
    </row>
    <row r="1142">
      <c r="A1142" s="4"/>
      <c r="B1142" s="5"/>
      <c r="C1142" s="6"/>
      <c r="D1142" s="6"/>
      <c r="E1142" s="6"/>
    </row>
    <row r="1143">
      <c r="A1143" s="4"/>
      <c r="B1143" s="5"/>
      <c r="C1143" s="6"/>
      <c r="D1143" s="6"/>
      <c r="E1143" s="6"/>
    </row>
    <row r="1144">
      <c r="A1144" s="4"/>
      <c r="B1144" s="5"/>
      <c r="C1144" s="6"/>
      <c r="D1144" s="6"/>
      <c r="E1144" s="6"/>
    </row>
    <row r="1145">
      <c r="A1145" s="4"/>
      <c r="B1145" s="5"/>
      <c r="C1145" s="6"/>
      <c r="D1145" s="6"/>
      <c r="E1145" s="6"/>
    </row>
    <row r="1146">
      <c r="A1146" s="4"/>
      <c r="B1146" s="5"/>
      <c r="C1146" s="6"/>
      <c r="D1146" s="6"/>
      <c r="E1146" s="6"/>
    </row>
    <row r="1147">
      <c r="A1147" s="4"/>
      <c r="B1147" s="5"/>
      <c r="C1147" s="6"/>
      <c r="D1147" s="6"/>
      <c r="E1147" s="6"/>
    </row>
    <row r="1148">
      <c r="A1148" s="4"/>
      <c r="B1148" s="5"/>
      <c r="C1148" s="6"/>
      <c r="D1148" s="6"/>
      <c r="E1148" s="6"/>
    </row>
    <row r="1149">
      <c r="A1149" s="4"/>
      <c r="B1149" s="5"/>
      <c r="C1149" s="6"/>
      <c r="D1149" s="6"/>
      <c r="E1149" s="6"/>
    </row>
    <row r="1150">
      <c r="A1150" s="4"/>
      <c r="B1150" s="5"/>
      <c r="C1150" s="6"/>
      <c r="D1150" s="6"/>
      <c r="E1150" s="6"/>
    </row>
    <row r="1151">
      <c r="A1151" s="4"/>
      <c r="B1151" s="5"/>
      <c r="C1151" s="6"/>
      <c r="D1151" s="6"/>
      <c r="E1151" s="6"/>
    </row>
    <row r="1152">
      <c r="A1152" s="4"/>
      <c r="B1152" s="5"/>
      <c r="C1152" s="6"/>
      <c r="D1152" s="6"/>
      <c r="E1152" s="6"/>
    </row>
    <row r="1153">
      <c r="A1153" s="4"/>
      <c r="B1153" s="5"/>
      <c r="C1153" s="6"/>
      <c r="D1153" s="6"/>
      <c r="E1153" s="6"/>
    </row>
    <row r="1154">
      <c r="A1154" s="4"/>
      <c r="B1154" s="5"/>
      <c r="C1154" s="6"/>
      <c r="D1154" s="6"/>
      <c r="E1154" s="6"/>
    </row>
    <row r="1155">
      <c r="A1155" s="4"/>
      <c r="B1155" s="5"/>
      <c r="C1155" s="6"/>
      <c r="D1155" s="6"/>
      <c r="E1155" s="6"/>
    </row>
    <row r="1156">
      <c r="A1156" s="4"/>
      <c r="B1156" s="5"/>
      <c r="C1156" s="6"/>
      <c r="D1156" s="6"/>
      <c r="E1156" s="6"/>
    </row>
    <row r="1157">
      <c r="A1157" s="4"/>
      <c r="B1157" s="5"/>
      <c r="C1157" s="6"/>
      <c r="D1157" s="6"/>
      <c r="E1157" s="6"/>
    </row>
    <row r="1158">
      <c r="A1158" s="4"/>
      <c r="B1158" s="5"/>
      <c r="C1158" s="6"/>
      <c r="D1158" s="6"/>
      <c r="E1158" s="6"/>
    </row>
    <row r="1159">
      <c r="A1159" s="4"/>
      <c r="B1159" s="5"/>
      <c r="C1159" s="6"/>
      <c r="D1159" s="6"/>
      <c r="E1159" s="6"/>
    </row>
    <row r="1160">
      <c r="A1160" s="4"/>
      <c r="B1160" s="5"/>
      <c r="C1160" s="6"/>
      <c r="D1160" s="6"/>
      <c r="E1160" s="6"/>
    </row>
    <row r="1161">
      <c r="A1161" s="4"/>
      <c r="B1161" s="5"/>
      <c r="C1161" s="6"/>
      <c r="D1161" s="6"/>
      <c r="E1161" s="6"/>
    </row>
    <row r="1162">
      <c r="A1162" s="4"/>
      <c r="B1162" s="5"/>
      <c r="C1162" s="6"/>
      <c r="D1162" s="6"/>
      <c r="E1162" s="6"/>
    </row>
    <row r="1163">
      <c r="A1163" s="4"/>
      <c r="B1163" s="5"/>
      <c r="C1163" s="6"/>
      <c r="D1163" s="6"/>
      <c r="E1163" s="6"/>
    </row>
    <row r="1164">
      <c r="A1164" s="4"/>
      <c r="B1164" s="5"/>
      <c r="C1164" s="6"/>
      <c r="D1164" s="6"/>
      <c r="E1164" s="6"/>
    </row>
    <row r="1165">
      <c r="A1165" s="4"/>
      <c r="B1165" s="5"/>
      <c r="C1165" s="6"/>
      <c r="D1165" s="6"/>
      <c r="E1165" s="6"/>
    </row>
    <row r="1166">
      <c r="A1166" s="4"/>
      <c r="B1166" s="5"/>
      <c r="C1166" s="6"/>
      <c r="D1166" s="6"/>
      <c r="E1166" s="6"/>
    </row>
    <row r="1167">
      <c r="A1167" s="4"/>
      <c r="B1167" s="5"/>
      <c r="C1167" s="6"/>
      <c r="D1167" s="6"/>
      <c r="E1167" s="6"/>
    </row>
    <row r="1168">
      <c r="A1168" s="4"/>
      <c r="B1168" s="5"/>
      <c r="C1168" s="6"/>
      <c r="D1168" s="6"/>
      <c r="E1168" s="6"/>
    </row>
    <row r="1169">
      <c r="A1169" s="4"/>
      <c r="B1169" s="5"/>
      <c r="C1169" s="6"/>
      <c r="D1169" s="6"/>
      <c r="E1169" s="6"/>
    </row>
    <row r="1170">
      <c r="A1170" s="4"/>
      <c r="B1170" s="5"/>
      <c r="C1170" s="6"/>
      <c r="D1170" s="6"/>
      <c r="E1170" s="6"/>
    </row>
    <row r="1171">
      <c r="A1171" s="4"/>
      <c r="B1171" s="5"/>
      <c r="C1171" s="6"/>
      <c r="D1171" s="6"/>
      <c r="E1171" s="6"/>
    </row>
    <row r="1172">
      <c r="A1172" s="4"/>
      <c r="B1172" s="5"/>
      <c r="C1172" s="6"/>
      <c r="D1172" s="6"/>
      <c r="E1172" s="6"/>
    </row>
    <row r="1173">
      <c r="A1173" s="4"/>
      <c r="B1173" s="5"/>
      <c r="C1173" s="6"/>
      <c r="D1173" s="6"/>
      <c r="E1173" s="6"/>
    </row>
    <row r="1174">
      <c r="A1174" s="4"/>
      <c r="B1174" s="5"/>
      <c r="C1174" s="6"/>
      <c r="D1174" s="6"/>
      <c r="E1174" s="6"/>
    </row>
    <row r="1175">
      <c r="A1175" s="4"/>
      <c r="B1175" s="5"/>
      <c r="C1175" s="6"/>
      <c r="D1175" s="6"/>
      <c r="E1175" s="6"/>
    </row>
    <row r="1176">
      <c r="A1176" s="4"/>
      <c r="B1176" s="5"/>
      <c r="C1176" s="6"/>
      <c r="D1176" s="6"/>
      <c r="E1176" s="6"/>
    </row>
    <row r="1177">
      <c r="A1177" s="4"/>
      <c r="B1177" s="5"/>
      <c r="C1177" s="6"/>
      <c r="D1177" s="6"/>
      <c r="E1177" s="6"/>
    </row>
    <row r="1178">
      <c r="A1178" s="4"/>
      <c r="B1178" s="5"/>
      <c r="C1178" s="6"/>
      <c r="D1178" s="6"/>
      <c r="E1178" s="6"/>
    </row>
    <row r="1179">
      <c r="A1179" s="4"/>
      <c r="B1179" s="5"/>
      <c r="C1179" s="6"/>
      <c r="D1179" s="6"/>
      <c r="E1179" s="6"/>
    </row>
    <row r="1180">
      <c r="A1180" s="4"/>
      <c r="B1180" s="5"/>
      <c r="C1180" s="6"/>
      <c r="D1180" s="6"/>
      <c r="E1180" s="6"/>
    </row>
    <row r="1181">
      <c r="A1181" s="4"/>
      <c r="B1181" s="5"/>
      <c r="C1181" s="6"/>
      <c r="D1181" s="6"/>
      <c r="E1181" s="6"/>
    </row>
    <row r="1182">
      <c r="A1182" s="4"/>
      <c r="B1182" s="5"/>
      <c r="C1182" s="6"/>
      <c r="D1182" s="6"/>
      <c r="E1182" s="6"/>
    </row>
    <row r="1183">
      <c r="A1183" s="4"/>
      <c r="B1183" s="5"/>
      <c r="C1183" s="6"/>
      <c r="D1183" s="6"/>
      <c r="E1183" s="6"/>
    </row>
    <row r="1184">
      <c r="A1184" s="4"/>
      <c r="B1184" s="5"/>
      <c r="C1184" s="6"/>
      <c r="D1184" s="6"/>
      <c r="E1184" s="6"/>
    </row>
    <row r="1185">
      <c r="A1185" s="4"/>
      <c r="B1185" s="5"/>
      <c r="C1185" s="6"/>
      <c r="D1185" s="6"/>
      <c r="E1185" s="6"/>
    </row>
    <row r="1186">
      <c r="A1186" s="4"/>
      <c r="B1186" s="5"/>
      <c r="C1186" s="6"/>
      <c r="D1186" s="6"/>
      <c r="E1186" s="6"/>
    </row>
    <row r="1187">
      <c r="A1187" s="4"/>
      <c r="B1187" s="5"/>
      <c r="C1187" s="6"/>
      <c r="D1187" s="6"/>
      <c r="E1187" s="6"/>
    </row>
    <row r="1188">
      <c r="A1188" s="4"/>
      <c r="B1188" s="5"/>
      <c r="C1188" s="6"/>
      <c r="D1188" s="6"/>
      <c r="E1188" s="6"/>
    </row>
    <row r="1189">
      <c r="A1189" s="4"/>
      <c r="B1189" s="5"/>
      <c r="C1189" s="6"/>
      <c r="D1189" s="6"/>
      <c r="E1189" s="6"/>
    </row>
    <row r="1190">
      <c r="A1190" s="4"/>
      <c r="B1190" s="5"/>
      <c r="C1190" s="6"/>
      <c r="D1190" s="6"/>
      <c r="E1190" s="6"/>
    </row>
    <row r="1191">
      <c r="A1191" s="4"/>
      <c r="B1191" s="5"/>
      <c r="C1191" s="6"/>
      <c r="D1191" s="6"/>
      <c r="E1191" s="6"/>
    </row>
    <row r="1192">
      <c r="A1192" s="4"/>
      <c r="B1192" s="5"/>
      <c r="C1192" s="6"/>
      <c r="D1192" s="6"/>
      <c r="E1192" s="6"/>
    </row>
    <row r="1193">
      <c r="A1193" s="4"/>
      <c r="B1193" s="5"/>
      <c r="C1193" s="6"/>
      <c r="D1193" s="6"/>
      <c r="E1193" s="6"/>
    </row>
    <row r="1194">
      <c r="A1194" s="4"/>
      <c r="B1194" s="5"/>
      <c r="C1194" s="6"/>
      <c r="D1194" s="6"/>
      <c r="E1194" s="6"/>
    </row>
    <row r="1195">
      <c r="A1195" s="4"/>
      <c r="B1195" s="5"/>
      <c r="C1195" s="6"/>
      <c r="D1195" s="6"/>
      <c r="E1195" s="6"/>
    </row>
    <row r="1196">
      <c r="A1196" s="4"/>
      <c r="B1196" s="5"/>
      <c r="C1196" s="6"/>
      <c r="D1196" s="6"/>
      <c r="E1196" s="6"/>
    </row>
    <row r="1197">
      <c r="A1197" s="4"/>
      <c r="B1197" s="5"/>
      <c r="C1197" s="6"/>
      <c r="D1197" s="6"/>
      <c r="E1197" s="6"/>
    </row>
    <row r="1198">
      <c r="A1198" s="4"/>
      <c r="B1198" s="5"/>
      <c r="C1198" s="6"/>
      <c r="D1198" s="6"/>
      <c r="E1198" s="6"/>
    </row>
    <row r="1199">
      <c r="A1199" s="4"/>
      <c r="B1199" s="5"/>
      <c r="C1199" s="6"/>
      <c r="D1199" s="6"/>
      <c r="E1199" s="6"/>
    </row>
    <row r="1200">
      <c r="A1200" s="4"/>
      <c r="B1200" s="5"/>
      <c r="C1200" s="6"/>
      <c r="D1200" s="6"/>
      <c r="E1200" s="6"/>
    </row>
    <row r="1201">
      <c r="A1201" s="4"/>
      <c r="B1201" s="5"/>
      <c r="C1201" s="6"/>
      <c r="D1201" s="6"/>
      <c r="E1201" s="6"/>
    </row>
    <row r="1202">
      <c r="A1202" s="4"/>
      <c r="B1202" s="5"/>
      <c r="C1202" s="6"/>
      <c r="D1202" s="6"/>
      <c r="E1202" s="6"/>
    </row>
    <row r="1203">
      <c r="A1203" s="4"/>
      <c r="B1203" s="5"/>
      <c r="C1203" s="6"/>
      <c r="D1203" s="6"/>
      <c r="E1203" s="6"/>
    </row>
    <row r="1204">
      <c r="A1204" s="4"/>
      <c r="B1204" s="5"/>
      <c r="C1204" s="6"/>
      <c r="D1204" s="6"/>
      <c r="E1204" s="6"/>
    </row>
    <row r="1205">
      <c r="A1205" s="4"/>
      <c r="B1205" s="5"/>
      <c r="C1205" s="6"/>
      <c r="D1205" s="6"/>
      <c r="E1205" s="6"/>
    </row>
    <row r="1206">
      <c r="A1206" s="4"/>
      <c r="B1206" s="5"/>
      <c r="C1206" s="6"/>
      <c r="D1206" s="6"/>
      <c r="E1206" s="6"/>
    </row>
    <row r="1207">
      <c r="A1207" s="4"/>
      <c r="B1207" s="5"/>
      <c r="C1207" s="6"/>
      <c r="D1207" s="6"/>
      <c r="E1207" s="6"/>
    </row>
    <row r="1208">
      <c r="A1208" s="4"/>
      <c r="B1208" s="5"/>
      <c r="C1208" s="6"/>
      <c r="D1208" s="6"/>
      <c r="E1208" s="6"/>
    </row>
    <row r="1209">
      <c r="A1209" s="4"/>
      <c r="B1209" s="5"/>
      <c r="C1209" s="6"/>
      <c r="D1209" s="6"/>
      <c r="E1209" s="6"/>
    </row>
    <row r="1210">
      <c r="A1210" s="4"/>
      <c r="B1210" s="5"/>
      <c r="C1210" s="6"/>
      <c r="D1210" s="6"/>
      <c r="E1210" s="6"/>
    </row>
    <row r="1211">
      <c r="A1211" s="4"/>
      <c r="B1211" s="5"/>
      <c r="C1211" s="6"/>
      <c r="D1211" s="6"/>
      <c r="E1211" s="6"/>
    </row>
    <row r="1212">
      <c r="A1212" s="4"/>
      <c r="B1212" s="5"/>
      <c r="C1212" s="6"/>
      <c r="D1212" s="6"/>
      <c r="E1212" s="6"/>
    </row>
    <row r="1213">
      <c r="A1213" s="4"/>
      <c r="B1213" s="5"/>
      <c r="C1213" s="6"/>
      <c r="D1213" s="6"/>
      <c r="E1213" s="6"/>
    </row>
    <row r="1214">
      <c r="A1214" s="4"/>
      <c r="B1214" s="5"/>
      <c r="C1214" s="6"/>
      <c r="D1214" s="6"/>
      <c r="E1214" s="6"/>
    </row>
    <row r="1215">
      <c r="A1215" s="4"/>
      <c r="B1215" s="5"/>
      <c r="C1215" s="6"/>
      <c r="D1215" s="6"/>
      <c r="E1215" s="6"/>
    </row>
    <row r="1216">
      <c r="A1216" s="4"/>
      <c r="B1216" s="5"/>
      <c r="C1216" s="6"/>
      <c r="D1216" s="6"/>
      <c r="E1216" s="6"/>
    </row>
    <row r="1217">
      <c r="A1217" s="4"/>
      <c r="B1217" s="5"/>
      <c r="C1217" s="6"/>
      <c r="D1217" s="6"/>
      <c r="E1217" s="6"/>
    </row>
    <row r="1218">
      <c r="A1218" s="4"/>
      <c r="B1218" s="5"/>
      <c r="C1218" s="6"/>
      <c r="D1218" s="6"/>
      <c r="E1218" s="6"/>
    </row>
    <row r="1219">
      <c r="A1219" s="4"/>
      <c r="B1219" s="5"/>
      <c r="C1219" s="6"/>
      <c r="D1219" s="6"/>
      <c r="E1219" s="6"/>
    </row>
    <row r="1220">
      <c r="A1220" s="4"/>
      <c r="B1220" s="5"/>
      <c r="C1220" s="6"/>
      <c r="D1220" s="6"/>
      <c r="E1220" s="6"/>
    </row>
    <row r="1221">
      <c r="A1221" s="4"/>
      <c r="B1221" s="5"/>
      <c r="C1221" s="6"/>
      <c r="D1221" s="6"/>
      <c r="E1221" s="6"/>
    </row>
    <row r="1222">
      <c r="A1222" s="4"/>
      <c r="B1222" s="5"/>
      <c r="C1222" s="6"/>
      <c r="D1222" s="6"/>
      <c r="E1222" s="6"/>
    </row>
    <row r="1223">
      <c r="A1223" s="4"/>
      <c r="B1223" s="5"/>
      <c r="C1223" s="6"/>
      <c r="D1223" s="6"/>
      <c r="E1223" s="6"/>
    </row>
    <row r="1224">
      <c r="A1224" s="4"/>
      <c r="B1224" s="5"/>
      <c r="C1224" s="6"/>
      <c r="D1224" s="6"/>
      <c r="E1224" s="6"/>
    </row>
    <row r="1225">
      <c r="A1225" s="4"/>
      <c r="B1225" s="5"/>
      <c r="C1225" s="6"/>
      <c r="D1225" s="6"/>
      <c r="E1225" s="6"/>
    </row>
    <row r="1226">
      <c r="A1226" s="4"/>
      <c r="B1226" s="5"/>
      <c r="C1226" s="6"/>
      <c r="D1226" s="6"/>
      <c r="E1226" s="6"/>
    </row>
    <row r="1227">
      <c r="A1227" s="4"/>
      <c r="B1227" s="5"/>
      <c r="C1227" s="6"/>
      <c r="D1227" s="6"/>
      <c r="E1227" s="6"/>
    </row>
    <row r="1228">
      <c r="A1228" s="4"/>
      <c r="B1228" s="5"/>
      <c r="C1228" s="6"/>
      <c r="D1228" s="6"/>
      <c r="E1228" s="6"/>
    </row>
    <row r="1229">
      <c r="A1229" s="4"/>
      <c r="B1229" s="5"/>
      <c r="C1229" s="6"/>
      <c r="D1229" s="6"/>
      <c r="E1229" s="6"/>
    </row>
    <row r="1230">
      <c r="A1230" s="4"/>
      <c r="B1230" s="5"/>
      <c r="C1230" s="6"/>
      <c r="D1230" s="6"/>
      <c r="E1230" s="6"/>
    </row>
    <row r="1231">
      <c r="A1231" s="4"/>
      <c r="B1231" s="5"/>
      <c r="C1231" s="6"/>
      <c r="D1231" s="6"/>
      <c r="E1231" s="6"/>
    </row>
    <row r="1232">
      <c r="A1232" s="4"/>
      <c r="B1232" s="5"/>
      <c r="C1232" s="6"/>
      <c r="D1232" s="6"/>
      <c r="E1232" s="6"/>
    </row>
    <row r="1233">
      <c r="A1233" s="4"/>
      <c r="B1233" s="5"/>
      <c r="C1233" s="6"/>
      <c r="D1233" s="6"/>
      <c r="E1233" s="6"/>
    </row>
    <row r="1234">
      <c r="A1234" s="4"/>
      <c r="B1234" s="5"/>
      <c r="C1234" s="6"/>
      <c r="D1234" s="6"/>
      <c r="E1234" s="6"/>
    </row>
    <row r="1235">
      <c r="A1235" s="4"/>
      <c r="B1235" s="5"/>
      <c r="C1235" s="6"/>
      <c r="D1235" s="6"/>
      <c r="E1235" s="6"/>
    </row>
    <row r="1236">
      <c r="A1236" s="4"/>
      <c r="B1236" s="5"/>
      <c r="C1236" s="6"/>
      <c r="D1236" s="6"/>
      <c r="E1236" s="6"/>
    </row>
    <row r="1237">
      <c r="A1237" s="4"/>
      <c r="B1237" s="5"/>
      <c r="C1237" s="6"/>
      <c r="D1237" s="6"/>
      <c r="E1237" s="6"/>
    </row>
    <row r="1238">
      <c r="A1238" s="4"/>
      <c r="B1238" s="5"/>
      <c r="C1238" s="6"/>
      <c r="D1238" s="6"/>
      <c r="E1238" s="6"/>
    </row>
    <row r="1239">
      <c r="A1239" s="4"/>
      <c r="B1239" s="5"/>
      <c r="C1239" s="6"/>
      <c r="D1239" s="6"/>
      <c r="E1239" s="6"/>
    </row>
    <row r="1240">
      <c r="A1240" s="4"/>
      <c r="B1240" s="5"/>
      <c r="C1240" s="6"/>
      <c r="D1240" s="6"/>
      <c r="E1240" s="6"/>
    </row>
    <row r="1241">
      <c r="A1241" s="4"/>
      <c r="B1241" s="5"/>
      <c r="C1241" s="6"/>
      <c r="D1241" s="6"/>
      <c r="E1241" s="6"/>
    </row>
    <row r="1242">
      <c r="A1242" s="4"/>
      <c r="B1242" s="5"/>
      <c r="C1242" s="6"/>
      <c r="D1242" s="6"/>
      <c r="E1242" s="6"/>
    </row>
    <row r="1243">
      <c r="A1243" s="4"/>
      <c r="B1243" s="5"/>
      <c r="C1243" s="6"/>
      <c r="D1243" s="6"/>
      <c r="E1243" s="6"/>
    </row>
    <row r="1244">
      <c r="A1244" s="4"/>
      <c r="B1244" s="5"/>
      <c r="C1244" s="6"/>
      <c r="D1244" s="6"/>
      <c r="E1244" s="6"/>
    </row>
    <row r="1245">
      <c r="A1245" s="4"/>
      <c r="B1245" s="5"/>
      <c r="C1245" s="6"/>
      <c r="D1245" s="6"/>
      <c r="E1245" s="6"/>
    </row>
    <row r="1246">
      <c r="A1246" s="4"/>
      <c r="B1246" s="5"/>
      <c r="C1246" s="6"/>
      <c r="D1246" s="6"/>
      <c r="E1246" s="6"/>
    </row>
    <row r="1247">
      <c r="A1247" s="4"/>
      <c r="B1247" s="5"/>
      <c r="C1247" s="6"/>
      <c r="D1247" s="6"/>
      <c r="E1247" s="6"/>
    </row>
    <row r="1248">
      <c r="A1248" s="4"/>
      <c r="B1248" s="5"/>
      <c r="C1248" s="6"/>
      <c r="D1248" s="6"/>
      <c r="E1248" s="6"/>
    </row>
    <row r="1249">
      <c r="A1249" s="4"/>
      <c r="B1249" s="5"/>
      <c r="C1249" s="6"/>
      <c r="D1249" s="6"/>
      <c r="E1249" s="6"/>
    </row>
    <row r="1250">
      <c r="A1250" s="4"/>
      <c r="B1250" s="5"/>
      <c r="C1250" s="6"/>
      <c r="D1250" s="6"/>
      <c r="E1250" s="6"/>
    </row>
    <row r="1251">
      <c r="A1251" s="4"/>
      <c r="B1251" s="5"/>
      <c r="C1251" s="6"/>
      <c r="D1251" s="6"/>
      <c r="E1251" s="6"/>
    </row>
    <row r="1252">
      <c r="A1252" s="4"/>
      <c r="B1252" s="5"/>
      <c r="C1252" s="6"/>
      <c r="D1252" s="6"/>
      <c r="E1252" s="6"/>
    </row>
    <row r="1253">
      <c r="A1253" s="4"/>
      <c r="B1253" s="5"/>
      <c r="C1253" s="6"/>
      <c r="D1253" s="6"/>
      <c r="E1253" s="6"/>
    </row>
    <row r="1254">
      <c r="A1254" s="4"/>
      <c r="B1254" s="5"/>
      <c r="C1254" s="6"/>
      <c r="D1254" s="6"/>
      <c r="E1254" s="6"/>
    </row>
    <row r="1255">
      <c r="A1255" s="4"/>
      <c r="B1255" s="5"/>
      <c r="C1255" s="6"/>
      <c r="D1255" s="6"/>
      <c r="E1255" s="6"/>
    </row>
    <row r="1256">
      <c r="A1256" s="4"/>
      <c r="B1256" s="5"/>
      <c r="C1256" s="6"/>
      <c r="D1256" s="6"/>
      <c r="E1256" s="6"/>
    </row>
    <row r="1257">
      <c r="A1257" s="4"/>
      <c r="B1257" s="5"/>
      <c r="C1257" s="6"/>
      <c r="D1257" s="6"/>
      <c r="E1257" s="6"/>
    </row>
    <row r="1258">
      <c r="A1258" s="4"/>
      <c r="B1258" s="5"/>
      <c r="C1258" s="6"/>
      <c r="D1258" s="6"/>
      <c r="E1258" s="6"/>
    </row>
    <row r="1259">
      <c r="A1259" s="4"/>
      <c r="B1259" s="5"/>
      <c r="C1259" s="6"/>
      <c r="D1259" s="6"/>
      <c r="E1259" s="6"/>
    </row>
    <row r="1260">
      <c r="A1260" s="4"/>
      <c r="B1260" s="5"/>
      <c r="C1260" s="6"/>
      <c r="D1260" s="6"/>
      <c r="E1260" s="6"/>
    </row>
    <row r="1261">
      <c r="A1261" s="4"/>
      <c r="B1261" s="5"/>
      <c r="C1261" s="6"/>
      <c r="D1261" s="6"/>
      <c r="E1261" s="6"/>
    </row>
    <row r="1262">
      <c r="A1262" s="4"/>
      <c r="B1262" s="5"/>
      <c r="C1262" s="6"/>
      <c r="D1262" s="6"/>
      <c r="E1262" s="6"/>
    </row>
    <row r="1263">
      <c r="A1263" s="4"/>
      <c r="B1263" s="5"/>
      <c r="C1263" s="6"/>
      <c r="D1263" s="6"/>
      <c r="E1263" s="6"/>
    </row>
    <row r="1264">
      <c r="A1264" s="4"/>
      <c r="B1264" s="5"/>
      <c r="C1264" s="6"/>
      <c r="D1264" s="6"/>
      <c r="E1264" s="6"/>
    </row>
    <row r="1265">
      <c r="A1265" s="4"/>
      <c r="B1265" s="5"/>
      <c r="C1265" s="6"/>
      <c r="D1265" s="6"/>
      <c r="E1265" s="6"/>
    </row>
    <row r="1266">
      <c r="A1266" s="4"/>
      <c r="B1266" s="5"/>
      <c r="C1266" s="6"/>
      <c r="D1266" s="6"/>
      <c r="E1266" s="6"/>
    </row>
    <row r="1267">
      <c r="A1267" s="4"/>
      <c r="B1267" s="5"/>
      <c r="C1267" s="6"/>
      <c r="D1267" s="6"/>
      <c r="E1267" s="6"/>
    </row>
    <row r="1268">
      <c r="A1268" s="4"/>
      <c r="B1268" s="5"/>
      <c r="C1268" s="6"/>
      <c r="D1268" s="6"/>
      <c r="E1268" s="6"/>
    </row>
    <row r="1269">
      <c r="A1269" s="4"/>
      <c r="B1269" s="5"/>
      <c r="C1269" s="6"/>
      <c r="D1269" s="6"/>
      <c r="E1269" s="6"/>
    </row>
    <row r="1270">
      <c r="A1270" s="4"/>
      <c r="B1270" s="5"/>
      <c r="C1270" s="6"/>
      <c r="D1270" s="6"/>
      <c r="E1270" s="6"/>
    </row>
    <row r="1271">
      <c r="A1271" s="4"/>
      <c r="B1271" s="5"/>
      <c r="C1271" s="6"/>
      <c r="D1271" s="6"/>
      <c r="E1271" s="6"/>
    </row>
    <row r="1272">
      <c r="A1272" s="4"/>
      <c r="B1272" s="5"/>
      <c r="C1272" s="6"/>
      <c r="D1272" s="6"/>
      <c r="E1272" s="6"/>
    </row>
    <row r="1273">
      <c r="A1273" s="4"/>
      <c r="B1273" s="5"/>
      <c r="C1273" s="6"/>
      <c r="D1273" s="6"/>
      <c r="E1273" s="6"/>
    </row>
    <row r="1274">
      <c r="A1274" s="4"/>
      <c r="B1274" s="5"/>
      <c r="C1274" s="6"/>
      <c r="D1274" s="6"/>
      <c r="E1274" s="6"/>
    </row>
    <row r="1275">
      <c r="A1275" s="4"/>
      <c r="B1275" s="5"/>
      <c r="C1275" s="6"/>
      <c r="D1275" s="6"/>
      <c r="E1275" s="6"/>
    </row>
    <row r="1276">
      <c r="A1276" s="4"/>
      <c r="B1276" s="5"/>
      <c r="C1276" s="6"/>
      <c r="D1276" s="6"/>
      <c r="E1276" s="6"/>
    </row>
    <row r="1277">
      <c r="A1277" s="4"/>
      <c r="B1277" s="5"/>
      <c r="C1277" s="6"/>
      <c r="D1277" s="6"/>
      <c r="E1277" s="6"/>
    </row>
    <row r="1278">
      <c r="A1278" s="4"/>
      <c r="B1278" s="5"/>
      <c r="C1278" s="6"/>
      <c r="D1278" s="6"/>
      <c r="E1278" s="6"/>
    </row>
    <row r="1279">
      <c r="A1279" s="4"/>
      <c r="B1279" s="5"/>
      <c r="C1279" s="6"/>
      <c r="D1279" s="6"/>
      <c r="E1279" s="6"/>
    </row>
    <row r="1280">
      <c r="A1280" s="4"/>
      <c r="B1280" s="5"/>
      <c r="C1280" s="6"/>
      <c r="D1280" s="6"/>
      <c r="E1280" s="6"/>
    </row>
    <row r="1281">
      <c r="A1281" s="10"/>
      <c r="B1281" s="9"/>
      <c r="C1281" s="6"/>
      <c r="D1281" s="6"/>
      <c r="E1281" s="6"/>
    </row>
    <row r="1282">
      <c r="A1282" s="10"/>
      <c r="B1282" s="9"/>
      <c r="C1282" s="6"/>
      <c r="D1282" s="6"/>
      <c r="E1282" s="6"/>
    </row>
    <row r="1283">
      <c r="A1283" s="10"/>
      <c r="B1283" s="9"/>
      <c r="C1283" s="6"/>
      <c r="D1283" s="6"/>
      <c r="E1283" s="6"/>
    </row>
    <row r="1284">
      <c r="A1284" s="10"/>
      <c r="B1284" s="9"/>
      <c r="C1284" s="6"/>
      <c r="D1284" s="6"/>
      <c r="E1284" s="6"/>
    </row>
    <row r="1285">
      <c r="A1285" s="10"/>
      <c r="B1285" s="9"/>
      <c r="C1285" s="6"/>
      <c r="D1285" s="6"/>
      <c r="E1285" s="6"/>
    </row>
    <row r="1286">
      <c r="A1286" s="10"/>
      <c r="B1286" s="9"/>
      <c r="C1286" s="6"/>
      <c r="D1286" s="6"/>
      <c r="E1286" s="6"/>
    </row>
    <row r="1287">
      <c r="A1287" s="10"/>
      <c r="B1287" s="9"/>
      <c r="C1287" s="6"/>
      <c r="D1287" s="6"/>
      <c r="E1287" s="6"/>
    </row>
    <row r="1288">
      <c r="A1288" s="10"/>
      <c r="B1288" s="9"/>
      <c r="C1288" s="6"/>
      <c r="D1288" s="6"/>
      <c r="E1288" s="6"/>
    </row>
    <row r="1289">
      <c r="A1289" s="4"/>
      <c r="B1289" s="5"/>
      <c r="C1289" s="6"/>
      <c r="D1289" s="6"/>
      <c r="E1289" s="6"/>
    </row>
    <row r="1290">
      <c r="A1290" s="4"/>
      <c r="B1290" s="5"/>
      <c r="C1290" s="6"/>
      <c r="D1290" s="6"/>
      <c r="E1290" s="6"/>
    </row>
    <row r="1291">
      <c r="A1291" s="4"/>
      <c r="B1291" s="5"/>
      <c r="C1291" s="6"/>
      <c r="D1291" s="6"/>
      <c r="E1291" s="6"/>
    </row>
    <row r="1292">
      <c r="A1292" s="4"/>
      <c r="B1292" s="5"/>
      <c r="C1292" s="6"/>
      <c r="D1292" s="6"/>
      <c r="E1292" s="6"/>
    </row>
    <row r="1293">
      <c r="A1293" s="4"/>
      <c r="B1293" s="5"/>
      <c r="C1293" s="6"/>
      <c r="D1293" s="6"/>
      <c r="E1293" s="6"/>
    </row>
    <row r="1294">
      <c r="A1294" s="4"/>
      <c r="B1294" s="5"/>
      <c r="C1294" s="6"/>
      <c r="D1294" s="6"/>
      <c r="E1294" s="6"/>
    </row>
    <row r="1295">
      <c r="A1295" s="4"/>
      <c r="B1295" s="5"/>
      <c r="C1295" s="6"/>
      <c r="D1295" s="6"/>
      <c r="E1295" s="6"/>
    </row>
    <row r="1296">
      <c r="A1296" s="4"/>
      <c r="B1296" s="5"/>
      <c r="C1296" s="6"/>
      <c r="D1296" s="6"/>
      <c r="E1296" s="6"/>
    </row>
    <row r="1297">
      <c r="A1297" s="4"/>
      <c r="B1297" s="5"/>
      <c r="C1297" s="6"/>
      <c r="D1297" s="6"/>
      <c r="E1297" s="6"/>
    </row>
    <row r="1298">
      <c r="A1298" s="4"/>
      <c r="B1298" s="5"/>
      <c r="C1298" s="6"/>
      <c r="D1298" s="6"/>
      <c r="E1298" s="6"/>
    </row>
    <row r="1299">
      <c r="A1299" s="4"/>
      <c r="B1299" s="5"/>
      <c r="C1299" s="6"/>
      <c r="D1299" s="6"/>
      <c r="E1299" s="6"/>
    </row>
    <row r="1300">
      <c r="A1300" s="4"/>
      <c r="B1300" s="5"/>
      <c r="C1300" s="6"/>
      <c r="D1300" s="6"/>
      <c r="E1300" s="6"/>
    </row>
    <row r="1301">
      <c r="A1301" s="4"/>
      <c r="B1301" s="5"/>
      <c r="C1301" s="6"/>
      <c r="D1301" s="6"/>
      <c r="E1301" s="6"/>
    </row>
    <row r="1302">
      <c r="A1302" s="4"/>
      <c r="B1302" s="5"/>
      <c r="C1302" s="6"/>
      <c r="D1302" s="6"/>
      <c r="E1302" s="6"/>
    </row>
    <row r="1303">
      <c r="A1303" s="4"/>
      <c r="B1303" s="5"/>
      <c r="C1303" s="6"/>
      <c r="D1303" s="6"/>
      <c r="E1303" s="6"/>
    </row>
    <row r="1304">
      <c r="A1304" s="4"/>
      <c r="B1304" s="5"/>
      <c r="C1304" s="6"/>
      <c r="D1304" s="6"/>
      <c r="E1304" s="6"/>
    </row>
    <row r="1305">
      <c r="A1305" s="4"/>
      <c r="B1305" s="5"/>
      <c r="C1305" s="6"/>
      <c r="D1305" s="6"/>
      <c r="E1305" s="6"/>
    </row>
    <row r="1306">
      <c r="A1306" s="4"/>
      <c r="B1306" s="5"/>
      <c r="C1306" s="6"/>
      <c r="D1306" s="6"/>
      <c r="E1306" s="6"/>
    </row>
    <row r="1307">
      <c r="A1307" s="4"/>
      <c r="B1307" s="5"/>
      <c r="C1307" s="6"/>
      <c r="D1307" s="6"/>
      <c r="E1307" s="6"/>
    </row>
    <row r="1308">
      <c r="A1308" s="4"/>
      <c r="B1308" s="5"/>
      <c r="C1308" s="6"/>
      <c r="D1308" s="6"/>
      <c r="E1308" s="6"/>
    </row>
    <row r="1309">
      <c r="A1309" s="4"/>
      <c r="B1309" s="5"/>
      <c r="C1309" s="6"/>
      <c r="D1309" s="6"/>
      <c r="E1309" s="6"/>
    </row>
    <row r="1310">
      <c r="A1310" s="4"/>
      <c r="B1310" s="5"/>
      <c r="C1310" s="6"/>
      <c r="D1310" s="6"/>
      <c r="E1310" s="6"/>
    </row>
    <row r="1311">
      <c r="A1311" s="4"/>
      <c r="B1311" s="5"/>
      <c r="C1311" s="6"/>
      <c r="D1311" s="6"/>
      <c r="E1311" s="6"/>
    </row>
    <row r="1312">
      <c r="A1312" s="4"/>
      <c r="B1312" s="5"/>
      <c r="C1312" s="6"/>
      <c r="D1312" s="6"/>
      <c r="E1312" s="6"/>
    </row>
    <row r="1313">
      <c r="A1313" s="4"/>
      <c r="B1313" s="5"/>
      <c r="C1313" s="6"/>
      <c r="D1313" s="6"/>
      <c r="E1313" s="6"/>
    </row>
    <row r="1314">
      <c r="A1314" s="4"/>
      <c r="B1314" s="5"/>
      <c r="C1314" s="6"/>
      <c r="D1314" s="6"/>
      <c r="E1314" s="6"/>
    </row>
    <row r="1315">
      <c r="A1315" s="4"/>
      <c r="B1315" s="5"/>
      <c r="C1315" s="6"/>
      <c r="D1315" s="6"/>
      <c r="E1315" s="6"/>
    </row>
    <row r="1316">
      <c r="A1316" s="4"/>
      <c r="B1316" s="5"/>
      <c r="C1316" s="6"/>
      <c r="D1316" s="6"/>
      <c r="E1316" s="6"/>
    </row>
    <row r="1317">
      <c r="A1317" s="4"/>
      <c r="B1317" s="5"/>
      <c r="C1317" s="6"/>
      <c r="D1317" s="6"/>
      <c r="E1317" s="6"/>
    </row>
    <row r="1318">
      <c r="A1318" s="4"/>
      <c r="B1318" s="5"/>
      <c r="C1318" s="6"/>
      <c r="D1318" s="6"/>
      <c r="E1318" s="6"/>
    </row>
    <row r="1319">
      <c r="A1319" s="4"/>
      <c r="B1319" s="5"/>
      <c r="C1319" s="6"/>
      <c r="D1319" s="6"/>
      <c r="E1319" s="6"/>
    </row>
    <row r="1320">
      <c r="A1320" s="4"/>
      <c r="B1320" s="5"/>
      <c r="C1320" s="6"/>
      <c r="D1320" s="6"/>
      <c r="E1320" s="6"/>
    </row>
    <row r="1321">
      <c r="A1321" s="4"/>
      <c r="B1321" s="5"/>
      <c r="C1321" s="6"/>
      <c r="D1321" s="6"/>
      <c r="E1321" s="6"/>
    </row>
    <row r="1322">
      <c r="A1322" s="4"/>
      <c r="B1322" s="5"/>
      <c r="C1322" s="6"/>
      <c r="D1322" s="6"/>
      <c r="E1322" s="6"/>
    </row>
    <row r="1323">
      <c r="A1323" s="4"/>
      <c r="B1323" s="5"/>
      <c r="C1323" s="6"/>
      <c r="D1323" s="6"/>
      <c r="E1323" s="6"/>
    </row>
    <row r="1324">
      <c r="A1324" s="4"/>
      <c r="B1324" s="5"/>
      <c r="C1324" s="6"/>
      <c r="D1324" s="6"/>
      <c r="E1324" s="6"/>
    </row>
    <row r="1325">
      <c r="A1325" s="4"/>
      <c r="B1325" s="5"/>
      <c r="C1325" s="6"/>
      <c r="D1325" s="6"/>
      <c r="E1325" s="6"/>
    </row>
    <row r="1326">
      <c r="A1326" s="4"/>
      <c r="B1326" s="5"/>
      <c r="C1326" s="6"/>
      <c r="D1326" s="6"/>
      <c r="E1326" s="6"/>
    </row>
    <row r="1327">
      <c r="A1327" s="4"/>
      <c r="B1327" s="5"/>
      <c r="C1327" s="6"/>
      <c r="D1327" s="6"/>
      <c r="E1327" s="6"/>
    </row>
    <row r="1328">
      <c r="A1328" s="4"/>
      <c r="B1328" s="5"/>
      <c r="C1328" s="6"/>
      <c r="D1328" s="6"/>
      <c r="E1328" s="6"/>
    </row>
    <row r="1329">
      <c r="A1329" s="4"/>
      <c r="B1329" s="5"/>
      <c r="C1329" s="6"/>
      <c r="D1329" s="6"/>
      <c r="E1329" s="6"/>
    </row>
    <row r="1330">
      <c r="A1330" s="4"/>
      <c r="B1330" s="5"/>
      <c r="C1330" s="6"/>
      <c r="D1330" s="6"/>
      <c r="E1330" s="6"/>
    </row>
    <row r="1331">
      <c r="A1331" s="4"/>
      <c r="B1331" s="5"/>
      <c r="C1331" s="6"/>
      <c r="D1331" s="6"/>
      <c r="E1331" s="6"/>
    </row>
    <row r="1332">
      <c r="A1332" s="4"/>
      <c r="B1332" s="5"/>
      <c r="C1332" s="6"/>
      <c r="D1332" s="6"/>
      <c r="E1332" s="6"/>
    </row>
    <row r="1333">
      <c r="A1333" s="4"/>
      <c r="B1333" s="5"/>
      <c r="C1333" s="6"/>
      <c r="D1333" s="6"/>
      <c r="E1333" s="6"/>
    </row>
    <row r="1334">
      <c r="A1334" s="4"/>
      <c r="B1334" s="5"/>
      <c r="C1334" s="6"/>
      <c r="D1334" s="6"/>
      <c r="E1334" s="6"/>
    </row>
    <row r="1335">
      <c r="A1335" s="4"/>
      <c r="B1335" s="5"/>
      <c r="C1335" s="6"/>
      <c r="D1335" s="6"/>
      <c r="E1335" s="6"/>
    </row>
    <row r="1336">
      <c r="A1336" s="4"/>
      <c r="B1336" s="5"/>
      <c r="C1336" s="6"/>
      <c r="D1336" s="6"/>
      <c r="E1336" s="6"/>
    </row>
    <row r="1337">
      <c r="A1337" s="4"/>
      <c r="B1337" s="5"/>
      <c r="C1337" s="6"/>
      <c r="D1337" s="6"/>
      <c r="E1337" s="6"/>
    </row>
    <row r="1338">
      <c r="A1338" s="4"/>
      <c r="B1338" s="5"/>
      <c r="C1338" s="6"/>
      <c r="D1338" s="6"/>
      <c r="E1338" s="6"/>
    </row>
    <row r="1339">
      <c r="A1339" s="4"/>
      <c r="B1339" s="5"/>
      <c r="C1339" s="6"/>
      <c r="D1339" s="6"/>
      <c r="E1339" s="6"/>
    </row>
    <row r="1340">
      <c r="A1340" s="4"/>
      <c r="B1340" s="5"/>
      <c r="C1340" s="6"/>
      <c r="D1340" s="6"/>
      <c r="E1340" s="6"/>
    </row>
    <row r="1341">
      <c r="A1341" s="4"/>
      <c r="B1341" s="5"/>
      <c r="C1341" s="6"/>
      <c r="D1341" s="6"/>
      <c r="E1341" s="6"/>
    </row>
    <row r="1342">
      <c r="A1342" s="4"/>
      <c r="B1342" s="5"/>
      <c r="C1342" s="6"/>
      <c r="D1342" s="6"/>
      <c r="E1342" s="6"/>
    </row>
    <row r="1343">
      <c r="A1343" s="4"/>
      <c r="B1343" s="5"/>
      <c r="C1343" s="6"/>
      <c r="D1343" s="6"/>
      <c r="E1343" s="6"/>
    </row>
    <row r="1344">
      <c r="A1344" s="4"/>
      <c r="B1344" s="5"/>
      <c r="C1344" s="6"/>
      <c r="D1344" s="6"/>
      <c r="E1344" s="6"/>
    </row>
    <row r="1345">
      <c r="A1345" s="4"/>
      <c r="B1345" s="5"/>
      <c r="C1345" s="6"/>
      <c r="D1345" s="6"/>
      <c r="E1345" s="6"/>
    </row>
    <row r="1346">
      <c r="A1346" s="4"/>
      <c r="B1346" s="5"/>
      <c r="C1346" s="6"/>
      <c r="D1346" s="6"/>
      <c r="E1346" s="6"/>
    </row>
    <row r="1347">
      <c r="A1347" s="4"/>
      <c r="B1347" s="5"/>
      <c r="C1347" s="6"/>
      <c r="D1347" s="6"/>
      <c r="E1347" s="6"/>
    </row>
    <row r="1348">
      <c r="A1348" s="4"/>
      <c r="B1348" s="5"/>
      <c r="C1348" s="6"/>
      <c r="D1348" s="6"/>
      <c r="E1348" s="6"/>
    </row>
    <row r="1349">
      <c r="A1349" s="4"/>
      <c r="B1349" s="5"/>
      <c r="C1349" s="6"/>
      <c r="D1349" s="6"/>
      <c r="E1349" s="6"/>
    </row>
    <row r="1350">
      <c r="A1350" s="4"/>
      <c r="B1350" s="5"/>
      <c r="C1350" s="6"/>
      <c r="D1350" s="6"/>
      <c r="E1350" s="6"/>
    </row>
    <row r="1351">
      <c r="A1351" s="4"/>
      <c r="B1351" s="5"/>
      <c r="C1351" s="6"/>
      <c r="D1351" s="6"/>
      <c r="E1351" s="6"/>
    </row>
    <row r="1352">
      <c r="A1352" s="4"/>
      <c r="B1352" s="5"/>
      <c r="C1352" s="6"/>
      <c r="D1352" s="6"/>
      <c r="E1352" s="6"/>
    </row>
    <row r="1353">
      <c r="A1353" s="4"/>
      <c r="B1353" s="5"/>
      <c r="C1353" s="6"/>
      <c r="D1353" s="6"/>
      <c r="E1353" s="6"/>
    </row>
    <row r="1354">
      <c r="A1354" s="4"/>
      <c r="B1354" s="5"/>
      <c r="C1354" s="6"/>
      <c r="D1354" s="6"/>
      <c r="E1354" s="6"/>
    </row>
    <row r="1355">
      <c r="A1355" s="4"/>
      <c r="B1355" s="5"/>
      <c r="C1355" s="6"/>
      <c r="D1355" s="6"/>
      <c r="E1355" s="6"/>
    </row>
    <row r="1356">
      <c r="A1356" s="4"/>
      <c r="B1356" s="5"/>
      <c r="C1356" s="6"/>
      <c r="D1356" s="6"/>
      <c r="E1356" s="6"/>
    </row>
    <row r="1357">
      <c r="A1357" s="4"/>
      <c r="B1357" s="5"/>
      <c r="C1357" s="6"/>
      <c r="D1357" s="6"/>
      <c r="E1357" s="6"/>
    </row>
    <row r="1358">
      <c r="A1358" s="4"/>
      <c r="B1358" s="5"/>
      <c r="C1358" s="6"/>
      <c r="D1358" s="6"/>
      <c r="E1358" s="6"/>
    </row>
    <row r="1359">
      <c r="A1359" s="4"/>
      <c r="B1359" s="5"/>
      <c r="C1359" s="6"/>
      <c r="D1359" s="6"/>
      <c r="E1359" s="6"/>
    </row>
    <row r="1360">
      <c r="A1360" s="4"/>
      <c r="B1360" s="5"/>
      <c r="C1360" s="6"/>
      <c r="D1360" s="6"/>
      <c r="E1360" s="6"/>
    </row>
    <row r="1361">
      <c r="A1361" s="4"/>
      <c r="B1361" s="5"/>
      <c r="C1361" s="6"/>
      <c r="D1361" s="6"/>
      <c r="E1361" s="6"/>
    </row>
    <row r="1362">
      <c r="A1362" s="4"/>
      <c r="B1362" s="5"/>
      <c r="C1362" s="6"/>
      <c r="D1362" s="6"/>
      <c r="E1362" s="6"/>
    </row>
    <row r="1363">
      <c r="A1363" s="4"/>
      <c r="B1363" s="5"/>
      <c r="C1363" s="6"/>
      <c r="D1363" s="6"/>
      <c r="E1363" s="6"/>
    </row>
    <row r="1364">
      <c r="A1364" s="10"/>
      <c r="B1364" s="17"/>
      <c r="C1364" s="10"/>
      <c r="D1364" s="10"/>
      <c r="E1364" s="10"/>
    </row>
    <row r="1365">
      <c r="A1365" s="10"/>
      <c r="B1365" s="17"/>
      <c r="C1365" s="10"/>
      <c r="D1365" s="10"/>
      <c r="E1365" s="10"/>
    </row>
    <row r="1366">
      <c r="A1366" s="10"/>
      <c r="B1366" s="17"/>
      <c r="C1366" s="10"/>
      <c r="D1366" s="10"/>
      <c r="E1366" s="10"/>
    </row>
    <row r="1367">
      <c r="A1367" s="10"/>
      <c r="B1367" s="17"/>
      <c r="C1367" s="10"/>
      <c r="D1367" s="10"/>
      <c r="E1367" s="10"/>
    </row>
    <row r="1368">
      <c r="A1368" s="10"/>
      <c r="B1368" s="17"/>
      <c r="C1368" s="10"/>
      <c r="D1368" s="10"/>
      <c r="E1368" s="10"/>
    </row>
    <row r="1369">
      <c r="A1369" s="10"/>
      <c r="B1369" s="17"/>
      <c r="C1369" s="10"/>
      <c r="D1369" s="10"/>
      <c r="E1369" s="10"/>
    </row>
    <row r="1370">
      <c r="A1370" s="10"/>
      <c r="B1370" s="17"/>
      <c r="C1370" s="10"/>
      <c r="D1370" s="10"/>
      <c r="E1370" s="10"/>
    </row>
    <row r="1371">
      <c r="A1371" s="10"/>
      <c r="B1371" s="17"/>
      <c r="C1371" s="10"/>
      <c r="D1371" s="10"/>
      <c r="E1371" s="10"/>
    </row>
    <row r="1372">
      <c r="A1372" s="10"/>
      <c r="B1372" s="17"/>
      <c r="C1372" s="10"/>
      <c r="D1372" s="10"/>
      <c r="E1372" s="10"/>
    </row>
    <row r="1373">
      <c r="A1373" s="10"/>
      <c r="B1373" s="17"/>
      <c r="C1373" s="10"/>
      <c r="D1373" s="10"/>
      <c r="E1373" s="10"/>
    </row>
    <row r="1374">
      <c r="A1374" s="10"/>
      <c r="B1374" s="17"/>
      <c r="C1374" s="10"/>
      <c r="D1374" s="10"/>
      <c r="E1374" s="10"/>
    </row>
    <row r="1375">
      <c r="A1375" s="10"/>
      <c r="B1375" s="17"/>
      <c r="C1375" s="10"/>
      <c r="D1375" s="10"/>
      <c r="E1375" s="10"/>
    </row>
    <row r="1376">
      <c r="A1376" s="10"/>
      <c r="B1376" s="17"/>
      <c r="C1376" s="10"/>
      <c r="D1376" s="10"/>
      <c r="E1376" s="10"/>
    </row>
    <row r="1377">
      <c r="A1377" s="10"/>
      <c r="B1377" s="17"/>
      <c r="C1377" s="10"/>
      <c r="D1377" s="10"/>
      <c r="E1377" s="10"/>
    </row>
    <row r="1378">
      <c r="A1378" s="10"/>
      <c r="B1378" s="17"/>
      <c r="C1378" s="10"/>
      <c r="D1378" s="10"/>
      <c r="E1378" s="10"/>
    </row>
    <row r="1379">
      <c r="A1379" s="10"/>
      <c r="B1379" s="17"/>
      <c r="C1379" s="10"/>
      <c r="D1379" s="10"/>
      <c r="E1379" s="10"/>
    </row>
    <row r="1380">
      <c r="A1380" s="10"/>
      <c r="B1380" s="17"/>
      <c r="C1380" s="10"/>
      <c r="D1380" s="10"/>
      <c r="E1380" s="10"/>
    </row>
    <row r="1381">
      <c r="A1381" s="10"/>
      <c r="B1381" s="17"/>
      <c r="C1381" s="10"/>
      <c r="D1381" s="10"/>
      <c r="E1381" s="10"/>
    </row>
    <row r="1382">
      <c r="A1382" s="10"/>
      <c r="B1382" s="17"/>
      <c r="C1382" s="10"/>
      <c r="D1382" s="10"/>
      <c r="E1382" s="10"/>
    </row>
    <row r="1383">
      <c r="A1383" s="10"/>
      <c r="B1383" s="17"/>
      <c r="C1383" s="10"/>
      <c r="D1383" s="10"/>
      <c r="E1383" s="10"/>
    </row>
    <row r="1384">
      <c r="A1384" s="10"/>
      <c r="B1384" s="17"/>
      <c r="C1384" s="10"/>
      <c r="D1384" s="10"/>
      <c r="E1384" s="10"/>
    </row>
    <row r="1385">
      <c r="A1385" s="10"/>
      <c r="B1385" s="17"/>
      <c r="C1385" s="10"/>
      <c r="D1385" s="10"/>
      <c r="E1385" s="10"/>
    </row>
    <row r="1386">
      <c r="A1386" s="10"/>
      <c r="B1386" s="17"/>
      <c r="C1386" s="10"/>
      <c r="D1386" s="10"/>
      <c r="E1386" s="10"/>
    </row>
    <row r="1387">
      <c r="A1387" s="10"/>
      <c r="B1387" s="17"/>
      <c r="C1387" s="10"/>
      <c r="D1387" s="10"/>
      <c r="E1387" s="10"/>
    </row>
    <row r="1388">
      <c r="A1388" s="10"/>
      <c r="B1388" s="17"/>
      <c r="C1388" s="10"/>
      <c r="D1388" s="10"/>
      <c r="E1388" s="10"/>
    </row>
    <row r="1389">
      <c r="A1389" s="10"/>
      <c r="B1389" s="17"/>
      <c r="C1389" s="10"/>
      <c r="D1389" s="10"/>
      <c r="E1389" s="10"/>
    </row>
    <row r="1390">
      <c r="A1390" s="10"/>
      <c r="B1390" s="17"/>
      <c r="C1390" s="10"/>
      <c r="D1390" s="10"/>
      <c r="E1390" s="10"/>
    </row>
    <row r="1391">
      <c r="A1391" s="10"/>
      <c r="B1391" s="17"/>
      <c r="C1391" s="10"/>
      <c r="D1391" s="10"/>
      <c r="E1391" s="10"/>
    </row>
    <row r="1392">
      <c r="A1392" s="10"/>
      <c r="B1392" s="17"/>
      <c r="C1392" s="10"/>
      <c r="D1392" s="10"/>
      <c r="E1392" s="10"/>
    </row>
    <row r="1393">
      <c r="A1393" s="10"/>
      <c r="B1393" s="17"/>
      <c r="C1393" s="10"/>
      <c r="D1393" s="10"/>
      <c r="E1393" s="10"/>
    </row>
    <row r="1394">
      <c r="A1394" s="10"/>
      <c r="B1394" s="17"/>
      <c r="C1394" s="10"/>
      <c r="D1394" s="10"/>
      <c r="E1394" s="10"/>
    </row>
    <row r="1395">
      <c r="A1395" s="10"/>
      <c r="B1395" s="17"/>
      <c r="C1395" s="10"/>
      <c r="D1395" s="10"/>
      <c r="E1395" s="10"/>
    </row>
    <row r="1396">
      <c r="A1396" s="10"/>
      <c r="B1396" s="17"/>
      <c r="C1396" s="10"/>
      <c r="D1396" s="10"/>
      <c r="E1396" s="10"/>
    </row>
    <row r="1397">
      <c r="A1397" s="10"/>
      <c r="B1397" s="17"/>
      <c r="C1397" s="10"/>
      <c r="D1397" s="10"/>
      <c r="E1397" s="10"/>
    </row>
    <row r="1398">
      <c r="A1398" s="10"/>
      <c r="B1398" s="17"/>
      <c r="C1398" s="10"/>
      <c r="D1398" s="10"/>
      <c r="E1398" s="10"/>
    </row>
    <row r="1399">
      <c r="A1399" s="10"/>
      <c r="B1399" s="17"/>
      <c r="C1399" s="10"/>
      <c r="D1399" s="10"/>
      <c r="E1399" s="10"/>
    </row>
    <row r="1400">
      <c r="A1400" s="10"/>
      <c r="B1400" s="17"/>
      <c r="C1400" s="10"/>
      <c r="D1400" s="10"/>
      <c r="E1400" s="10"/>
    </row>
    <row r="1401">
      <c r="A1401" s="10"/>
      <c r="B1401" s="17"/>
      <c r="C1401" s="10"/>
      <c r="D1401" s="10"/>
      <c r="E1401" s="10"/>
    </row>
    <row r="1402">
      <c r="A1402" s="10"/>
      <c r="B1402" s="17"/>
      <c r="C1402" s="10"/>
      <c r="D1402" s="10"/>
      <c r="E1402" s="10"/>
    </row>
    <row r="1403">
      <c r="A1403" s="10"/>
      <c r="B1403" s="17"/>
      <c r="C1403" s="10"/>
      <c r="D1403" s="10"/>
      <c r="E1403" s="10"/>
    </row>
    <row r="1404">
      <c r="A1404" s="10"/>
      <c r="B1404" s="17"/>
      <c r="C1404" s="10"/>
      <c r="D1404" s="10"/>
      <c r="E1404" s="10"/>
    </row>
    <row r="1405">
      <c r="A1405" s="10"/>
      <c r="B1405" s="17"/>
      <c r="C1405" s="10"/>
      <c r="D1405" s="10"/>
      <c r="E1405" s="10"/>
    </row>
    <row r="1406">
      <c r="A1406" s="10"/>
      <c r="B1406" s="17"/>
      <c r="C1406" s="10"/>
      <c r="D1406" s="10"/>
      <c r="E1406" s="10"/>
    </row>
    <row r="1407">
      <c r="A1407" s="10"/>
      <c r="B1407" s="17"/>
      <c r="C1407" s="10"/>
      <c r="D1407" s="10"/>
      <c r="E1407" s="10"/>
    </row>
    <row r="1408">
      <c r="A1408" s="10"/>
      <c r="B1408" s="17"/>
      <c r="C1408" s="10"/>
      <c r="D1408" s="10"/>
      <c r="E1408" s="10"/>
    </row>
    <row r="1409">
      <c r="A1409" s="10"/>
      <c r="B1409" s="17"/>
      <c r="C1409" s="10"/>
      <c r="D1409" s="10"/>
      <c r="E1409" s="10"/>
    </row>
    <row r="1410">
      <c r="A1410" s="10"/>
      <c r="B1410" s="17"/>
      <c r="C1410" s="10"/>
      <c r="D1410" s="10"/>
      <c r="E1410" s="10"/>
    </row>
    <row r="1411">
      <c r="A1411" s="10"/>
      <c r="B1411" s="17"/>
      <c r="C1411" s="10"/>
      <c r="D1411" s="10"/>
      <c r="E1411" s="10"/>
    </row>
    <row r="1412">
      <c r="A1412" s="10"/>
      <c r="B1412" s="17"/>
      <c r="C1412" s="10"/>
      <c r="D1412" s="10"/>
      <c r="E1412" s="10"/>
    </row>
    <row r="1413">
      <c r="A1413" s="10"/>
      <c r="B1413" s="17"/>
      <c r="C1413" s="10"/>
      <c r="D1413" s="10"/>
      <c r="E1413" s="10"/>
    </row>
    <row r="1414">
      <c r="A1414" s="10"/>
      <c r="B1414" s="17"/>
      <c r="C1414" s="10"/>
      <c r="D1414" s="10"/>
      <c r="E1414" s="10"/>
    </row>
    <row r="1415">
      <c r="A1415" s="10"/>
      <c r="B1415" s="17"/>
      <c r="C1415" s="10"/>
      <c r="D1415" s="10"/>
      <c r="E1415" s="10"/>
    </row>
    <row r="1416">
      <c r="A1416" s="10"/>
      <c r="B1416" s="17"/>
      <c r="C1416" s="10"/>
      <c r="D1416" s="10"/>
      <c r="E1416" s="10"/>
    </row>
    <row r="1417">
      <c r="A1417" s="10"/>
      <c r="B1417" s="17"/>
      <c r="C1417" s="10"/>
      <c r="D1417" s="10"/>
      <c r="E1417" s="10"/>
    </row>
    <row r="1418">
      <c r="A1418" s="10"/>
      <c r="B1418" s="17"/>
      <c r="C1418" s="10"/>
      <c r="D1418" s="10"/>
      <c r="E1418" s="10"/>
    </row>
    <row r="1419">
      <c r="A1419" s="10"/>
      <c r="B1419" s="17"/>
      <c r="C1419" s="10"/>
      <c r="D1419" s="10"/>
      <c r="E1419" s="10"/>
    </row>
    <row r="1420">
      <c r="A1420" s="10"/>
      <c r="B1420" s="17"/>
      <c r="C1420" s="10"/>
      <c r="D1420" s="10"/>
      <c r="E1420" s="10"/>
    </row>
    <row r="1421">
      <c r="A1421" s="10"/>
      <c r="B1421" s="17"/>
      <c r="C1421" s="10"/>
      <c r="D1421" s="10"/>
      <c r="E1421" s="10"/>
    </row>
    <row r="1422">
      <c r="A1422" s="10"/>
      <c r="B1422" s="17"/>
      <c r="C1422" s="10"/>
      <c r="D1422" s="10"/>
      <c r="E1422" s="10"/>
    </row>
    <row r="1423">
      <c r="A1423" s="10"/>
      <c r="B1423" s="17"/>
      <c r="C1423" s="10"/>
      <c r="D1423" s="10"/>
      <c r="E1423" s="10"/>
    </row>
    <row r="1424">
      <c r="A1424" s="10"/>
      <c r="B1424" s="17"/>
      <c r="C1424" s="10"/>
      <c r="D1424" s="10"/>
      <c r="E1424" s="10"/>
    </row>
    <row r="1425">
      <c r="A1425" s="10"/>
      <c r="B1425" s="17"/>
      <c r="C1425" s="10"/>
      <c r="D1425" s="10"/>
      <c r="E1425" s="10"/>
    </row>
    <row r="1426">
      <c r="A1426" s="10"/>
      <c r="B1426" s="17"/>
      <c r="C1426" s="10"/>
      <c r="D1426" s="10"/>
      <c r="E1426" s="10"/>
    </row>
    <row r="1427">
      <c r="A1427" s="10"/>
      <c r="B1427" s="17"/>
      <c r="C1427" s="10"/>
      <c r="D1427" s="10"/>
      <c r="E1427" s="10"/>
    </row>
    <row r="1428">
      <c r="A1428" s="10"/>
      <c r="B1428" s="17"/>
      <c r="C1428" s="10"/>
      <c r="D1428" s="10"/>
      <c r="E1428" s="10"/>
    </row>
    <row r="1429">
      <c r="A1429" s="10"/>
      <c r="B1429" s="17"/>
      <c r="C1429" s="10"/>
      <c r="D1429" s="10"/>
      <c r="E1429" s="10"/>
    </row>
    <row r="1430">
      <c r="A1430" s="10"/>
      <c r="B1430" s="17"/>
      <c r="C1430" s="10"/>
      <c r="D1430" s="10"/>
      <c r="E1430" s="10"/>
    </row>
    <row r="1431">
      <c r="A1431" s="10"/>
      <c r="B1431" s="17"/>
      <c r="C1431" s="10"/>
      <c r="D1431" s="10"/>
      <c r="E1431" s="10"/>
    </row>
    <row r="1432">
      <c r="A1432" s="10"/>
      <c r="B1432" s="17"/>
      <c r="C1432" s="10"/>
      <c r="D1432" s="10"/>
      <c r="E1432" s="10"/>
    </row>
    <row r="1433">
      <c r="A1433" s="10"/>
      <c r="B1433" s="17"/>
      <c r="C1433" s="10"/>
      <c r="D1433" s="10"/>
      <c r="E1433" s="10"/>
    </row>
    <row r="1434">
      <c r="A1434" s="10"/>
      <c r="B1434" s="17"/>
      <c r="C1434" s="10"/>
      <c r="D1434" s="10"/>
      <c r="E1434" s="10"/>
    </row>
    <row r="1435">
      <c r="A1435" s="10"/>
      <c r="B1435" s="17"/>
      <c r="C1435" s="10"/>
      <c r="D1435" s="10"/>
      <c r="E1435" s="10"/>
    </row>
    <row r="1436">
      <c r="A1436" s="10"/>
      <c r="B1436" s="17"/>
      <c r="C1436" s="10"/>
      <c r="D1436" s="10"/>
      <c r="E1436" s="10"/>
    </row>
    <row r="1437">
      <c r="A1437" s="10"/>
      <c r="B1437" s="17"/>
      <c r="C1437" s="10"/>
      <c r="D1437" s="10"/>
      <c r="E1437" s="10"/>
    </row>
    <row r="1438">
      <c r="A1438" s="10"/>
      <c r="B1438" s="17"/>
      <c r="C1438" s="10"/>
      <c r="D1438" s="10"/>
      <c r="E1438" s="10"/>
    </row>
    <row r="1439">
      <c r="A1439" s="10"/>
      <c r="B1439" s="17"/>
      <c r="C1439" s="10"/>
      <c r="D1439" s="10"/>
      <c r="E1439" s="10"/>
    </row>
    <row r="1440">
      <c r="A1440" s="10"/>
      <c r="B1440" s="17"/>
      <c r="C1440" s="10"/>
      <c r="D1440" s="10"/>
      <c r="E1440" s="10"/>
    </row>
    <row r="1441">
      <c r="A1441" s="10"/>
      <c r="B1441" s="17"/>
      <c r="C1441" s="10"/>
      <c r="D1441" s="10"/>
      <c r="E1441" s="10"/>
    </row>
    <row r="1442">
      <c r="A1442" s="10"/>
      <c r="B1442" s="17"/>
      <c r="C1442" s="10"/>
      <c r="D1442" s="10"/>
      <c r="E1442" s="10"/>
    </row>
    <row r="1443">
      <c r="A1443" s="10"/>
      <c r="B1443" s="17"/>
      <c r="C1443" s="10"/>
      <c r="D1443" s="10"/>
      <c r="E1443" s="10"/>
    </row>
    <row r="1444">
      <c r="A1444" s="10"/>
      <c r="B1444" s="17"/>
      <c r="C1444" s="10"/>
      <c r="D1444" s="10"/>
      <c r="E1444" s="10"/>
    </row>
    <row r="1445">
      <c r="A1445" s="10"/>
      <c r="B1445" s="17"/>
      <c r="C1445" s="10"/>
      <c r="D1445" s="10"/>
      <c r="E1445" s="10"/>
    </row>
    <row r="1446">
      <c r="A1446" s="10"/>
      <c r="B1446" s="17"/>
      <c r="C1446" s="10"/>
      <c r="D1446" s="10"/>
      <c r="E1446" s="10"/>
    </row>
    <row r="1447">
      <c r="A1447" s="10"/>
      <c r="B1447" s="17"/>
      <c r="C1447" s="10"/>
      <c r="D1447" s="10"/>
      <c r="E1447" s="10"/>
    </row>
    <row r="1448">
      <c r="A1448" s="10"/>
      <c r="B1448" s="17"/>
      <c r="C1448" s="10"/>
      <c r="D1448" s="10"/>
      <c r="E1448" s="10"/>
    </row>
    <row r="1449">
      <c r="A1449" s="10"/>
      <c r="B1449" s="17"/>
      <c r="C1449" s="10"/>
      <c r="D1449" s="10"/>
      <c r="E1449" s="10"/>
    </row>
    <row r="1450">
      <c r="A1450" s="10"/>
      <c r="B1450" s="17"/>
      <c r="C1450" s="10"/>
      <c r="D1450" s="10"/>
      <c r="E1450" s="10"/>
    </row>
    <row r="1451">
      <c r="A1451" s="10"/>
      <c r="B1451" s="17"/>
      <c r="C1451" s="10"/>
      <c r="D1451" s="10"/>
      <c r="E1451" s="10"/>
    </row>
    <row r="1452">
      <c r="A1452" s="10"/>
      <c r="B1452" s="17"/>
      <c r="C1452" s="10"/>
      <c r="D1452" s="10"/>
      <c r="E1452" s="10"/>
    </row>
    <row r="1453">
      <c r="A1453" s="10"/>
      <c r="B1453" s="17"/>
      <c r="C1453" s="10"/>
      <c r="D1453" s="10"/>
      <c r="E1453" s="10"/>
    </row>
    <row r="1454">
      <c r="A1454" s="10"/>
      <c r="B1454" s="17"/>
      <c r="C1454" s="10"/>
      <c r="D1454" s="10"/>
      <c r="E1454" s="10"/>
    </row>
    <row r="1455">
      <c r="A1455" s="10"/>
      <c r="B1455" s="17"/>
      <c r="C1455" s="10"/>
      <c r="D1455" s="10"/>
      <c r="E1455" s="10"/>
    </row>
    <row r="1456">
      <c r="A1456" s="10"/>
      <c r="B1456" s="17"/>
      <c r="C1456" s="10"/>
      <c r="D1456" s="10"/>
      <c r="E1456" s="10"/>
    </row>
    <row r="1457">
      <c r="A1457" s="10"/>
      <c r="B1457" s="17"/>
      <c r="C1457" s="10"/>
      <c r="D1457" s="10"/>
      <c r="E1457" s="10"/>
    </row>
    <row r="1458">
      <c r="A1458" s="10"/>
      <c r="B1458" s="17"/>
      <c r="C1458" s="10"/>
      <c r="D1458" s="10"/>
      <c r="E1458" s="10"/>
    </row>
    <row r="1459">
      <c r="A1459" s="10"/>
      <c r="B1459" s="17"/>
      <c r="C1459" s="10"/>
      <c r="D1459" s="10"/>
      <c r="E1459" s="10"/>
    </row>
    <row r="1460">
      <c r="A1460" s="10"/>
      <c r="B1460" s="17"/>
      <c r="C1460" s="10"/>
      <c r="D1460" s="10"/>
      <c r="E1460" s="10"/>
    </row>
    <row r="1461">
      <c r="A1461" s="10"/>
      <c r="B1461" s="17"/>
      <c r="C1461" s="10"/>
      <c r="D1461" s="10"/>
      <c r="E1461" s="10"/>
    </row>
    <row r="1462">
      <c r="A1462" s="10"/>
      <c r="B1462" s="17"/>
      <c r="C1462" s="10"/>
      <c r="D1462" s="10"/>
      <c r="E1462" s="10"/>
    </row>
    <row r="1463">
      <c r="A1463" s="10"/>
      <c r="B1463" s="17"/>
      <c r="C1463" s="10"/>
      <c r="D1463" s="10"/>
      <c r="E1463" s="10"/>
    </row>
    <row r="1464">
      <c r="A1464" s="10"/>
      <c r="B1464" s="17"/>
      <c r="C1464" s="10"/>
      <c r="D1464" s="10"/>
      <c r="E1464" s="10"/>
    </row>
    <row r="1465">
      <c r="A1465" s="10"/>
      <c r="B1465" s="17"/>
      <c r="C1465" s="10"/>
      <c r="D1465" s="10"/>
      <c r="E1465" s="10"/>
    </row>
    <row r="1466">
      <c r="A1466" s="10"/>
      <c r="B1466" s="17"/>
      <c r="C1466" s="10"/>
      <c r="D1466" s="10"/>
      <c r="E1466" s="10"/>
    </row>
    <row r="1467">
      <c r="A1467" s="10"/>
      <c r="B1467" s="17"/>
      <c r="C1467" s="10"/>
      <c r="D1467" s="10"/>
      <c r="E1467" s="10"/>
    </row>
    <row r="1468">
      <c r="A1468" s="10"/>
      <c r="B1468" s="17"/>
      <c r="C1468" s="10"/>
      <c r="D1468" s="10"/>
      <c r="E1468" s="10"/>
    </row>
    <row r="1469">
      <c r="A1469" s="10"/>
      <c r="B1469" s="17"/>
      <c r="C1469" s="10"/>
      <c r="D1469" s="10"/>
      <c r="E1469" s="10"/>
    </row>
    <row r="1470">
      <c r="A1470" s="10"/>
      <c r="B1470" s="17"/>
      <c r="C1470" s="10"/>
      <c r="D1470" s="10"/>
      <c r="E1470" s="10"/>
    </row>
    <row r="1471">
      <c r="A1471" s="10"/>
      <c r="B1471" s="17"/>
      <c r="C1471" s="10"/>
      <c r="D1471" s="10"/>
      <c r="E1471" s="10"/>
    </row>
    <row r="1472">
      <c r="A1472" s="10"/>
      <c r="B1472" s="17"/>
      <c r="C1472" s="10"/>
      <c r="D1472" s="10"/>
      <c r="E1472" s="10"/>
    </row>
    <row r="1473">
      <c r="A1473" s="10"/>
      <c r="B1473" s="17"/>
      <c r="C1473" s="10"/>
      <c r="D1473" s="10"/>
      <c r="E1473" s="10"/>
    </row>
    <row r="1474">
      <c r="A1474" s="10"/>
      <c r="B1474" s="17"/>
      <c r="C1474" s="10"/>
      <c r="D1474" s="10"/>
      <c r="E1474" s="10"/>
    </row>
    <row r="1475">
      <c r="A1475" s="10"/>
      <c r="B1475" s="17"/>
      <c r="C1475" s="10"/>
      <c r="D1475" s="10"/>
      <c r="E1475" s="10"/>
    </row>
    <row r="1476">
      <c r="A1476" s="10"/>
      <c r="B1476" s="17"/>
      <c r="C1476" s="10"/>
      <c r="D1476" s="10"/>
      <c r="E1476" s="10"/>
    </row>
    <row r="1477">
      <c r="A1477" s="10"/>
      <c r="B1477" s="17"/>
      <c r="C1477" s="10"/>
      <c r="D1477" s="10"/>
      <c r="E1477" s="10"/>
    </row>
    <row r="1478">
      <c r="A1478" s="10"/>
      <c r="B1478" s="17"/>
      <c r="C1478" s="10"/>
      <c r="D1478" s="10"/>
      <c r="E1478" s="10"/>
    </row>
    <row r="1479">
      <c r="A1479" s="10"/>
      <c r="B1479" s="17"/>
      <c r="C1479" s="10"/>
      <c r="D1479" s="10"/>
      <c r="E1479" s="10"/>
    </row>
    <row r="1480">
      <c r="A1480" s="10"/>
      <c r="B1480" s="17"/>
      <c r="C1480" s="10"/>
      <c r="D1480" s="10"/>
      <c r="E1480" s="10"/>
    </row>
    <row r="1481">
      <c r="A1481" s="10"/>
      <c r="B1481" s="17"/>
      <c r="C1481" s="10"/>
      <c r="D1481" s="10"/>
      <c r="E1481" s="10"/>
    </row>
    <row r="1482">
      <c r="A1482" s="10"/>
      <c r="B1482" s="17"/>
      <c r="C1482" s="10"/>
      <c r="D1482" s="10"/>
      <c r="E1482" s="10"/>
    </row>
    <row r="1483">
      <c r="A1483" s="10"/>
      <c r="B1483" s="17"/>
      <c r="C1483" s="10"/>
      <c r="D1483" s="10"/>
      <c r="E1483" s="10"/>
    </row>
    <row r="1484">
      <c r="A1484" s="10"/>
      <c r="B1484" s="17"/>
      <c r="C1484" s="10"/>
      <c r="D1484" s="10"/>
      <c r="E1484" s="10"/>
    </row>
    <row r="1485">
      <c r="A1485" s="10"/>
      <c r="B1485" s="17"/>
      <c r="C1485" s="10"/>
      <c r="D1485" s="10"/>
      <c r="E1485" s="10"/>
    </row>
    <row r="1486">
      <c r="A1486" s="10"/>
      <c r="B1486" s="17"/>
      <c r="C1486" s="10"/>
      <c r="D1486" s="10"/>
      <c r="E1486" s="10"/>
    </row>
    <row r="1487">
      <c r="A1487" s="10"/>
      <c r="B1487" s="17"/>
      <c r="C1487" s="10"/>
      <c r="D1487" s="10"/>
      <c r="E1487" s="10"/>
    </row>
    <row r="1488">
      <c r="A1488" s="10"/>
      <c r="B1488" s="17"/>
      <c r="C1488" s="10"/>
      <c r="D1488" s="10"/>
      <c r="E1488" s="10"/>
    </row>
    <row r="1489">
      <c r="A1489" s="10"/>
      <c r="B1489" s="17"/>
      <c r="C1489" s="10"/>
      <c r="D1489" s="10"/>
      <c r="E1489" s="10"/>
    </row>
    <row r="1490">
      <c r="A1490" s="10"/>
      <c r="B1490" s="17"/>
      <c r="C1490" s="10"/>
      <c r="D1490" s="10"/>
      <c r="E1490" s="10"/>
    </row>
    <row r="1491">
      <c r="A1491" s="10"/>
      <c r="B1491" s="17"/>
      <c r="C1491" s="10"/>
      <c r="D1491" s="10"/>
      <c r="E1491" s="10"/>
    </row>
    <row r="1492">
      <c r="A1492" s="10"/>
      <c r="B1492" s="17"/>
      <c r="C1492" s="10"/>
      <c r="D1492" s="10"/>
      <c r="E1492" s="10"/>
    </row>
    <row r="1493">
      <c r="A1493" s="10"/>
      <c r="B1493" s="17"/>
      <c r="C1493" s="10"/>
      <c r="D1493" s="10"/>
      <c r="E1493" s="10"/>
    </row>
    <row r="1494">
      <c r="A1494" s="10"/>
      <c r="B1494" s="17"/>
      <c r="C1494" s="10"/>
      <c r="D1494" s="10"/>
      <c r="E1494" s="10"/>
    </row>
    <row r="1495">
      <c r="A1495" s="10"/>
      <c r="B1495" s="17"/>
      <c r="C1495" s="10"/>
      <c r="D1495" s="10"/>
      <c r="E1495" s="10"/>
    </row>
    <row r="1496">
      <c r="A1496" s="10"/>
      <c r="B1496" s="17"/>
      <c r="C1496" s="10"/>
      <c r="D1496" s="10"/>
      <c r="E1496" s="10"/>
    </row>
    <row r="1497">
      <c r="A1497" s="10"/>
      <c r="B1497" s="17"/>
      <c r="C1497" s="10"/>
      <c r="D1497" s="10"/>
      <c r="E1497" s="10"/>
    </row>
    <row r="1498">
      <c r="A1498" s="10"/>
      <c r="B1498" s="17"/>
      <c r="C1498" s="10"/>
      <c r="D1498" s="10"/>
      <c r="E1498" s="10"/>
    </row>
    <row r="1499">
      <c r="A1499" s="10"/>
      <c r="B1499" s="17"/>
      <c r="C1499" s="10"/>
      <c r="D1499" s="10"/>
      <c r="E1499" s="10"/>
    </row>
    <row r="1500">
      <c r="A1500" s="10"/>
      <c r="B1500" s="17"/>
      <c r="C1500" s="10"/>
      <c r="D1500" s="10"/>
      <c r="E1500" s="10"/>
    </row>
    <row r="1501">
      <c r="A1501" s="10"/>
      <c r="B1501" s="17"/>
      <c r="C1501" s="10"/>
      <c r="D1501" s="10"/>
      <c r="E1501" s="10"/>
    </row>
    <row r="1502">
      <c r="A1502" s="10"/>
      <c r="B1502" s="17"/>
      <c r="C1502" s="10"/>
      <c r="D1502" s="10"/>
      <c r="E1502" s="10"/>
    </row>
    <row r="1503">
      <c r="A1503" s="10"/>
      <c r="B1503" s="17"/>
      <c r="C1503" s="10"/>
      <c r="D1503" s="10"/>
      <c r="E1503" s="10"/>
    </row>
    <row r="1504">
      <c r="A1504" s="10"/>
      <c r="B1504" s="17"/>
      <c r="C1504" s="10"/>
      <c r="D1504" s="10"/>
      <c r="E1504" s="10"/>
    </row>
    <row r="1505">
      <c r="A1505" s="10"/>
      <c r="B1505" s="17"/>
      <c r="C1505" s="10"/>
      <c r="D1505" s="10"/>
      <c r="E1505" s="10"/>
    </row>
    <row r="1506">
      <c r="A1506" s="10"/>
      <c r="B1506" s="17"/>
      <c r="C1506" s="10"/>
      <c r="D1506" s="10"/>
      <c r="E1506" s="10"/>
    </row>
    <row r="1507">
      <c r="A1507" s="10"/>
      <c r="B1507" s="17"/>
      <c r="C1507" s="10"/>
      <c r="D1507" s="10"/>
      <c r="E1507" s="10"/>
    </row>
    <row r="1508">
      <c r="A1508" s="10"/>
      <c r="B1508" s="17"/>
      <c r="C1508" s="10"/>
      <c r="D1508" s="10"/>
      <c r="E1508" s="10"/>
    </row>
    <row r="1509">
      <c r="A1509" s="10"/>
      <c r="B1509" s="17"/>
      <c r="C1509" s="10"/>
      <c r="D1509" s="10"/>
      <c r="E1509" s="10"/>
    </row>
    <row r="1510">
      <c r="A1510" s="10"/>
      <c r="B1510" s="17"/>
      <c r="C1510" s="10"/>
      <c r="D1510" s="10"/>
      <c r="E1510" s="10"/>
    </row>
    <row r="1511">
      <c r="A1511" s="10"/>
      <c r="B1511" s="17"/>
      <c r="C1511" s="10"/>
      <c r="D1511" s="10"/>
      <c r="E1511" s="10"/>
    </row>
    <row r="1512">
      <c r="A1512" s="10"/>
      <c r="B1512" s="17"/>
      <c r="C1512" s="10"/>
      <c r="D1512" s="10"/>
      <c r="E1512" s="10"/>
    </row>
    <row r="1513">
      <c r="A1513" s="10"/>
      <c r="B1513" s="17"/>
      <c r="C1513" s="10"/>
      <c r="D1513" s="10"/>
      <c r="E1513" s="10"/>
    </row>
    <row r="1514">
      <c r="A1514" s="10"/>
      <c r="B1514" s="17"/>
      <c r="C1514" s="10"/>
      <c r="D1514" s="10"/>
      <c r="E1514" s="10"/>
    </row>
    <row r="1515">
      <c r="A1515" s="10"/>
      <c r="B1515" s="17"/>
      <c r="C1515" s="10"/>
      <c r="D1515" s="10"/>
      <c r="E1515" s="10"/>
    </row>
    <row r="1516">
      <c r="A1516" s="10"/>
      <c r="B1516" s="17"/>
      <c r="C1516" s="10"/>
      <c r="D1516" s="10"/>
      <c r="E1516" s="10"/>
    </row>
    <row r="1517">
      <c r="A1517" s="10"/>
      <c r="B1517" s="17"/>
      <c r="C1517" s="10"/>
      <c r="D1517" s="10"/>
      <c r="E1517" s="10"/>
    </row>
    <row r="1518">
      <c r="A1518" s="10"/>
      <c r="B1518" s="17"/>
      <c r="C1518" s="10"/>
      <c r="D1518" s="10"/>
      <c r="E1518" s="10"/>
    </row>
    <row r="1519">
      <c r="A1519" s="10"/>
      <c r="B1519" s="17"/>
      <c r="C1519" s="10"/>
      <c r="D1519" s="10"/>
      <c r="E1519" s="10"/>
    </row>
    <row r="1520">
      <c r="A1520" s="10"/>
      <c r="B1520" s="17"/>
      <c r="C1520" s="10"/>
      <c r="D1520" s="10"/>
      <c r="E1520" s="10"/>
    </row>
    <row r="1521">
      <c r="A1521" s="10"/>
      <c r="B1521" s="17"/>
      <c r="C1521" s="10"/>
      <c r="D1521" s="10"/>
      <c r="E1521" s="10"/>
    </row>
    <row r="1522">
      <c r="A1522" s="10"/>
      <c r="B1522" s="17"/>
      <c r="C1522" s="10"/>
      <c r="D1522" s="10"/>
      <c r="E1522" s="10"/>
    </row>
    <row r="1523">
      <c r="A1523" s="10"/>
      <c r="B1523" s="17"/>
      <c r="C1523" s="10"/>
      <c r="D1523" s="10"/>
      <c r="E1523" s="10"/>
    </row>
    <row r="1524">
      <c r="A1524" s="10"/>
      <c r="B1524" s="17"/>
      <c r="C1524" s="10"/>
      <c r="D1524" s="10"/>
      <c r="E1524" s="10"/>
    </row>
    <row r="1525">
      <c r="A1525" s="10"/>
      <c r="B1525" s="17"/>
      <c r="C1525" s="10"/>
      <c r="D1525" s="10"/>
      <c r="E1525" s="10"/>
    </row>
    <row r="1526">
      <c r="A1526" s="10"/>
      <c r="B1526" s="17"/>
      <c r="C1526" s="10"/>
      <c r="D1526" s="10"/>
      <c r="E1526" s="10"/>
    </row>
    <row r="1527">
      <c r="A1527" s="10"/>
      <c r="B1527" s="17"/>
      <c r="C1527" s="10"/>
      <c r="D1527" s="10"/>
      <c r="E1527" s="10"/>
    </row>
    <row r="1528">
      <c r="A1528" s="10"/>
      <c r="B1528" s="17"/>
      <c r="C1528" s="10"/>
      <c r="D1528" s="10"/>
      <c r="E1528" s="10"/>
    </row>
    <row r="1529">
      <c r="A1529" s="10"/>
      <c r="B1529" s="17"/>
      <c r="C1529" s="10"/>
      <c r="D1529" s="10"/>
      <c r="E1529" s="10"/>
    </row>
    <row r="1530">
      <c r="A1530" s="10"/>
      <c r="B1530" s="17"/>
      <c r="C1530" s="10"/>
      <c r="D1530" s="10"/>
      <c r="E1530" s="10"/>
    </row>
    <row r="1531">
      <c r="A1531" s="10"/>
      <c r="B1531" s="17"/>
      <c r="C1531" s="10"/>
      <c r="D1531" s="10"/>
      <c r="E1531" s="10"/>
    </row>
    <row r="1532">
      <c r="A1532" s="10"/>
      <c r="B1532" s="17"/>
      <c r="C1532" s="10"/>
      <c r="D1532" s="10"/>
      <c r="E1532" s="10"/>
    </row>
    <row r="1533">
      <c r="A1533" s="10"/>
      <c r="B1533" s="17"/>
      <c r="C1533" s="10"/>
      <c r="D1533" s="10"/>
      <c r="E1533" s="10"/>
    </row>
    <row r="1534">
      <c r="A1534" s="10"/>
      <c r="B1534" s="17"/>
      <c r="C1534" s="10"/>
      <c r="D1534" s="10"/>
      <c r="E1534" s="10"/>
    </row>
    <row r="1535">
      <c r="A1535" s="10"/>
      <c r="B1535" s="17"/>
      <c r="C1535" s="10"/>
      <c r="D1535" s="10"/>
      <c r="E1535" s="10"/>
    </row>
    <row r="1536">
      <c r="A1536" s="10"/>
      <c r="B1536" s="17"/>
      <c r="C1536" s="10"/>
      <c r="D1536" s="10"/>
      <c r="E1536" s="10"/>
    </row>
    <row r="1537">
      <c r="A1537" s="10"/>
      <c r="B1537" s="17"/>
      <c r="C1537" s="10"/>
      <c r="D1537" s="10"/>
      <c r="E1537" s="10"/>
    </row>
    <row r="1538">
      <c r="A1538" s="10"/>
      <c r="B1538" s="17"/>
      <c r="C1538" s="10"/>
      <c r="D1538" s="10"/>
      <c r="E1538" s="10"/>
    </row>
    <row r="1539">
      <c r="A1539" s="10"/>
      <c r="B1539" s="17"/>
      <c r="C1539" s="10"/>
      <c r="D1539" s="10"/>
      <c r="E1539" s="10"/>
    </row>
    <row r="1540">
      <c r="A1540" s="10"/>
      <c r="B1540" s="17"/>
      <c r="C1540" s="10"/>
      <c r="D1540" s="10"/>
      <c r="E1540" s="10"/>
    </row>
    <row r="1541">
      <c r="A1541" s="10"/>
      <c r="B1541" s="17"/>
      <c r="C1541" s="10"/>
      <c r="D1541" s="10"/>
      <c r="E1541" s="10"/>
    </row>
    <row r="1542">
      <c r="A1542" s="10"/>
      <c r="B1542" s="17"/>
      <c r="C1542" s="10"/>
      <c r="D1542" s="10"/>
      <c r="E1542" s="10"/>
    </row>
    <row r="1543">
      <c r="A1543" s="10"/>
      <c r="B1543" s="17"/>
      <c r="C1543" s="10"/>
      <c r="D1543" s="10"/>
      <c r="E1543" s="10"/>
    </row>
    <row r="1544">
      <c r="A1544" s="10"/>
      <c r="B1544" s="17"/>
      <c r="C1544" s="10"/>
      <c r="D1544" s="10"/>
      <c r="E1544" s="10"/>
    </row>
    <row r="1545">
      <c r="A1545" s="10"/>
      <c r="B1545" s="17"/>
      <c r="C1545" s="10"/>
      <c r="D1545" s="10"/>
      <c r="E1545" s="10"/>
    </row>
    <row r="1546">
      <c r="A1546" s="10"/>
      <c r="B1546" s="17"/>
      <c r="C1546" s="10"/>
      <c r="D1546" s="10"/>
      <c r="E1546" s="10"/>
    </row>
    <row r="1547">
      <c r="A1547" s="10"/>
      <c r="B1547" s="17"/>
      <c r="C1547" s="10"/>
      <c r="D1547" s="10"/>
      <c r="E1547" s="10"/>
    </row>
    <row r="1548">
      <c r="A1548" s="10"/>
      <c r="B1548" s="17"/>
      <c r="C1548" s="10"/>
      <c r="D1548" s="10"/>
      <c r="E1548" s="10"/>
    </row>
    <row r="1549">
      <c r="A1549" s="10"/>
      <c r="B1549" s="17"/>
      <c r="C1549" s="10"/>
      <c r="D1549" s="10"/>
      <c r="E1549" s="10"/>
    </row>
    <row r="1550">
      <c r="A1550" s="10"/>
      <c r="B1550" s="17"/>
      <c r="C1550" s="10"/>
      <c r="D1550" s="10"/>
      <c r="E1550" s="10"/>
    </row>
    <row r="1551">
      <c r="A1551" s="10"/>
      <c r="B1551" s="17"/>
      <c r="C1551" s="10"/>
      <c r="D1551" s="10"/>
      <c r="E1551" s="10"/>
    </row>
    <row r="1552">
      <c r="A1552" s="10"/>
      <c r="B1552" s="17"/>
      <c r="C1552" s="10"/>
      <c r="D1552" s="10"/>
      <c r="E1552" s="10"/>
    </row>
    <row r="1553">
      <c r="A1553" s="10"/>
      <c r="B1553" s="17"/>
      <c r="C1553" s="10"/>
      <c r="D1553" s="10"/>
      <c r="E1553" s="10"/>
    </row>
    <row r="1554">
      <c r="A1554" s="10"/>
      <c r="B1554" s="17"/>
      <c r="C1554" s="10"/>
      <c r="D1554" s="10"/>
      <c r="E1554" s="10"/>
    </row>
    <row r="1555">
      <c r="A1555" s="10"/>
      <c r="B1555" s="17"/>
      <c r="C1555" s="10"/>
      <c r="D1555" s="10"/>
      <c r="E1555" s="10"/>
    </row>
    <row r="1556">
      <c r="A1556" s="10"/>
      <c r="B1556" s="17"/>
      <c r="C1556" s="10"/>
      <c r="D1556" s="10"/>
      <c r="E1556" s="10"/>
    </row>
    <row r="1557">
      <c r="A1557" s="10"/>
      <c r="B1557" s="17"/>
      <c r="C1557" s="10"/>
      <c r="D1557" s="10"/>
      <c r="E1557" s="10"/>
    </row>
    <row r="1558">
      <c r="A1558" s="10"/>
      <c r="B1558" s="17"/>
      <c r="C1558" s="10"/>
      <c r="D1558" s="10"/>
      <c r="E1558" s="10"/>
    </row>
    <row r="1559">
      <c r="A1559" s="10"/>
      <c r="B1559" s="17"/>
      <c r="C1559" s="10"/>
      <c r="D1559" s="10"/>
      <c r="E1559" s="10"/>
    </row>
    <row r="1560">
      <c r="A1560" s="10"/>
      <c r="B1560" s="17"/>
      <c r="C1560" s="10"/>
      <c r="D1560" s="10"/>
      <c r="E1560" s="10"/>
    </row>
    <row r="1561">
      <c r="A1561" s="10"/>
      <c r="B1561" s="17"/>
      <c r="C1561" s="10"/>
      <c r="D1561" s="10"/>
      <c r="E1561" s="10"/>
    </row>
    <row r="1562">
      <c r="A1562" s="10"/>
      <c r="B1562" s="17"/>
      <c r="C1562" s="10"/>
      <c r="D1562" s="10"/>
      <c r="E1562" s="10"/>
    </row>
    <row r="1563">
      <c r="A1563" s="10"/>
      <c r="B1563" s="17"/>
      <c r="C1563" s="10"/>
      <c r="D1563" s="10"/>
      <c r="E1563" s="10"/>
    </row>
    <row r="1564">
      <c r="A1564" s="10"/>
      <c r="B1564" s="17"/>
      <c r="C1564" s="10"/>
      <c r="D1564" s="10"/>
      <c r="E1564" s="10"/>
    </row>
    <row r="1565">
      <c r="A1565" s="10"/>
      <c r="B1565" s="17"/>
      <c r="C1565" s="10"/>
      <c r="D1565" s="10"/>
      <c r="E1565" s="10"/>
    </row>
    <row r="1566">
      <c r="A1566" s="10"/>
      <c r="B1566" s="17"/>
      <c r="C1566" s="10"/>
      <c r="D1566" s="10"/>
      <c r="E1566" s="10"/>
    </row>
    <row r="1567">
      <c r="A1567" s="10"/>
      <c r="B1567" s="17"/>
      <c r="C1567" s="10"/>
      <c r="D1567" s="10"/>
      <c r="E1567" s="10"/>
    </row>
    <row r="1568">
      <c r="A1568" s="10"/>
      <c r="B1568" s="17"/>
      <c r="C1568" s="10"/>
      <c r="D1568" s="10"/>
      <c r="E1568" s="10"/>
    </row>
    <row r="1569">
      <c r="A1569" s="10"/>
      <c r="B1569" s="17"/>
      <c r="C1569" s="10"/>
      <c r="D1569" s="10"/>
      <c r="E1569" s="10"/>
    </row>
    <row r="1570">
      <c r="A1570" s="10"/>
      <c r="B1570" s="17"/>
      <c r="C1570" s="10"/>
      <c r="D1570" s="10"/>
      <c r="E1570" s="10"/>
    </row>
    <row r="1571">
      <c r="A1571" s="10"/>
      <c r="B1571" s="17"/>
      <c r="C1571" s="10"/>
      <c r="D1571" s="10"/>
      <c r="E1571" s="10"/>
    </row>
    <row r="1572">
      <c r="A1572" s="10"/>
      <c r="B1572" s="17"/>
      <c r="C1572" s="10"/>
      <c r="D1572" s="10"/>
      <c r="E1572" s="10"/>
    </row>
    <row r="1573">
      <c r="A1573" s="10"/>
      <c r="B1573" s="17"/>
      <c r="C1573" s="10"/>
      <c r="D1573" s="10"/>
      <c r="E1573" s="10"/>
    </row>
    <row r="1574">
      <c r="A1574" s="10"/>
      <c r="B1574" s="17"/>
      <c r="C1574" s="10"/>
      <c r="D1574" s="10"/>
      <c r="E1574" s="10"/>
    </row>
    <row r="1575">
      <c r="A1575" s="10"/>
      <c r="B1575" s="17"/>
      <c r="C1575" s="10"/>
      <c r="D1575" s="10"/>
      <c r="E1575" s="10"/>
    </row>
    <row r="1576">
      <c r="A1576" s="10"/>
      <c r="B1576" s="17"/>
      <c r="C1576" s="10"/>
      <c r="D1576" s="10"/>
      <c r="E1576" s="10"/>
    </row>
    <row r="1577">
      <c r="A1577" s="10"/>
      <c r="B1577" s="17"/>
      <c r="C1577" s="10"/>
      <c r="D1577" s="10"/>
      <c r="E1577" s="10"/>
    </row>
    <row r="1578">
      <c r="A1578" s="10"/>
      <c r="B1578" s="17"/>
      <c r="C1578" s="10"/>
      <c r="D1578" s="10"/>
      <c r="E1578" s="10"/>
    </row>
    <row r="1579">
      <c r="A1579" s="10"/>
      <c r="B1579" s="17"/>
      <c r="C1579" s="10"/>
      <c r="D1579" s="10"/>
      <c r="E1579" s="10"/>
    </row>
    <row r="1580">
      <c r="A1580" s="10"/>
      <c r="B1580" s="17"/>
      <c r="C1580" s="10"/>
      <c r="D1580" s="10"/>
      <c r="E1580" s="10"/>
    </row>
    <row r="1581">
      <c r="A1581" s="10"/>
      <c r="B1581" s="17"/>
      <c r="C1581" s="10"/>
      <c r="D1581" s="10"/>
      <c r="E1581" s="10"/>
    </row>
    <row r="1582">
      <c r="A1582" s="10"/>
      <c r="B1582" s="17"/>
      <c r="C1582" s="10"/>
      <c r="D1582" s="10"/>
      <c r="E1582" s="10"/>
    </row>
    <row r="1583">
      <c r="A1583" s="10"/>
      <c r="B1583" s="17"/>
      <c r="C1583" s="10"/>
      <c r="D1583" s="10"/>
      <c r="E1583" s="10"/>
    </row>
    <row r="1584">
      <c r="A1584" s="10"/>
      <c r="B1584" s="17"/>
      <c r="C1584" s="10"/>
      <c r="D1584" s="10"/>
      <c r="E1584" s="10"/>
    </row>
    <row r="1585">
      <c r="A1585" s="10"/>
      <c r="B1585" s="17"/>
      <c r="C1585" s="10"/>
      <c r="D1585" s="10"/>
      <c r="E1585" s="10"/>
    </row>
    <row r="1586">
      <c r="A1586" s="10"/>
      <c r="B1586" s="17"/>
      <c r="C1586" s="10"/>
      <c r="D1586" s="10"/>
      <c r="E1586" s="10"/>
    </row>
    <row r="1587">
      <c r="A1587" s="10"/>
      <c r="B1587" s="17"/>
      <c r="C1587" s="10"/>
      <c r="D1587" s="10"/>
      <c r="E1587" s="10"/>
    </row>
    <row r="1588">
      <c r="A1588" s="10"/>
      <c r="B1588" s="17"/>
      <c r="C1588" s="10"/>
      <c r="D1588" s="10"/>
      <c r="E1588" s="10"/>
    </row>
    <row r="1589">
      <c r="A1589" s="10"/>
      <c r="B1589" s="17"/>
      <c r="C1589" s="10"/>
      <c r="D1589" s="10"/>
      <c r="E1589" s="10"/>
    </row>
    <row r="1590">
      <c r="A1590" s="10"/>
      <c r="B1590" s="17"/>
      <c r="C1590" s="10"/>
      <c r="D1590" s="10"/>
      <c r="E1590" s="10"/>
    </row>
    <row r="1591">
      <c r="A1591" s="10"/>
      <c r="B1591" s="17"/>
      <c r="C1591" s="10"/>
      <c r="D1591" s="10"/>
      <c r="E1591" s="10"/>
    </row>
    <row r="1592">
      <c r="A1592" s="10"/>
      <c r="B1592" s="17"/>
      <c r="C1592" s="10"/>
      <c r="D1592" s="10"/>
      <c r="E1592" s="10"/>
    </row>
    <row r="1593">
      <c r="A1593" s="10"/>
      <c r="B1593" s="17"/>
      <c r="C1593" s="10"/>
      <c r="D1593" s="10"/>
      <c r="E1593" s="10"/>
    </row>
    <row r="1594">
      <c r="A1594" s="10"/>
      <c r="B1594" s="17"/>
      <c r="C1594" s="10"/>
      <c r="D1594" s="10"/>
      <c r="E1594" s="10"/>
    </row>
    <row r="1595">
      <c r="A1595" s="10"/>
      <c r="B1595" s="17"/>
      <c r="C1595" s="10"/>
      <c r="D1595" s="10"/>
      <c r="E1595" s="10"/>
    </row>
    <row r="1596">
      <c r="A1596" s="10"/>
      <c r="B1596" s="17"/>
      <c r="C1596" s="10"/>
      <c r="D1596" s="10"/>
      <c r="E1596" s="10"/>
    </row>
    <row r="1597">
      <c r="A1597" s="10"/>
      <c r="B1597" s="17"/>
      <c r="C1597" s="10"/>
      <c r="D1597" s="10"/>
      <c r="E1597" s="10"/>
    </row>
    <row r="1598">
      <c r="A1598" s="10"/>
      <c r="B1598" s="17"/>
      <c r="C1598" s="10"/>
      <c r="D1598" s="10"/>
      <c r="E1598" s="10"/>
    </row>
    <row r="1599">
      <c r="A1599" s="10"/>
      <c r="B1599" s="17"/>
      <c r="C1599" s="10"/>
      <c r="D1599" s="10"/>
      <c r="E1599" s="10"/>
    </row>
    <row r="1600">
      <c r="A1600" s="10"/>
      <c r="B1600" s="17"/>
      <c r="C1600" s="10"/>
      <c r="D1600" s="10"/>
      <c r="E1600" s="10"/>
    </row>
    <row r="1601">
      <c r="A1601" s="10"/>
      <c r="B1601" s="17"/>
      <c r="C1601" s="10"/>
      <c r="D1601" s="10"/>
      <c r="E1601" s="10"/>
    </row>
    <row r="1602">
      <c r="A1602" s="10"/>
      <c r="B1602" s="17"/>
      <c r="C1602" s="10"/>
      <c r="D1602" s="10"/>
      <c r="E1602" s="10"/>
    </row>
    <row r="1603">
      <c r="A1603" s="10"/>
      <c r="B1603" s="17"/>
      <c r="C1603" s="10"/>
      <c r="D1603" s="10"/>
      <c r="E1603" s="10"/>
    </row>
    <row r="1604">
      <c r="A1604" s="10"/>
      <c r="B1604" s="17"/>
      <c r="C1604" s="10"/>
      <c r="D1604" s="10"/>
      <c r="E1604" s="10"/>
    </row>
    <row r="1605">
      <c r="A1605" s="10"/>
      <c r="B1605" s="17"/>
      <c r="C1605" s="10"/>
      <c r="D1605" s="10"/>
      <c r="E1605" s="10"/>
    </row>
    <row r="1606">
      <c r="A1606" s="10"/>
      <c r="B1606" s="17"/>
      <c r="C1606" s="10"/>
      <c r="D1606" s="10"/>
      <c r="E1606" s="10"/>
    </row>
    <row r="1607">
      <c r="A1607" s="10"/>
      <c r="B1607" s="17"/>
      <c r="C1607" s="10"/>
      <c r="D1607" s="10"/>
      <c r="E1607" s="10"/>
    </row>
    <row r="1608">
      <c r="A1608" s="10"/>
      <c r="B1608" s="17"/>
      <c r="C1608" s="10"/>
      <c r="D1608" s="10"/>
      <c r="E1608" s="10"/>
    </row>
    <row r="1609">
      <c r="A1609" s="10"/>
      <c r="B1609" s="17"/>
      <c r="C1609" s="10"/>
      <c r="D1609" s="10"/>
      <c r="E1609" s="10"/>
    </row>
    <row r="1610">
      <c r="A1610" s="10"/>
      <c r="B1610" s="17"/>
      <c r="C1610" s="10"/>
      <c r="D1610" s="10"/>
      <c r="E1610" s="10"/>
    </row>
    <row r="1611">
      <c r="A1611" s="10"/>
      <c r="B1611" s="17"/>
      <c r="C1611" s="10"/>
      <c r="D1611" s="10"/>
      <c r="E1611" s="10"/>
    </row>
    <row r="1612">
      <c r="A1612" s="10"/>
      <c r="B1612" s="17"/>
      <c r="C1612" s="10"/>
      <c r="D1612" s="10"/>
      <c r="E1612" s="10"/>
    </row>
    <row r="1613">
      <c r="A1613" s="10"/>
      <c r="B1613" s="17"/>
      <c r="C1613" s="10"/>
      <c r="D1613" s="10"/>
      <c r="E1613" s="10"/>
    </row>
    <row r="1614">
      <c r="A1614" s="10"/>
      <c r="B1614" s="17"/>
      <c r="C1614" s="10"/>
      <c r="D1614" s="10"/>
      <c r="E1614" s="10"/>
    </row>
    <row r="1615">
      <c r="A1615" s="10"/>
      <c r="B1615" s="17"/>
      <c r="C1615" s="10"/>
      <c r="D1615" s="10"/>
      <c r="E1615" s="10"/>
    </row>
    <row r="1616">
      <c r="A1616" s="10"/>
      <c r="B1616" s="17"/>
      <c r="C1616" s="10"/>
      <c r="D1616" s="10"/>
      <c r="E1616" s="10"/>
    </row>
    <row r="1617">
      <c r="A1617" s="10"/>
      <c r="B1617" s="17"/>
      <c r="C1617" s="10"/>
      <c r="D1617" s="10"/>
      <c r="E1617" s="10"/>
    </row>
    <row r="1618">
      <c r="A1618" s="10"/>
      <c r="B1618" s="17"/>
      <c r="C1618" s="10"/>
      <c r="D1618" s="10"/>
      <c r="E1618" s="10"/>
    </row>
    <row r="1619">
      <c r="A1619" s="10"/>
      <c r="B1619" s="17"/>
      <c r="C1619" s="10"/>
      <c r="D1619" s="10"/>
      <c r="E1619" s="10"/>
    </row>
    <row r="1620">
      <c r="A1620" s="10"/>
      <c r="B1620" s="17"/>
      <c r="C1620" s="10"/>
      <c r="D1620" s="10"/>
      <c r="E1620" s="10"/>
    </row>
    <row r="1621">
      <c r="A1621" s="10"/>
      <c r="B1621" s="17"/>
      <c r="C1621" s="10"/>
      <c r="D1621" s="10"/>
      <c r="E1621" s="10"/>
    </row>
    <row r="1622">
      <c r="A1622" s="10"/>
      <c r="B1622" s="17"/>
      <c r="C1622" s="10"/>
      <c r="D1622" s="10"/>
      <c r="E1622" s="10"/>
    </row>
    <row r="1623">
      <c r="A1623" s="10"/>
      <c r="B1623" s="17"/>
      <c r="C1623" s="10"/>
      <c r="D1623" s="10"/>
      <c r="E1623" s="10"/>
    </row>
    <row r="1624">
      <c r="A1624" s="10"/>
      <c r="B1624" s="17"/>
      <c r="C1624" s="10"/>
      <c r="D1624" s="10"/>
      <c r="E1624" s="10"/>
    </row>
    <row r="1625">
      <c r="A1625" s="10"/>
      <c r="B1625" s="17"/>
      <c r="C1625" s="10"/>
      <c r="D1625" s="10"/>
      <c r="E1625" s="10"/>
    </row>
    <row r="1626">
      <c r="A1626" s="10"/>
      <c r="B1626" s="17"/>
      <c r="C1626" s="10"/>
      <c r="D1626" s="10"/>
      <c r="E1626" s="10"/>
    </row>
    <row r="1627">
      <c r="A1627" s="10"/>
      <c r="B1627" s="17"/>
      <c r="C1627" s="10"/>
      <c r="D1627" s="10"/>
      <c r="E1627" s="10"/>
    </row>
    <row r="1628">
      <c r="A1628" s="10"/>
      <c r="B1628" s="17"/>
      <c r="C1628" s="10"/>
      <c r="D1628" s="10"/>
      <c r="E1628" s="10"/>
    </row>
    <row r="1629">
      <c r="A1629" s="10"/>
      <c r="B1629" s="17"/>
      <c r="C1629" s="10"/>
      <c r="D1629" s="10"/>
      <c r="E1629" s="10"/>
    </row>
    <row r="1630">
      <c r="A1630" s="10"/>
      <c r="B1630" s="17"/>
      <c r="C1630" s="10"/>
      <c r="D1630" s="10"/>
      <c r="E1630" s="10"/>
    </row>
    <row r="1631">
      <c r="A1631" s="10"/>
      <c r="B1631" s="17"/>
      <c r="C1631" s="10"/>
      <c r="D1631" s="10"/>
      <c r="E1631" s="10"/>
    </row>
    <row r="1632">
      <c r="A1632" s="10"/>
      <c r="B1632" s="17"/>
      <c r="C1632" s="10"/>
      <c r="D1632" s="10"/>
      <c r="E1632" s="10"/>
    </row>
    <row r="1633">
      <c r="A1633" s="10"/>
      <c r="B1633" s="17"/>
      <c r="C1633" s="10"/>
      <c r="D1633" s="10"/>
      <c r="E1633" s="10"/>
    </row>
    <row r="1634">
      <c r="A1634" s="10"/>
      <c r="B1634" s="17"/>
      <c r="C1634" s="10"/>
      <c r="D1634" s="10"/>
      <c r="E1634" s="10"/>
    </row>
    <row r="1635">
      <c r="A1635" s="10"/>
      <c r="B1635" s="17"/>
      <c r="C1635" s="10"/>
      <c r="D1635" s="10"/>
      <c r="E1635" s="10"/>
    </row>
    <row r="1636">
      <c r="A1636" s="10"/>
      <c r="B1636" s="17"/>
      <c r="C1636" s="10"/>
      <c r="D1636" s="10"/>
      <c r="E1636" s="10"/>
    </row>
    <row r="1637">
      <c r="A1637" s="10"/>
      <c r="B1637" s="17"/>
      <c r="C1637" s="10"/>
      <c r="D1637" s="10"/>
      <c r="E1637" s="10"/>
    </row>
    <row r="1638">
      <c r="A1638" s="10"/>
      <c r="B1638" s="17"/>
      <c r="C1638" s="10"/>
      <c r="D1638" s="10"/>
      <c r="E1638" s="10"/>
    </row>
    <row r="1639">
      <c r="A1639" s="10"/>
      <c r="B1639" s="17"/>
      <c r="C1639" s="10"/>
      <c r="D1639" s="10"/>
      <c r="E1639" s="10"/>
    </row>
    <row r="1640">
      <c r="A1640" s="10"/>
      <c r="B1640" s="17"/>
      <c r="C1640" s="10"/>
      <c r="D1640" s="10"/>
      <c r="E1640" s="10"/>
    </row>
    <row r="1641">
      <c r="A1641" s="10"/>
      <c r="B1641" s="17"/>
      <c r="C1641" s="10"/>
      <c r="D1641" s="10"/>
      <c r="E1641" s="10"/>
    </row>
    <row r="1642">
      <c r="A1642" s="10"/>
      <c r="B1642" s="17"/>
      <c r="C1642" s="10"/>
      <c r="D1642" s="10"/>
      <c r="E1642" s="10"/>
    </row>
    <row r="1643">
      <c r="A1643" s="10"/>
      <c r="B1643" s="17"/>
      <c r="C1643" s="10"/>
      <c r="D1643" s="10"/>
      <c r="E1643" s="10"/>
    </row>
    <row r="1644">
      <c r="A1644" s="10"/>
      <c r="B1644" s="17"/>
      <c r="C1644" s="10"/>
      <c r="D1644" s="10"/>
      <c r="E1644" s="10"/>
    </row>
    <row r="1645">
      <c r="A1645" s="10"/>
      <c r="B1645" s="17"/>
      <c r="C1645" s="10"/>
      <c r="D1645" s="10"/>
      <c r="E1645" s="10"/>
    </row>
    <row r="1646">
      <c r="A1646" s="10"/>
      <c r="B1646" s="17"/>
      <c r="C1646" s="10"/>
      <c r="D1646" s="10"/>
      <c r="E1646" s="10"/>
    </row>
    <row r="1647">
      <c r="A1647" s="10"/>
      <c r="B1647" s="17"/>
      <c r="C1647" s="10"/>
      <c r="D1647" s="10"/>
      <c r="E1647" s="10"/>
    </row>
    <row r="1648">
      <c r="A1648" s="10"/>
      <c r="B1648" s="17"/>
      <c r="C1648" s="10"/>
      <c r="D1648" s="10"/>
      <c r="E1648" s="10"/>
    </row>
    <row r="1649">
      <c r="A1649" s="10"/>
      <c r="B1649" s="17"/>
      <c r="C1649" s="10"/>
      <c r="D1649" s="10"/>
      <c r="E1649" s="10"/>
    </row>
    <row r="1650">
      <c r="A1650" s="10"/>
      <c r="B1650" s="17"/>
      <c r="C1650" s="10"/>
      <c r="D1650" s="10"/>
      <c r="E1650" s="10"/>
    </row>
    <row r="1651">
      <c r="A1651" s="10"/>
      <c r="B1651" s="17"/>
      <c r="C1651" s="10"/>
      <c r="D1651" s="10"/>
      <c r="E1651" s="10"/>
    </row>
    <row r="1652">
      <c r="A1652" s="10"/>
      <c r="B1652" s="17"/>
      <c r="C1652" s="10"/>
      <c r="D1652" s="10"/>
      <c r="E1652" s="10"/>
    </row>
    <row r="1653">
      <c r="A1653" s="10"/>
      <c r="B1653" s="17"/>
      <c r="C1653" s="10"/>
      <c r="D1653" s="10"/>
      <c r="E1653" s="10"/>
    </row>
    <row r="1654">
      <c r="A1654" s="10"/>
      <c r="B1654" s="17"/>
      <c r="C1654" s="10"/>
      <c r="D1654" s="10"/>
      <c r="E1654" s="10"/>
    </row>
    <row r="1655">
      <c r="A1655" s="10"/>
      <c r="B1655" s="17"/>
      <c r="C1655" s="10"/>
      <c r="D1655" s="10"/>
      <c r="E1655" s="10"/>
    </row>
    <row r="1656">
      <c r="A1656" s="10"/>
      <c r="B1656" s="17"/>
      <c r="C1656" s="10"/>
      <c r="D1656" s="10"/>
      <c r="E1656" s="10"/>
    </row>
    <row r="1657">
      <c r="A1657" s="10"/>
      <c r="B1657" s="17"/>
      <c r="C1657" s="10"/>
      <c r="D1657" s="10"/>
      <c r="E1657" s="10"/>
    </row>
    <row r="1658">
      <c r="A1658" s="10"/>
      <c r="B1658" s="17"/>
      <c r="C1658" s="10"/>
      <c r="D1658" s="10"/>
      <c r="E1658" s="10"/>
    </row>
    <row r="1659">
      <c r="A1659" s="10"/>
      <c r="B1659" s="17"/>
      <c r="C1659" s="10"/>
      <c r="D1659" s="10"/>
      <c r="E1659" s="10"/>
    </row>
    <row r="1660">
      <c r="A1660" s="10"/>
      <c r="B1660" s="17"/>
      <c r="C1660" s="10"/>
      <c r="D1660" s="10"/>
      <c r="E1660" s="10"/>
    </row>
    <row r="1661">
      <c r="A1661" s="10"/>
      <c r="B1661" s="17"/>
      <c r="C1661" s="10"/>
      <c r="D1661" s="10"/>
      <c r="E1661" s="10"/>
    </row>
    <row r="1662">
      <c r="A1662" s="10"/>
      <c r="B1662" s="17"/>
      <c r="C1662" s="10"/>
      <c r="D1662" s="10"/>
      <c r="E1662" s="10"/>
    </row>
    <row r="1663">
      <c r="A1663" s="10"/>
      <c r="B1663" s="17"/>
      <c r="C1663" s="10"/>
      <c r="D1663" s="10"/>
      <c r="E1663" s="10"/>
    </row>
    <row r="1664">
      <c r="A1664" s="10"/>
      <c r="B1664" s="17"/>
      <c r="C1664" s="10"/>
      <c r="D1664" s="10"/>
      <c r="E1664" s="10"/>
    </row>
    <row r="1665">
      <c r="A1665" s="10"/>
      <c r="B1665" s="17"/>
      <c r="C1665" s="10"/>
      <c r="D1665" s="10"/>
      <c r="E1665" s="10"/>
    </row>
    <row r="1666">
      <c r="A1666" s="10"/>
      <c r="B1666" s="17"/>
      <c r="C1666" s="10"/>
      <c r="D1666" s="10"/>
      <c r="E1666" s="10"/>
    </row>
    <row r="1667">
      <c r="A1667" s="10"/>
      <c r="B1667" s="17"/>
      <c r="C1667" s="10"/>
      <c r="D1667" s="10"/>
      <c r="E1667" s="10"/>
    </row>
    <row r="1668">
      <c r="A1668" s="10"/>
      <c r="B1668" s="17"/>
      <c r="C1668" s="10"/>
      <c r="D1668" s="10"/>
      <c r="E1668" s="10"/>
    </row>
    <row r="1669">
      <c r="A1669" s="10"/>
      <c r="B1669" s="17"/>
      <c r="C1669" s="10"/>
      <c r="D1669" s="10"/>
      <c r="E1669" s="10"/>
    </row>
    <row r="1670">
      <c r="A1670" s="10"/>
      <c r="B1670" s="17"/>
      <c r="C1670" s="10"/>
      <c r="D1670" s="10"/>
      <c r="E1670" s="10"/>
    </row>
    <row r="1671">
      <c r="A1671" s="10"/>
      <c r="B1671" s="17"/>
      <c r="C1671" s="10"/>
      <c r="D1671" s="10"/>
      <c r="E1671" s="10"/>
    </row>
    <row r="1672">
      <c r="A1672" s="10"/>
      <c r="B1672" s="17"/>
      <c r="C1672" s="10"/>
      <c r="D1672" s="10"/>
      <c r="E1672" s="10"/>
    </row>
    <row r="1673">
      <c r="A1673" s="10"/>
      <c r="B1673" s="17"/>
      <c r="C1673" s="10"/>
      <c r="D1673" s="10"/>
      <c r="E1673" s="10"/>
    </row>
    <row r="1674">
      <c r="A1674" s="10"/>
      <c r="B1674" s="17"/>
      <c r="C1674" s="10"/>
      <c r="D1674" s="10"/>
      <c r="E1674" s="10"/>
    </row>
    <row r="1675">
      <c r="A1675" s="10"/>
      <c r="B1675" s="17"/>
      <c r="C1675" s="10"/>
      <c r="D1675" s="10"/>
      <c r="E1675" s="10"/>
    </row>
    <row r="1676">
      <c r="A1676" s="10"/>
      <c r="B1676" s="17"/>
      <c r="C1676" s="10"/>
      <c r="D1676" s="10"/>
      <c r="E1676" s="10"/>
    </row>
    <row r="1677">
      <c r="A1677" s="10"/>
      <c r="B1677" s="17"/>
      <c r="C1677" s="10"/>
      <c r="D1677" s="10"/>
      <c r="E1677" s="10"/>
    </row>
    <row r="1678">
      <c r="A1678" s="10"/>
      <c r="B1678" s="17"/>
      <c r="C1678" s="10"/>
      <c r="D1678" s="10"/>
      <c r="E1678" s="10"/>
    </row>
    <row r="1679">
      <c r="A1679" s="10"/>
      <c r="B1679" s="17"/>
      <c r="C1679" s="10"/>
      <c r="D1679" s="10"/>
      <c r="E1679" s="10"/>
    </row>
    <row r="1680">
      <c r="A1680" s="10"/>
      <c r="B1680" s="17"/>
      <c r="C1680" s="10"/>
      <c r="D1680" s="10"/>
      <c r="E1680" s="10"/>
    </row>
    <row r="1681">
      <c r="A1681" s="10"/>
      <c r="B1681" s="17"/>
      <c r="C1681" s="10"/>
      <c r="D1681" s="10"/>
      <c r="E1681" s="10"/>
    </row>
    <row r="1682">
      <c r="A1682" s="10"/>
      <c r="B1682" s="17"/>
      <c r="C1682" s="10"/>
      <c r="D1682" s="10"/>
      <c r="E1682" s="10"/>
    </row>
    <row r="1683">
      <c r="A1683" s="10"/>
      <c r="B1683" s="17"/>
      <c r="C1683" s="10"/>
      <c r="D1683" s="10"/>
      <c r="E1683" s="10"/>
    </row>
    <row r="1684">
      <c r="A1684" s="10"/>
      <c r="B1684" s="17"/>
      <c r="C1684" s="10"/>
      <c r="D1684" s="10"/>
      <c r="E1684" s="10"/>
    </row>
    <row r="1685">
      <c r="A1685" s="10"/>
      <c r="B1685" s="17"/>
      <c r="C1685" s="10"/>
      <c r="D1685" s="10"/>
      <c r="E1685" s="10"/>
    </row>
    <row r="1686">
      <c r="A1686" s="10"/>
      <c r="B1686" s="17"/>
      <c r="C1686" s="10"/>
      <c r="D1686" s="10"/>
      <c r="E1686" s="10"/>
    </row>
    <row r="1687">
      <c r="A1687" s="10"/>
      <c r="B1687" s="17"/>
      <c r="C1687" s="10"/>
      <c r="D1687" s="10"/>
      <c r="E1687" s="10"/>
    </row>
    <row r="1688">
      <c r="A1688" s="10"/>
      <c r="B1688" s="17"/>
      <c r="C1688" s="10"/>
      <c r="D1688" s="10"/>
      <c r="E1688" s="10"/>
    </row>
    <row r="1689">
      <c r="A1689" s="10"/>
      <c r="B1689" s="17"/>
      <c r="C1689" s="10"/>
      <c r="D1689" s="10"/>
      <c r="E1689" s="10"/>
    </row>
    <row r="1690">
      <c r="A1690" s="10"/>
      <c r="B1690" s="17"/>
      <c r="C1690" s="10"/>
      <c r="D1690" s="10"/>
      <c r="E1690" s="10"/>
    </row>
    <row r="1691">
      <c r="A1691" s="10"/>
      <c r="B1691" s="17"/>
      <c r="C1691" s="10"/>
      <c r="D1691" s="10"/>
      <c r="E1691" s="10"/>
    </row>
    <row r="1692">
      <c r="A1692" s="10"/>
      <c r="B1692" s="17"/>
      <c r="C1692" s="10"/>
      <c r="D1692" s="10"/>
      <c r="E1692" s="10"/>
    </row>
    <row r="1693">
      <c r="A1693" s="10"/>
      <c r="B1693" s="17"/>
      <c r="C1693" s="10"/>
      <c r="D1693" s="10"/>
      <c r="E1693" s="10"/>
    </row>
    <row r="1694">
      <c r="A1694" s="10"/>
      <c r="B1694" s="17"/>
      <c r="C1694" s="10"/>
      <c r="D1694" s="10"/>
      <c r="E1694" s="10"/>
    </row>
    <row r="1695">
      <c r="A1695" s="10"/>
      <c r="B1695" s="17"/>
      <c r="C1695" s="10"/>
      <c r="D1695" s="10"/>
      <c r="E1695" s="10"/>
    </row>
    <row r="1696">
      <c r="A1696" s="10"/>
      <c r="B1696" s="17"/>
      <c r="C1696" s="10"/>
      <c r="D1696" s="10"/>
      <c r="E1696" s="10"/>
    </row>
    <row r="1697">
      <c r="A1697" s="10"/>
      <c r="B1697" s="17"/>
      <c r="C1697" s="10"/>
      <c r="D1697" s="10"/>
      <c r="E1697" s="10"/>
    </row>
    <row r="1698">
      <c r="A1698" s="10"/>
      <c r="B1698" s="17"/>
      <c r="C1698" s="10"/>
      <c r="D1698" s="10"/>
      <c r="E1698" s="10"/>
    </row>
    <row r="1699">
      <c r="A1699" s="10"/>
      <c r="B1699" s="17"/>
      <c r="C1699" s="10"/>
      <c r="D1699" s="10"/>
      <c r="E1699" s="10"/>
    </row>
    <row r="1700">
      <c r="A1700" s="10"/>
      <c r="B1700" s="17"/>
      <c r="C1700" s="10"/>
      <c r="D1700" s="10"/>
      <c r="E1700" s="10"/>
    </row>
    <row r="1701">
      <c r="A1701" s="10"/>
      <c r="B1701" s="17"/>
      <c r="C1701" s="10"/>
      <c r="D1701" s="10"/>
      <c r="E1701" s="10"/>
    </row>
    <row r="1702">
      <c r="A1702" s="10"/>
      <c r="B1702" s="17"/>
      <c r="C1702" s="10"/>
      <c r="D1702" s="10"/>
      <c r="E1702" s="10"/>
    </row>
    <row r="1703">
      <c r="A1703" s="10"/>
      <c r="B1703" s="17"/>
      <c r="C1703" s="10"/>
      <c r="D1703" s="10"/>
      <c r="E1703" s="10"/>
    </row>
    <row r="1704">
      <c r="A1704" s="10"/>
      <c r="B1704" s="17"/>
      <c r="C1704" s="10"/>
      <c r="D1704" s="10"/>
      <c r="E1704" s="10"/>
    </row>
    <row r="1705">
      <c r="A1705" s="10"/>
      <c r="B1705" s="17"/>
      <c r="C1705" s="10"/>
      <c r="D1705" s="10"/>
      <c r="E1705" s="10"/>
    </row>
    <row r="1706">
      <c r="A1706" s="10"/>
      <c r="B1706" s="17"/>
      <c r="C1706" s="10"/>
      <c r="D1706" s="10"/>
      <c r="E1706" s="10"/>
    </row>
    <row r="1707">
      <c r="A1707" s="10"/>
      <c r="B1707" s="17"/>
      <c r="C1707" s="10"/>
      <c r="D1707" s="10"/>
      <c r="E1707" s="10"/>
    </row>
    <row r="1708">
      <c r="A1708" s="10"/>
      <c r="B1708" s="17"/>
      <c r="C1708" s="10"/>
      <c r="D1708" s="10"/>
      <c r="E1708" s="10"/>
    </row>
    <row r="1709">
      <c r="A1709" s="10"/>
      <c r="B1709" s="17"/>
      <c r="C1709" s="10"/>
      <c r="D1709" s="10"/>
      <c r="E1709" s="10"/>
    </row>
    <row r="1710">
      <c r="A1710" s="10"/>
      <c r="B1710" s="17"/>
      <c r="C1710" s="10"/>
      <c r="D1710" s="10"/>
      <c r="E1710" s="10"/>
    </row>
    <row r="1711">
      <c r="A1711" s="10"/>
      <c r="B1711" s="17"/>
      <c r="C1711" s="10"/>
      <c r="D1711" s="10"/>
      <c r="E1711" s="10"/>
    </row>
    <row r="1712">
      <c r="A1712" s="10"/>
      <c r="B1712" s="17"/>
      <c r="C1712" s="10"/>
      <c r="D1712" s="10"/>
      <c r="E1712" s="10"/>
    </row>
    <row r="1713">
      <c r="A1713" s="10"/>
      <c r="B1713" s="17"/>
      <c r="C1713" s="10"/>
      <c r="D1713" s="10"/>
      <c r="E1713" s="10"/>
    </row>
    <row r="1714">
      <c r="A1714" s="10"/>
      <c r="B1714" s="17"/>
      <c r="C1714" s="10"/>
      <c r="D1714" s="10"/>
      <c r="E1714" s="10"/>
    </row>
    <row r="1715">
      <c r="A1715" s="10"/>
      <c r="B1715" s="17"/>
      <c r="C1715" s="10"/>
      <c r="D1715" s="10"/>
      <c r="E1715" s="10"/>
    </row>
    <row r="1716">
      <c r="A1716" s="10"/>
      <c r="B1716" s="17"/>
      <c r="C1716" s="10"/>
      <c r="D1716" s="10"/>
      <c r="E1716" s="10"/>
    </row>
    <row r="1717">
      <c r="A1717" s="10"/>
      <c r="B1717" s="17"/>
      <c r="C1717" s="10"/>
      <c r="D1717" s="10"/>
      <c r="E1717" s="10"/>
    </row>
    <row r="1718">
      <c r="A1718" s="10"/>
      <c r="B1718" s="17"/>
      <c r="C1718" s="10"/>
      <c r="D1718" s="10"/>
      <c r="E1718" s="10"/>
    </row>
    <row r="1719">
      <c r="A1719" s="10"/>
      <c r="B1719" s="17"/>
      <c r="C1719" s="10"/>
      <c r="D1719" s="10"/>
      <c r="E1719" s="10"/>
    </row>
    <row r="1720">
      <c r="A1720" s="10"/>
      <c r="B1720" s="17"/>
      <c r="C1720" s="10"/>
      <c r="D1720" s="10"/>
      <c r="E1720" s="10"/>
    </row>
    <row r="1721">
      <c r="A1721" s="10"/>
      <c r="B1721" s="17"/>
      <c r="C1721" s="10"/>
      <c r="D1721" s="10"/>
      <c r="E1721" s="10"/>
    </row>
    <row r="1722">
      <c r="A1722" s="10"/>
      <c r="B1722" s="17"/>
      <c r="C1722" s="10"/>
      <c r="D1722" s="10"/>
      <c r="E1722" s="10"/>
    </row>
    <row r="1723">
      <c r="A1723" s="10"/>
      <c r="B1723" s="17"/>
      <c r="C1723" s="10"/>
      <c r="D1723" s="10"/>
      <c r="E1723" s="10"/>
    </row>
    <row r="1724">
      <c r="A1724" s="10"/>
      <c r="B1724" s="17"/>
      <c r="C1724" s="10"/>
      <c r="D1724" s="10"/>
      <c r="E1724" s="10"/>
    </row>
    <row r="1725">
      <c r="A1725" s="10"/>
      <c r="B1725" s="17"/>
      <c r="C1725" s="10"/>
      <c r="D1725" s="10"/>
      <c r="E1725" s="10"/>
    </row>
    <row r="1726">
      <c r="A1726" s="10"/>
      <c r="B1726" s="17"/>
      <c r="C1726" s="10"/>
      <c r="D1726" s="10"/>
      <c r="E1726" s="10"/>
    </row>
    <row r="1727">
      <c r="A1727" s="10"/>
      <c r="B1727" s="17"/>
      <c r="C1727" s="10"/>
      <c r="D1727" s="10"/>
      <c r="E1727" s="10"/>
    </row>
    <row r="1728">
      <c r="A1728" s="10"/>
      <c r="B1728" s="17"/>
      <c r="C1728" s="10"/>
      <c r="D1728" s="10"/>
      <c r="E1728" s="10"/>
    </row>
    <row r="1729">
      <c r="A1729" s="10"/>
      <c r="B1729" s="17"/>
      <c r="C1729" s="10"/>
      <c r="D1729" s="10"/>
      <c r="E1729" s="10"/>
    </row>
    <row r="1730">
      <c r="A1730" s="10"/>
      <c r="B1730" s="17"/>
      <c r="C1730" s="10"/>
      <c r="D1730" s="10"/>
      <c r="E1730" s="10"/>
    </row>
    <row r="1731">
      <c r="A1731" s="10"/>
      <c r="B1731" s="17"/>
      <c r="C1731" s="10"/>
      <c r="D1731" s="10"/>
      <c r="E1731" s="10"/>
    </row>
    <row r="1732">
      <c r="A1732" s="10"/>
      <c r="B1732" s="17"/>
      <c r="C1732" s="10"/>
      <c r="D1732" s="10"/>
      <c r="E1732" s="10"/>
    </row>
    <row r="1733">
      <c r="A1733" s="10"/>
      <c r="B1733" s="17"/>
      <c r="C1733" s="10"/>
      <c r="D1733" s="10"/>
      <c r="E1733" s="10"/>
    </row>
    <row r="1734">
      <c r="A1734" s="10"/>
      <c r="B1734" s="17"/>
      <c r="C1734" s="10"/>
      <c r="D1734" s="10"/>
      <c r="E1734" s="10"/>
    </row>
    <row r="1735">
      <c r="A1735" s="10"/>
      <c r="B1735" s="17"/>
      <c r="C1735" s="10"/>
      <c r="D1735" s="10"/>
      <c r="E1735" s="10"/>
    </row>
    <row r="1736">
      <c r="A1736" s="10"/>
      <c r="B1736" s="17"/>
      <c r="C1736" s="10"/>
      <c r="D1736" s="10"/>
      <c r="E1736" s="10"/>
    </row>
    <row r="1737">
      <c r="A1737" s="10"/>
      <c r="B1737" s="17"/>
      <c r="C1737" s="10"/>
      <c r="D1737" s="10"/>
      <c r="E1737" s="10"/>
    </row>
    <row r="1738">
      <c r="A1738" s="10"/>
      <c r="B1738" s="17"/>
      <c r="C1738" s="10"/>
      <c r="D1738" s="10"/>
      <c r="E1738" s="10"/>
    </row>
    <row r="1739">
      <c r="A1739" s="10"/>
      <c r="B1739" s="17"/>
      <c r="C1739" s="10"/>
      <c r="D1739" s="10"/>
      <c r="E1739" s="10"/>
    </row>
    <row r="1740">
      <c r="A1740" s="10"/>
      <c r="B1740" s="17"/>
      <c r="C1740" s="10"/>
      <c r="D1740" s="10"/>
      <c r="E1740" s="10"/>
    </row>
    <row r="1741">
      <c r="A1741" s="10"/>
      <c r="B1741" s="17"/>
      <c r="C1741" s="10"/>
      <c r="D1741" s="10"/>
      <c r="E1741" s="10"/>
    </row>
    <row r="1742">
      <c r="A1742" s="10"/>
      <c r="B1742" s="17"/>
      <c r="C1742" s="10"/>
      <c r="D1742" s="10"/>
      <c r="E1742" s="10"/>
    </row>
    <row r="1743">
      <c r="A1743" s="10"/>
      <c r="B1743" s="17"/>
      <c r="C1743" s="10"/>
      <c r="D1743" s="10"/>
      <c r="E1743" s="10"/>
    </row>
    <row r="1744">
      <c r="A1744" s="10"/>
      <c r="B1744" s="17"/>
      <c r="C1744" s="10"/>
      <c r="D1744" s="10"/>
      <c r="E1744" s="10"/>
    </row>
    <row r="1745">
      <c r="A1745" s="10"/>
      <c r="B1745" s="17"/>
      <c r="C1745" s="10"/>
      <c r="D1745" s="10"/>
      <c r="E1745" s="10"/>
    </row>
    <row r="1746">
      <c r="A1746" s="10"/>
      <c r="B1746" s="17"/>
      <c r="C1746" s="10"/>
      <c r="D1746" s="10"/>
      <c r="E1746" s="10"/>
    </row>
    <row r="1747">
      <c r="A1747" s="10"/>
      <c r="B1747" s="17"/>
      <c r="C1747" s="10"/>
      <c r="D1747" s="10"/>
      <c r="E1747" s="10"/>
    </row>
    <row r="1748">
      <c r="A1748" s="10"/>
      <c r="B1748" s="17"/>
      <c r="C1748" s="10"/>
      <c r="D1748" s="10"/>
      <c r="E1748" s="10"/>
    </row>
    <row r="1749">
      <c r="A1749" s="10"/>
      <c r="B1749" s="17"/>
      <c r="C1749" s="10"/>
      <c r="D1749" s="10"/>
      <c r="E1749" s="10"/>
    </row>
    <row r="1750">
      <c r="A1750" s="10"/>
      <c r="B1750" s="17"/>
      <c r="C1750" s="10"/>
      <c r="D1750" s="10"/>
      <c r="E1750" s="10"/>
    </row>
    <row r="1751">
      <c r="A1751" s="10"/>
      <c r="B1751" s="17"/>
      <c r="C1751" s="10"/>
      <c r="D1751" s="10"/>
      <c r="E1751" s="10"/>
    </row>
    <row r="1752">
      <c r="A1752" s="10"/>
      <c r="B1752" s="17"/>
      <c r="C1752" s="10"/>
      <c r="D1752" s="10"/>
      <c r="E1752" s="10"/>
    </row>
    <row r="1753">
      <c r="A1753" s="10"/>
      <c r="B1753" s="17"/>
      <c r="C1753" s="10"/>
      <c r="D1753" s="10"/>
      <c r="E1753" s="10"/>
    </row>
    <row r="1754">
      <c r="A1754" s="10"/>
      <c r="B1754" s="17"/>
      <c r="C1754" s="10"/>
      <c r="D1754" s="10"/>
      <c r="E1754" s="10"/>
    </row>
    <row r="1755">
      <c r="A1755" s="10"/>
      <c r="B1755" s="17"/>
      <c r="C1755" s="10"/>
      <c r="D1755" s="10"/>
      <c r="E1755" s="10"/>
    </row>
    <row r="1756">
      <c r="A1756" s="10"/>
      <c r="B1756" s="17"/>
      <c r="C1756" s="10"/>
      <c r="D1756" s="10"/>
      <c r="E1756" s="10"/>
    </row>
    <row r="1757">
      <c r="A1757" s="10"/>
      <c r="B1757" s="17"/>
      <c r="C1757" s="10"/>
      <c r="D1757" s="10"/>
      <c r="E1757" s="10"/>
    </row>
    <row r="1758">
      <c r="A1758" s="10"/>
      <c r="B1758" s="17"/>
      <c r="C1758" s="10"/>
      <c r="D1758" s="10"/>
      <c r="E1758" s="10"/>
    </row>
    <row r="1759">
      <c r="A1759" s="10"/>
      <c r="B1759" s="17"/>
      <c r="C1759" s="10"/>
      <c r="D1759" s="10"/>
      <c r="E1759" s="10"/>
    </row>
    <row r="1760">
      <c r="A1760" s="10"/>
      <c r="B1760" s="17"/>
      <c r="C1760" s="10"/>
      <c r="D1760" s="10"/>
      <c r="E1760" s="10"/>
    </row>
    <row r="1761">
      <c r="A1761" s="10"/>
      <c r="B1761" s="17"/>
      <c r="C1761" s="10"/>
      <c r="D1761" s="10"/>
      <c r="E1761" s="10"/>
    </row>
    <row r="1762">
      <c r="A1762" s="10"/>
      <c r="B1762" s="17"/>
      <c r="C1762" s="10"/>
      <c r="D1762" s="10"/>
      <c r="E1762" s="10"/>
    </row>
    <row r="1763">
      <c r="A1763" s="10"/>
      <c r="B1763" s="17"/>
      <c r="C1763" s="10"/>
      <c r="D1763" s="10"/>
      <c r="E1763" s="10"/>
    </row>
    <row r="1764">
      <c r="A1764" s="10"/>
      <c r="B1764" s="17"/>
      <c r="C1764" s="10"/>
      <c r="D1764" s="10"/>
      <c r="E1764" s="10"/>
    </row>
    <row r="1765">
      <c r="A1765" s="10"/>
      <c r="B1765" s="17"/>
      <c r="C1765" s="10"/>
      <c r="D1765" s="10"/>
      <c r="E1765" s="10"/>
    </row>
    <row r="1766">
      <c r="A1766" s="10"/>
      <c r="B1766" s="17"/>
      <c r="C1766" s="10"/>
      <c r="D1766" s="10"/>
      <c r="E1766" s="10"/>
    </row>
    <row r="1767">
      <c r="A1767" s="10"/>
      <c r="B1767" s="17"/>
      <c r="C1767" s="10"/>
      <c r="D1767" s="10"/>
      <c r="E1767" s="10"/>
    </row>
    <row r="1768">
      <c r="A1768" s="10"/>
      <c r="B1768" s="17"/>
      <c r="C1768" s="10"/>
      <c r="D1768" s="10"/>
      <c r="E1768" s="10"/>
    </row>
    <row r="1769">
      <c r="A1769" s="10"/>
      <c r="B1769" s="17"/>
      <c r="C1769" s="10"/>
      <c r="D1769" s="10"/>
      <c r="E1769" s="10"/>
    </row>
    <row r="1770">
      <c r="A1770" s="10"/>
      <c r="B1770" s="17"/>
      <c r="C1770" s="10"/>
      <c r="D1770" s="10"/>
      <c r="E1770" s="10"/>
    </row>
    <row r="1771">
      <c r="A1771" s="10"/>
      <c r="B1771" s="17"/>
      <c r="C1771" s="10"/>
      <c r="D1771" s="10"/>
      <c r="E1771" s="10"/>
    </row>
    <row r="1772">
      <c r="A1772" s="10"/>
      <c r="B1772" s="17"/>
      <c r="C1772" s="10"/>
      <c r="D1772" s="10"/>
      <c r="E1772" s="10"/>
    </row>
    <row r="1773">
      <c r="A1773" s="10"/>
      <c r="B1773" s="17"/>
      <c r="C1773" s="10"/>
      <c r="D1773" s="10"/>
      <c r="E1773" s="10"/>
    </row>
    <row r="1774">
      <c r="A1774" s="10"/>
      <c r="B1774" s="17"/>
      <c r="C1774" s="10"/>
      <c r="D1774" s="10"/>
      <c r="E1774" s="10"/>
    </row>
    <row r="1775">
      <c r="A1775" s="10"/>
      <c r="B1775" s="17"/>
      <c r="C1775" s="10"/>
      <c r="D1775" s="10"/>
      <c r="E1775" s="10"/>
    </row>
    <row r="1776">
      <c r="A1776" s="10"/>
      <c r="B1776" s="17"/>
      <c r="C1776" s="10"/>
      <c r="D1776" s="10"/>
      <c r="E1776" s="10"/>
    </row>
    <row r="1777">
      <c r="A1777" s="10"/>
      <c r="B1777" s="17"/>
      <c r="C1777" s="10"/>
      <c r="D1777" s="10"/>
      <c r="E1777" s="10"/>
    </row>
    <row r="1778">
      <c r="A1778" s="10"/>
      <c r="B1778" s="17"/>
      <c r="C1778" s="10"/>
      <c r="D1778" s="10"/>
      <c r="E1778" s="10"/>
    </row>
    <row r="1779">
      <c r="A1779" s="10"/>
      <c r="B1779" s="17"/>
      <c r="C1779" s="10"/>
      <c r="D1779" s="10"/>
      <c r="E1779" s="10"/>
    </row>
    <row r="1780">
      <c r="A1780" s="10"/>
      <c r="B1780" s="17"/>
      <c r="C1780" s="10"/>
      <c r="D1780" s="10"/>
      <c r="E1780" s="10"/>
    </row>
    <row r="1781">
      <c r="A1781" s="10"/>
      <c r="B1781" s="17"/>
      <c r="C1781" s="10"/>
      <c r="D1781" s="10"/>
      <c r="E1781" s="10"/>
    </row>
    <row r="1782">
      <c r="A1782" s="10"/>
      <c r="B1782" s="17"/>
      <c r="C1782" s="10"/>
      <c r="D1782" s="10"/>
      <c r="E1782" s="10"/>
    </row>
    <row r="1783">
      <c r="A1783" s="10"/>
      <c r="B1783" s="17"/>
      <c r="C1783" s="10"/>
      <c r="D1783" s="10"/>
      <c r="E1783" s="10"/>
    </row>
    <row r="1784">
      <c r="A1784" s="10"/>
      <c r="B1784" s="17"/>
      <c r="C1784" s="10"/>
      <c r="D1784" s="10"/>
      <c r="E1784" s="10"/>
    </row>
    <row r="1785">
      <c r="A1785" s="10"/>
      <c r="B1785" s="17"/>
      <c r="C1785" s="10"/>
      <c r="D1785" s="10"/>
      <c r="E1785" s="10"/>
    </row>
    <row r="1786">
      <c r="A1786" s="10"/>
      <c r="B1786" s="17"/>
      <c r="C1786" s="10"/>
      <c r="D1786" s="10"/>
      <c r="E1786" s="10"/>
    </row>
    <row r="1787">
      <c r="A1787" s="10"/>
      <c r="B1787" s="17"/>
      <c r="C1787" s="10"/>
      <c r="D1787" s="10"/>
      <c r="E1787" s="10"/>
    </row>
    <row r="1788">
      <c r="A1788" s="10"/>
      <c r="B1788" s="17"/>
      <c r="C1788" s="10"/>
      <c r="D1788" s="10"/>
      <c r="E1788" s="10"/>
    </row>
    <row r="1789">
      <c r="A1789" s="10"/>
      <c r="B1789" s="17"/>
      <c r="C1789" s="10"/>
      <c r="D1789" s="10"/>
      <c r="E1789" s="10"/>
    </row>
    <row r="1790">
      <c r="A1790" s="10"/>
      <c r="B1790" s="17"/>
      <c r="C1790" s="10"/>
      <c r="D1790" s="10"/>
      <c r="E1790" s="10"/>
    </row>
    <row r="1791">
      <c r="A1791" s="10"/>
      <c r="B1791" s="17"/>
      <c r="C1791" s="10"/>
      <c r="D1791" s="10"/>
      <c r="E1791" s="10"/>
    </row>
    <row r="1792">
      <c r="A1792" s="10"/>
      <c r="B1792" s="17"/>
      <c r="C1792" s="10"/>
      <c r="D1792" s="10"/>
      <c r="E1792" s="10"/>
    </row>
    <row r="1793">
      <c r="A1793" s="10"/>
      <c r="B1793" s="17"/>
      <c r="C1793" s="10"/>
      <c r="D1793" s="10"/>
      <c r="E1793" s="10"/>
    </row>
    <row r="1794">
      <c r="A1794" s="10"/>
      <c r="B1794" s="17"/>
      <c r="C1794" s="10"/>
      <c r="D1794" s="10"/>
      <c r="E1794" s="10"/>
    </row>
    <row r="1795">
      <c r="A1795" s="10"/>
      <c r="B1795" s="17"/>
      <c r="C1795" s="10"/>
      <c r="D1795" s="10"/>
      <c r="E1795" s="10"/>
    </row>
    <row r="1796">
      <c r="A1796" s="10"/>
      <c r="B1796" s="17"/>
      <c r="C1796" s="10"/>
      <c r="D1796" s="10"/>
      <c r="E1796" s="10"/>
    </row>
    <row r="1797">
      <c r="A1797" s="10"/>
      <c r="B1797" s="17"/>
      <c r="C1797" s="10"/>
      <c r="D1797" s="10"/>
      <c r="E1797" s="10"/>
    </row>
    <row r="1798">
      <c r="A1798" s="10"/>
      <c r="B1798" s="17"/>
      <c r="C1798" s="10"/>
      <c r="D1798" s="10"/>
      <c r="E1798" s="10"/>
    </row>
    <row r="1799">
      <c r="A1799" s="10"/>
      <c r="B1799" s="17"/>
      <c r="C1799" s="10"/>
      <c r="D1799" s="10"/>
      <c r="E1799" s="10"/>
    </row>
    <row r="1800">
      <c r="A1800" s="10"/>
      <c r="B1800" s="17"/>
      <c r="C1800" s="10"/>
      <c r="D1800" s="10"/>
      <c r="E1800" s="10"/>
    </row>
    <row r="1801">
      <c r="A1801" s="10"/>
      <c r="B1801" s="17"/>
      <c r="C1801" s="10"/>
      <c r="D1801" s="10"/>
      <c r="E1801" s="10"/>
    </row>
    <row r="1802">
      <c r="A1802" s="10"/>
      <c r="B1802" s="17"/>
      <c r="C1802" s="10"/>
      <c r="D1802" s="10"/>
      <c r="E1802" s="10"/>
    </row>
    <row r="1803">
      <c r="A1803" s="10"/>
      <c r="B1803" s="17"/>
      <c r="C1803" s="10"/>
      <c r="D1803" s="10"/>
      <c r="E1803" s="10"/>
    </row>
    <row r="1804">
      <c r="A1804" s="10"/>
      <c r="B1804" s="17"/>
      <c r="C1804" s="10"/>
      <c r="D1804" s="10"/>
      <c r="E1804" s="10"/>
    </row>
    <row r="1805">
      <c r="A1805" s="10"/>
      <c r="B1805" s="17"/>
      <c r="C1805" s="10"/>
      <c r="D1805" s="10"/>
      <c r="E1805" s="10"/>
    </row>
    <row r="1806">
      <c r="A1806" s="10"/>
      <c r="B1806" s="17"/>
      <c r="C1806" s="10"/>
      <c r="D1806" s="10"/>
      <c r="E1806" s="10"/>
    </row>
    <row r="1807">
      <c r="A1807" s="10"/>
      <c r="B1807" s="17"/>
      <c r="C1807" s="10"/>
      <c r="D1807" s="10"/>
      <c r="E1807" s="10"/>
    </row>
    <row r="1808">
      <c r="A1808" s="10"/>
      <c r="B1808" s="17"/>
      <c r="C1808" s="10"/>
      <c r="D1808" s="10"/>
      <c r="E1808" s="10"/>
    </row>
    <row r="1809">
      <c r="A1809" s="10"/>
      <c r="B1809" s="17"/>
      <c r="C1809" s="10"/>
      <c r="D1809" s="10"/>
      <c r="E1809" s="10"/>
    </row>
    <row r="1810">
      <c r="A1810" s="10"/>
      <c r="B1810" s="17"/>
      <c r="C1810" s="10"/>
      <c r="D1810" s="10"/>
      <c r="E1810" s="10"/>
    </row>
    <row r="1811">
      <c r="A1811" s="10"/>
      <c r="B1811" s="17"/>
      <c r="C1811" s="10"/>
      <c r="D1811" s="10"/>
      <c r="E1811" s="10"/>
    </row>
    <row r="1812">
      <c r="A1812" s="10"/>
      <c r="B1812" s="17"/>
      <c r="C1812" s="10"/>
      <c r="D1812" s="10"/>
      <c r="E1812" s="10"/>
    </row>
    <row r="1813">
      <c r="A1813" s="10"/>
      <c r="B1813" s="17"/>
      <c r="C1813" s="10"/>
      <c r="D1813" s="10"/>
      <c r="E1813" s="10"/>
    </row>
    <row r="1814">
      <c r="A1814" s="10"/>
      <c r="B1814" s="17"/>
      <c r="C1814" s="10"/>
      <c r="D1814" s="10"/>
      <c r="E1814" s="10"/>
    </row>
    <row r="1815">
      <c r="A1815" s="10"/>
      <c r="B1815" s="17"/>
      <c r="C1815" s="10"/>
      <c r="D1815" s="10"/>
      <c r="E1815" s="10"/>
    </row>
    <row r="1816">
      <c r="A1816" s="10"/>
      <c r="B1816" s="17"/>
      <c r="C1816" s="10"/>
      <c r="D1816" s="10"/>
      <c r="E1816" s="10"/>
    </row>
    <row r="1817">
      <c r="A1817" s="10"/>
      <c r="B1817" s="17"/>
      <c r="C1817" s="10"/>
      <c r="D1817" s="10"/>
      <c r="E1817" s="10"/>
    </row>
    <row r="1818">
      <c r="A1818" s="10"/>
      <c r="B1818" s="17"/>
      <c r="C1818" s="10"/>
      <c r="D1818" s="10"/>
      <c r="E1818" s="10"/>
    </row>
    <row r="1819">
      <c r="A1819" s="10"/>
      <c r="B1819" s="17"/>
      <c r="C1819" s="10"/>
      <c r="D1819" s="10"/>
      <c r="E1819" s="10"/>
    </row>
    <row r="1820">
      <c r="A1820" s="10"/>
      <c r="B1820" s="17"/>
      <c r="C1820" s="10"/>
      <c r="D1820" s="10"/>
      <c r="E1820" s="10"/>
    </row>
    <row r="1821">
      <c r="A1821" s="10"/>
      <c r="B1821" s="17"/>
      <c r="C1821" s="10"/>
      <c r="D1821" s="10"/>
      <c r="E1821" s="10"/>
    </row>
    <row r="1822">
      <c r="A1822" s="10"/>
      <c r="B1822" s="17"/>
      <c r="C1822" s="10"/>
      <c r="D1822" s="10"/>
      <c r="E1822" s="10"/>
    </row>
    <row r="1823">
      <c r="A1823" s="10"/>
      <c r="B1823" s="17"/>
      <c r="C1823" s="10"/>
      <c r="D1823" s="10"/>
      <c r="E1823" s="10"/>
    </row>
    <row r="1824">
      <c r="A1824" s="10"/>
      <c r="B1824" s="17"/>
      <c r="C1824" s="10"/>
      <c r="D1824" s="10"/>
      <c r="E1824" s="10"/>
    </row>
    <row r="1825">
      <c r="A1825" s="10"/>
      <c r="B1825" s="17"/>
      <c r="C1825" s="10"/>
      <c r="D1825" s="10"/>
      <c r="E1825" s="10"/>
    </row>
    <row r="1826">
      <c r="A1826" s="10"/>
      <c r="B1826" s="17"/>
      <c r="C1826" s="10"/>
      <c r="D1826" s="10"/>
      <c r="E1826" s="10"/>
    </row>
    <row r="1827">
      <c r="A1827" s="10"/>
      <c r="B1827" s="17"/>
      <c r="C1827" s="10"/>
      <c r="D1827" s="10"/>
      <c r="E1827" s="10"/>
    </row>
    <row r="1828">
      <c r="A1828" s="10"/>
      <c r="B1828" s="17"/>
      <c r="C1828" s="10"/>
      <c r="D1828" s="10"/>
      <c r="E1828" s="10"/>
    </row>
    <row r="1829">
      <c r="A1829" s="10"/>
      <c r="B1829" s="17"/>
      <c r="C1829" s="10"/>
      <c r="D1829" s="10"/>
      <c r="E1829" s="10"/>
    </row>
    <row r="1830">
      <c r="A1830" s="10"/>
      <c r="B1830" s="17"/>
      <c r="C1830" s="10"/>
      <c r="D1830" s="10"/>
      <c r="E1830" s="10"/>
    </row>
    <row r="1831">
      <c r="A1831" s="10"/>
      <c r="B1831" s="17"/>
      <c r="C1831" s="10"/>
      <c r="D1831" s="10"/>
      <c r="E1831" s="10"/>
    </row>
    <row r="1832">
      <c r="A1832" s="10"/>
      <c r="B1832" s="17"/>
      <c r="C1832" s="10"/>
      <c r="D1832" s="10"/>
      <c r="E1832" s="10"/>
    </row>
    <row r="1833">
      <c r="A1833" s="10"/>
      <c r="B1833" s="17"/>
      <c r="C1833" s="10"/>
      <c r="D1833" s="10"/>
      <c r="E1833" s="10"/>
    </row>
    <row r="1834">
      <c r="A1834" s="10"/>
      <c r="B1834" s="17"/>
      <c r="C1834" s="10"/>
      <c r="D1834" s="10"/>
      <c r="E1834" s="10"/>
    </row>
    <row r="1835">
      <c r="A1835" s="10"/>
      <c r="B1835" s="17"/>
      <c r="C1835" s="10"/>
      <c r="D1835" s="10"/>
      <c r="E1835" s="10"/>
    </row>
    <row r="1836">
      <c r="A1836" s="10"/>
      <c r="B1836" s="17"/>
      <c r="C1836" s="10"/>
      <c r="D1836" s="10"/>
      <c r="E1836" s="10"/>
    </row>
    <row r="1837">
      <c r="A1837" s="10"/>
      <c r="B1837" s="17"/>
      <c r="C1837" s="10"/>
      <c r="D1837" s="10"/>
      <c r="E1837" s="10"/>
    </row>
    <row r="1838">
      <c r="A1838" s="10"/>
      <c r="B1838" s="17"/>
      <c r="C1838" s="10"/>
      <c r="D1838" s="10"/>
      <c r="E1838" s="10"/>
    </row>
    <row r="1839">
      <c r="A1839" s="10"/>
      <c r="B1839" s="17"/>
      <c r="C1839" s="10"/>
      <c r="D1839" s="10"/>
      <c r="E1839" s="10"/>
    </row>
    <row r="1840">
      <c r="A1840" s="10"/>
      <c r="B1840" s="17"/>
      <c r="C1840" s="10"/>
      <c r="D1840" s="10"/>
      <c r="E1840" s="10"/>
    </row>
    <row r="1841">
      <c r="A1841" s="10"/>
      <c r="B1841" s="17"/>
      <c r="C1841" s="10"/>
      <c r="D1841" s="10"/>
      <c r="E1841" s="10"/>
    </row>
    <row r="1842">
      <c r="A1842" s="10"/>
      <c r="B1842" s="17"/>
      <c r="C1842" s="10"/>
      <c r="D1842" s="10"/>
      <c r="E1842" s="10"/>
    </row>
    <row r="1843">
      <c r="A1843" s="10"/>
      <c r="B1843" s="17"/>
      <c r="C1843" s="10"/>
      <c r="D1843" s="10"/>
      <c r="E1843" s="10"/>
    </row>
    <row r="1844">
      <c r="A1844" s="10"/>
      <c r="B1844" s="17"/>
      <c r="C1844" s="10"/>
      <c r="D1844" s="10"/>
      <c r="E1844" s="10"/>
    </row>
    <row r="1845">
      <c r="A1845" s="10"/>
      <c r="B1845" s="17"/>
      <c r="C1845" s="10"/>
      <c r="D1845" s="10"/>
      <c r="E1845" s="10"/>
    </row>
    <row r="1846">
      <c r="A1846" s="10"/>
      <c r="B1846" s="17"/>
      <c r="C1846" s="10"/>
      <c r="D1846" s="10"/>
      <c r="E1846" s="10"/>
    </row>
    <row r="1847">
      <c r="A1847" s="10"/>
      <c r="B1847" s="17"/>
      <c r="C1847" s="10"/>
      <c r="D1847" s="10"/>
      <c r="E1847" s="10"/>
    </row>
    <row r="1848">
      <c r="A1848" s="10"/>
      <c r="B1848" s="17"/>
      <c r="C1848" s="10"/>
      <c r="D1848" s="10"/>
      <c r="E1848" s="10"/>
    </row>
    <row r="1849">
      <c r="A1849" s="10"/>
      <c r="B1849" s="17"/>
      <c r="C1849" s="10"/>
      <c r="D1849" s="10"/>
      <c r="E1849" s="10"/>
    </row>
    <row r="1850">
      <c r="A1850" s="10"/>
      <c r="B1850" s="17"/>
      <c r="C1850" s="10"/>
      <c r="D1850" s="10"/>
      <c r="E1850" s="10"/>
    </row>
    <row r="1851">
      <c r="A1851" s="10"/>
      <c r="B1851" s="17"/>
      <c r="C1851" s="10"/>
      <c r="D1851" s="10"/>
      <c r="E1851" s="10"/>
    </row>
    <row r="1852">
      <c r="A1852" s="10"/>
      <c r="B1852" s="17"/>
      <c r="C1852" s="10"/>
      <c r="D1852" s="10"/>
      <c r="E1852" s="10"/>
    </row>
    <row r="1853">
      <c r="A1853" s="10"/>
      <c r="B1853" s="17"/>
      <c r="C1853" s="10"/>
      <c r="D1853" s="10"/>
      <c r="E1853" s="10"/>
    </row>
    <row r="1854">
      <c r="A1854" s="10"/>
      <c r="B1854" s="17"/>
      <c r="C1854" s="10"/>
      <c r="D1854" s="10"/>
      <c r="E1854" s="10"/>
    </row>
    <row r="1855">
      <c r="A1855" s="10"/>
      <c r="B1855" s="17"/>
      <c r="C1855" s="10"/>
      <c r="D1855" s="10"/>
      <c r="E1855" s="10"/>
    </row>
    <row r="1856">
      <c r="A1856" s="10"/>
      <c r="B1856" s="17"/>
      <c r="C1856" s="10"/>
      <c r="D1856" s="10"/>
      <c r="E1856" s="10"/>
    </row>
    <row r="1857">
      <c r="A1857" s="10"/>
      <c r="B1857" s="17"/>
      <c r="C1857" s="10"/>
      <c r="D1857" s="10"/>
      <c r="E1857" s="10"/>
    </row>
    <row r="1858">
      <c r="A1858" s="10"/>
      <c r="B1858" s="17"/>
      <c r="C1858" s="10"/>
      <c r="D1858" s="10"/>
      <c r="E1858" s="10"/>
    </row>
    <row r="1859">
      <c r="A1859" s="10"/>
      <c r="B1859" s="17"/>
      <c r="C1859" s="10"/>
      <c r="D1859" s="10"/>
      <c r="E1859" s="10"/>
    </row>
    <row r="1860">
      <c r="A1860" s="10"/>
      <c r="B1860" s="17"/>
      <c r="C1860" s="10"/>
      <c r="D1860" s="10"/>
      <c r="E1860" s="10"/>
    </row>
    <row r="1861">
      <c r="A1861" s="10"/>
      <c r="B1861" s="17"/>
      <c r="C1861" s="10"/>
      <c r="D1861" s="10"/>
      <c r="E1861" s="10"/>
    </row>
    <row r="1862">
      <c r="A1862" s="10"/>
      <c r="B1862" s="17"/>
      <c r="C1862" s="10"/>
      <c r="D1862" s="10"/>
      <c r="E1862" s="10"/>
    </row>
    <row r="1863">
      <c r="A1863" s="10"/>
      <c r="B1863" s="17"/>
      <c r="C1863" s="10"/>
      <c r="D1863" s="10"/>
      <c r="E1863" s="10"/>
    </row>
    <row r="1864">
      <c r="A1864" s="10"/>
      <c r="B1864" s="17"/>
      <c r="C1864" s="10"/>
      <c r="D1864" s="10"/>
      <c r="E1864" s="10"/>
    </row>
    <row r="1865">
      <c r="A1865" s="10"/>
      <c r="B1865" s="17"/>
      <c r="C1865" s="10"/>
      <c r="D1865" s="10"/>
      <c r="E1865" s="10"/>
    </row>
    <row r="1866">
      <c r="A1866" s="10"/>
      <c r="B1866" s="17"/>
      <c r="C1866" s="10"/>
      <c r="D1866" s="10"/>
      <c r="E1866" s="10"/>
    </row>
    <row r="1867">
      <c r="A1867" s="10"/>
      <c r="B1867" s="17"/>
      <c r="C1867" s="10"/>
      <c r="D1867" s="10"/>
      <c r="E1867" s="10"/>
    </row>
    <row r="1868">
      <c r="A1868" s="10"/>
      <c r="B1868" s="17"/>
      <c r="C1868" s="10"/>
      <c r="D1868" s="10"/>
      <c r="E1868" s="10"/>
    </row>
    <row r="1869">
      <c r="A1869" s="10"/>
      <c r="B1869" s="17"/>
      <c r="C1869" s="10"/>
      <c r="D1869" s="10"/>
      <c r="E1869" s="10"/>
    </row>
    <row r="1870">
      <c r="A1870" s="10"/>
      <c r="B1870" s="17"/>
      <c r="C1870" s="10"/>
      <c r="D1870" s="10"/>
      <c r="E1870" s="10"/>
    </row>
    <row r="1871">
      <c r="A1871" s="10"/>
      <c r="B1871" s="17"/>
      <c r="C1871" s="10"/>
      <c r="D1871" s="10"/>
      <c r="E1871" s="10"/>
    </row>
    <row r="1872">
      <c r="A1872" s="10"/>
      <c r="B1872" s="17"/>
      <c r="C1872" s="10"/>
      <c r="D1872" s="10"/>
      <c r="E1872" s="10"/>
    </row>
    <row r="1873">
      <c r="A1873" s="10"/>
      <c r="B1873" s="17"/>
      <c r="C1873" s="10"/>
      <c r="D1873" s="10"/>
      <c r="E1873" s="10"/>
    </row>
    <row r="1874">
      <c r="A1874" s="10"/>
      <c r="B1874" s="17"/>
      <c r="C1874" s="10"/>
      <c r="D1874" s="10"/>
      <c r="E1874" s="10"/>
    </row>
    <row r="1875">
      <c r="A1875" s="10"/>
      <c r="B1875" s="17"/>
      <c r="C1875" s="10"/>
      <c r="D1875" s="10"/>
      <c r="E1875" s="10"/>
    </row>
    <row r="1876">
      <c r="A1876" s="10"/>
      <c r="B1876" s="17"/>
      <c r="C1876" s="10"/>
      <c r="D1876" s="10"/>
      <c r="E1876" s="10"/>
    </row>
    <row r="1877">
      <c r="A1877" s="10"/>
      <c r="B1877" s="17"/>
      <c r="C1877" s="10"/>
      <c r="D1877" s="10"/>
      <c r="E1877" s="10"/>
    </row>
    <row r="1878">
      <c r="A1878" s="10"/>
      <c r="B1878" s="17"/>
      <c r="C1878" s="10"/>
      <c r="D1878" s="10"/>
      <c r="E1878" s="10"/>
    </row>
    <row r="1879">
      <c r="A1879" s="10"/>
      <c r="B1879" s="17"/>
      <c r="C1879" s="10"/>
      <c r="D1879" s="10"/>
      <c r="E1879" s="10"/>
    </row>
    <row r="1880">
      <c r="A1880" s="10"/>
      <c r="B1880" s="17"/>
      <c r="C1880" s="10"/>
      <c r="D1880" s="10"/>
      <c r="E1880" s="10"/>
    </row>
    <row r="1881">
      <c r="A1881" s="10"/>
      <c r="B1881" s="17"/>
      <c r="C1881" s="10"/>
      <c r="D1881" s="10"/>
      <c r="E1881" s="10"/>
    </row>
    <row r="1882">
      <c r="A1882" s="10"/>
      <c r="B1882" s="17"/>
      <c r="C1882" s="10"/>
      <c r="D1882" s="10"/>
      <c r="E1882" s="10"/>
    </row>
    <row r="1883">
      <c r="A1883" s="10"/>
      <c r="B1883" s="17"/>
      <c r="C1883" s="10"/>
      <c r="D1883" s="10"/>
      <c r="E1883" s="10"/>
    </row>
    <row r="1884">
      <c r="A1884" s="10"/>
      <c r="B1884" s="17"/>
      <c r="C1884" s="10"/>
      <c r="D1884" s="10"/>
      <c r="E1884" s="10"/>
    </row>
    <row r="1885">
      <c r="A1885" s="10"/>
      <c r="B1885" s="17"/>
      <c r="C1885" s="10"/>
      <c r="D1885" s="10"/>
      <c r="E1885" s="10"/>
    </row>
    <row r="1886">
      <c r="A1886" s="10"/>
      <c r="B1886" s="17"/>
      <c r="C1886" s="10"/>
      <c r="D1886" s="10"/>
      <c r="E1886" s="10"/>
    </row>
    <row r="1887">
      <c r="A1887" s="10"/>
      <c r="B1887" s="17"/>
      <c r="C1887" s="10"/>
      <c r="D1887" s="10"/>
      <c r="E1887" s="10"/>
    </row>
    <row r="1888">
      <c r="A1888" s="10"/>
      <c r="B1888" s="17"/>
      <c r="C1888" s="10"/>
      <c r="D1888" s="10"/>
      <c r="E1888" s="10"/>
    </row>
    <row r="1889">
      <c r="A1889" s="10"/>
      <c r="B1889" s="17"/>
      <c r="C1889" s="10"/>
      <c r="D1889" s="10"/>
      <c r="E1889" s="10"/>
    </row>
    <row r="1890">
      <c r="A1890" s="10"/>
      <c r="B1890" s="17"/>
      <c r="C1890" s="10"/>
      <c r="D1890" s="10"/>
      <c r="E1890" s="10"/>
    </row>
    <row r="1891">
      <c r="A1891" s="10"/>
      <c r="B1891" s="17"/>
      <c r="C1891" s="10"/>
      <c r="D1891" s="10"/>
      <c r="E1891" s="10"/>
    </row>
    <row r="1892">
      <c r="A1892" s="10"/>
      <c r="B1892" s="17"/>
      <c r="C1892" s="10"/>
      <c r="D1892" s="10"/>
      <c r="E1892" s="10"/>
    </row>
    <row r="1893">
      <c r="A1893" s="10"/>
      <c r="B1893" s="17"/>
      <c r="C1893" s="10"/>
      <c r="D1893" s="10"/>
      <c r="E1893" s="10"/>
    </row>
    <row r="1894">
      <c r="A1894" s="10"/>
      <c r="B1894" s="17"/>
      <c r="C1894" s="10"/>
      <c r="D1894" s="10"/>
      <c r="E1894" s="10"/>
    </row>
    <row r="1895">
      <c r="A1895" s="10"/>
      <c r="B1895" s="17"/>
      <c r="C1895" s="10"/>
      <c r="D1895" s="10"/>
      <c r="E1895" s="10"/>
    </row>
    <row r="1896">
      <c r="A1896" s="10"/>
      <c r="B1896" s="17"/>
      <c r="C1896" s="10"/>
      <c r="D1896" s="10"/>
      <c r="E1896" s="10"/>
    </row>
    <row r="1897">
      <c r="A1897" s="10"/>
      <c r="B1897" s="17"/>
      <c r="C1897" s="10"/>
      <c r="D1897" s="10"/>
      <c r="E1897" s="10"/>
    </row>
    <row r="1898">
      <c r="A1898" s="10"/>
      <c r="B1898" s="17"/>
      <c r="C1898" s="10"/>
      <c r="D1898" s="10"/>
      <c r="E1898" s="10"/>
    </row>
    <row r="1899">
      <c r="A1899" s="10"/>
      <c r="B1899" s="17"/>
      <c r="C1899" s="10"/>
      <c r="D1899" s="10"/>
      <c r="E1899" s="10"/>
    </row>
    <row r="1900">
      <c r="A1900" s="10"/>
      <c r="B1900" s="17"/>
      <c r="C1900" s="10"/>
      <c r="D1900" s="10"/>
      <c r="E1900" s="10"/>
    </row>
    <row r="1901">
      <c r="A1901" s="10"/>
      <c r="B1901" s="17"/>
      <c r="C1901" s="10"/>
      <c r="D1901" s="10"/>
      <c r="E1901" s="10"/>
    </row>
    <row r="1902">
      <c r="A1902" s="10"/>
      <c r="B1902" s="17"/>
      <c r="C1902" s="10"/>
      <c r="D1902" s="10"/>
      <c r="E1902" s="10"/>
    </row>
    <row r="1903">
      <c r="A1903" s="10"/>
      <c r="B1903" s="17"/>
      <c r="C1903" s="10"/>
      <c r="D1903" s="10"/>
      <c r="E1903" s="10"/>
    </row>
    <row r="1904">
      <c r="A1904" s="10"/>
      <c r="B1904" s="17"/>
      <c r="C1904" s="10"/>
      <c r="D1904" s="10"/>
      <c r="E1904" s="10"/>
    </row>
    <row r="1905">
      <c r="A1905" s="10"/>
      <c r="B1905" s="17"/>
      <c r="C1905" s="10"/>
      <c r="D1905" s="10"/>
      <c r="E1905" s="10"/>
    </row>
    <row r="1906">
      <c r="A1906" s="10"/>
      <c r="B1906" s="17"/>
      <c r="C1906" s="10"/>
      <c r="D1906" s="10"/>
      <c r="E1906" s="10"/>
    </row>
    <row r="1907">
      <c r="A1907" s="10"/>
      <c r="B1907" s="17"/>
      <c r="C1907" s="10"/>
      <c r="D1907" s="10"/>
      <c r="E1907" s="10"/>
    </row>
    <row r="1908">
      <c r="A1908" s="10"/>
      <c r="B1908" s="17"/>
      <c r="C1908" s="10"/>
      <c r="D1908" s="10"/>
      <c r="E1908" s="10"/>
    </row>
    <row r="1909">
      <c r="A1909" s="10"/>
      <c r="B1909" s="17"/>
      <c r="C1909" s="10"/>
      <c r="D1909" s="10"/>
      <c r="E1909" s="10"/>
    </row>
    <row r="1910">
      <c r="A1910" s="10"/>
      <c r="B1910" s="17"/>
      <c r="C1910" s="10"/>
      <c r="D1910" s="10"/>
      <c r="E1910" s="10"/>
    </row>
    <row r="1911">
      <c r="A1911" s="10"/>
      <c r="B1911" s="17"/>
      <c r="C1911" s="10"/>
      <c r="D1911" s="10"/>
      <c r="E1911" s="10"/>
    </row>
    <row r="1912">
      <c r="A1912" s="10"/>
      <c r="B1912" s="17"/>
      <c r="C1912" s="10"/>
      <c r="D1912" s="10"/>
      <c r="E1912" s="10"/>
    </row>
    <row r="1913">
      <c r="A1913" s="10"/>
      <c r="B1913" s="17"/>
      <c r="C1913" s="10"/>
      <c r="D1913" s="10"/>
      <c r="E1913" s="10"/>
    </row>
    <row r="1914">
      <c r="A1914" s="10"/>
      <c r="B1914" s="17"/>
      <c r="C1914" s="10"/>
      <c r="D1914" s="10"/>
      <c r="E1914" s="10"/>
    </row>
    <row r="1915">
      <c r="A1915" s="10"/>
      <c r="B1915" s="17"/>
      <c r="C1915" s="10"/>
      <c r="D1915" s="10"/>
      <c r="E1915" s="10"/>
    </row>
    <row r="1916">
      <c r="A1916" s="10"/>
      <c r="B1916" s="17"/>
      <c r="C1916" s="10"/>
      <c r="D1916" s="10"/>
      <c r="E1916" s="10"/>
    </row>
    <row r="1917">
      <c r="A1917" s="10"/>
      <c r="B1917" s="17"/>
      <c r="C1917" s="10"/>
      <c r="D1917" s="10"/>
      <c r="E1917" s="10"/>
    </row>
    <row r="1918">
      <c r="A1918" s="10"/>
      <c r="B1918" s="17"/>
      <c r="C1918" s="10"/>
      <c r="D1918" s="10"/>
      <c r="E1918" s="10"/>
    </row>
    <row r="1919">
      <c r="A1919" s="10"/>
      <c r="B1919" s="17"/>
      <c r="C1919" s="10"/>
      <c r="D1919" s="10"/>
      <c r="E1919" s="10"/>
    </row>
    <row r="1920">
      <c r="A1920" s="10"/>
      <c r="B1920" s="17"/>
      <c r="C1920" s="10"/>
      <c r="D1920" s="10"/>
      <c r="E1920" s="10"/>
    </row>
    <row r="1921">
      <c r="A1921" s="10"/>
      <c r="B1921" s="17"/>
      <c r="C1921" s="10"/>
      <c r="D1921" s="10"/>
      <c r="E1921" s="10"/>
    </row>
    <row r="1922">
      <c r="A1922" s="10"/>
      <c r="B1922" s="17"/>
      <c r="C1922" s="10"/>
      <c r="D1922" s="10"/>
      <c r="E1922" s="10"/>
    </row>
    <row r="1923">
      <c r="A1923" s="10"/>
      <c r="B1923" s="17"/>
      <c r="C1923" s="10"/>
      <c r="D1923" s="10"/>
      <c r="E1923" s="10"/>
    </row>
    <row r="1924">
      <c r="A1924" s="10"/>
      <c r="B1924" s="17"/>
      <c r="C1924" s="10"/>
      <c r="D1924" s="10"/>
      <c r="E1924" s="10"/>
    </row>
    <row r="1925">
      <c r="A1925" s="10"/>
      <c r="B1925" s="17"/>
      <c r="C1925" s="10"/>
      <c r="D1925" s="10"/>
      <c r="E1925" s="10"/>
    </row>
    <row r="1926">
      <c r="A1926" s="10"/>
      <c r="B1926" s="17"/>
      <c r="C1926" s="10"/>
      <c r="D1926" s="10"/>
      <c r="E1926" s="10"/>
    </row>
    <row r="1927">
      <c r="A1927" s="10"/>
      <c r="B1927" s="17"/>
      <c r="C1927" s="10"/>
      <c r="D1927" s="10"/>
      <c r="E1927" s="10"/>
    </row>
    <row r="1928">
      <c r="A1928" s="10"/>
      <c r="B1928" s="17"/>
      <c r="C1928" s="10"/>
      <c r="D1928" s="10"/>
      <c r="E1928" s="10"/>
    </row>
    <row r="1929">
      <c r="A1929" s="10"/>
      <c r="B1929" s="17"/>
      <c r="C1929" s="10"/>
      <c r="D1929" s="10"/>
      <c r="E1929" s="10"/>
    </row>
    <row r="1930">
      <c r="A1930" s="10"/>
      <c r="B1930" s="17"/>
      <c r="C1930" s="10"/>
      <c r="D1930" s="10"/>
      <c r="E1930" s="10"/>
    </row>
    <row r="1931">
      <c r="A1931" s="10"/>
      <c r="B1931" s="17"/>
      <c r="C1931" s="10"/>
      <c r="D1931" s="10"/>
      <c r="E1931" s="10"/>
    </row>
    <row r="1932">
      <c r="A1932" s="10"/>
      <c r="B1932" s="17"/>
      <c r="C1932" s="10"/>
      <c r="D1932" s="10"/>
      <c r="E1932" s="10"/>
    </row>
    <row r="1933">
      <c r="A1933" s="10"/>
      <c r="B1933" s="17"/>
      <c r="C1933" s="10"/>
      <c r="D1933" s="10"/>
      <c r="E1933" s="10"/>
    </row>
    <row r="1934">
      <c r="A1934" s="10"/>
      <c r="B1934" s="17"/>
      <c r="C1934" s="10"/>
      <c r="D1934" s="10"/>
      <c r="E1934" s="10"/>
    </row>
    <row r="1935">
      <c r="A1935" s="10"/>
      <c r="B1935" s="17"/>
      <c r="C1935" s="10"/>
      <c r="D1935" s="10"/>
      <c r="E1935" s="10"/>
    </row>
    <row r="1936">
      <c r="A1936" s="10"/>
      <c r="B1936" s="17"/>
      <c r="C1936" s="10"/>
      <c r="D1936" s="10"/>
      <c r="E1936" s="10"/>
    </row>
    <row r="1937">
      <c r="A1937" s="10"/>
      <c r="B1937" s="17"/>
      <c r="C1937" s="10"/>
      <c r="D1937" s="10"/>
      <c r="E1937" s="10"/>
    </row>
    <row r="1938">
      <c r="A1938" s="10"/>
      <c r="B1938" s="17"/>
      <c r="C1938" s="10"/>
      <c r="D1938" s="10"/>
      <c r="E1938" s="10"/>
    </row>
    <row r="1939">
      <c r="A1939" s="10"/>
      <c r="B1939" s="17"/>
      <c r="C1939" s="10"/>
      <c r="D1939" s="10"/>
      <c r="E1939" s="10"/>
    </row>
    <row r="1940">
      <c r="A1940" s="10"/>
      <c r="B1940" s="17"/>
      <c r="C1940" s="10"/>
      <c r="D1940" s="10"/>
      <c r="E1940" s="10"/>
    </row>
    <row r="1941">
      <c r="A1941" s="10"/>
      <c r="B1941" s="17"/>
      <c r="C1941" s="10"/>
      <c r="D1941" s="10"/>
      <c r="E1941" s="10"/>
    </row>
    <row r="1942">
      <c r="A1942" s="10"/>
      <c r="B1942" s="17"/>
      <c r="C1942" s="10"/>
      <c r="D1942" s="10"/>
      <c r="E1942" s="10"/>
    </row>
    <row r="1943">
      <c r="A1943" s="10"/>
      <c r="B1943" s="17"/>
      <c r="C1943" s="10"/>
      <c r="D1943" s="10"/>
      <c r="E1943" s="10"/>
    </row>
    <row r="1944">
      <c r="A1944" s="10"/>
      <c r="B1944" s="17"/>
      <c r="C1944" s="10"/>
      <c r="D1944" s="10"/>
      <c r="E1944" s="10"/>
    </row>
    <row r="1945">
      <c r="A1945" s="10"/>
      <c r="B1945" s="17"/>
      <c r="C1945" s="10"/>
      <c r="D1945" s="10"/>
      <c r="E1945" s="10"/>
    </row>
    <row r="1946">
      <c r="A1946" s="10"/>
      <c r="B1946" s="17"/>
      <c r="C1946" s="10"/>
      <c r="D1946" s="10"/>
      <c r="E1946" s="10"/>
    </row>
    <row r="1947">
      <c r="A1947" s="10"/>
      <c r="B1947" s="17"/>
      <c r="C1947" s="10"/>
      <c r="D1947" s="10"/>
      <c r="E1947" s="10"/>
    </row>
    <row r="1948">
      <c r="A1948" s="10"/>
      <c r="B1948" s="17"/>
      <c r="C1948" s="10"/>
      <c r="D1948" s="10"/>
      <c r="E1948" s="10"/>
    </row>
    <row r="1949">
      <c r="A1949" s="10"/>
      <c r="B1949" s="17"/>
      <c r="C1949" s="10"/>
      <c r="D1949" s="10"/>
      <c r="E1949" s="10"/>
    </row>
    <row r="1950">
      <c r="A1950" s="10"/>
      <c r="B1950" s="17"/>
      <c r="C1950" s="10"/>
      <c r="D1950" s="10"/>
      <c r="E1950" s="10"/>
    </row>
    <row r="1951">
      <c r="A1951" s="10"/>
      <c r="B1951" s="17"/>
      <c r="C1951" s="10"/>
      <c r="D1951" s="10"/>
      <c r="E1951" s="10"/>
    </row>
    <row r="1952">
      <c r="A1952" s="10"/>
      <c r="B1952" s="17"/>
      <c r="C1952" s="10"/>
      <c r="D1952" s="10"/>
      <c r="E1952" s="10"/>
    </row>
    <row r="1953">
      <c r="A1953" s="10"/>
      <c r="B1953" s="17"/>
      <c r="C1953" s="10"/>
      <c r="D1953" s="10"/>
      <c r="E1953" s="10"/>
    </row>
    <row r="1954">
      <c r="A1954" s="10"/>
      <c r="B1954" s="17"/>
      <c r="C1954" s="10"/>
      <c r="D1954" s="10"/>
      <c r="E1954" s="10"/>
    </row>
    <row r="1955">
      <c r="A1955" s="10"/>
      <c r="B1955" s="17"/>
      <c r="C1955" s="10"/>
      <c r="D1955" s="10"/>
      <c r="E1955" s="10"/>
    </row>
    <row r="1956">
      <c r="A1956" s="10"/>
      <c r="B1956" s="17"/>
      <c r="C1956" s="10"/>
      <c r="D1956" s="10"/>
      <c r="E1956" s="10"/>
    </row>
    <row r="1957">
      <c r="A1957" s="10"/>
      <c r="B1957" s="17"/>
      <c r="C1957" s="10"/>
      <c r="D1957" s="10"/>
      <c r="E1957" s="10"/>
    </row>
    <row r="1958">
      <c r="A1958" s="10"/>
      <c r="B1958" s="17"/>
      <c r="C1958" s="10"/>
      <c r="D1958" s="10"/>
      <c r="E1958" s="10"/>
    </row>
    <row r="1959">
      <c r="A1959" s="10"/>
      <c r="B1959" s="17"/>
      <c r="C1959" s="10"/>
      <c r="D1959" s="10"/>
      <c r="E1959" s="10"/>
    </row>
    <row r="1960">
      <c r="A1960" s="10"/>
      <c r="B1960" s="17"/>
      <c r="C1960" s="10"/>
      <c r="D1960" s="10"/>
      <c r="E1960" s="10"/>
    </row>
    <row r="1961">
      <c r="A1961" s="10"/>
      <c r="B1961" s="17"/>
      <c r="C1961" s="10"/>
      <c r="D1961" s="10"/>
      <c r="E1961" s="10"/>
    </row>
    <row r="1962">
      <c r="A1962" s="10"/>
      <c r="B1962" s="17"/>
      <c r="C1962" s="10"/>
      <c r="D1962" s="10"/>
      <c r="E1962" s="10"/>
    </row>
    <row r="1963">
      <c r="A1963" s="10"/>
      <c r="B1963" s="17"/>
      <c r="C1963" s="10"/>
      <c r="D1963" s="10"/>
      <c r="E1963" s="10"/>
    </row>
    <row r="1964">
      <c r="A1964" s="10"/>
      <c r="B1964" s="17"/>
      <c r="C1964" s="10"/>
      <c r="D1964" s="10"/>
      <c r="E1964" s="10"/>
    </row>
    <row r="1965">
      <c r="A1965" s="10"/>
      <c r="B1965" s="17"/>
      <c r="C1965" s="10"/>
      <c r="D1965" s="10"/>
      <c r="E1965" s="10"/>
    </row>
    <row r="1966">
      <c r="A1966" s="10"/>
      <c r="B1966" s="17"/>
      <c r="C1966" s="10"/>
      <c r="D1966" s="10"/>
      <c r="E1966" s="10"/>
    </row>
    <row r="1967">
      <c r="A1967" s="10"/>
      <c r="B1967" s="17"/>
      <c r="C1967" s="10"/>
      <c r="D1967" s="10"/>
      <c r="E1967" s="10"/>
    </row>
    <row r="1968">
      <c r="A1968" s="10"/>
      <c r="B1968" s="17"/>
      <c r="C1968" s="10"/>
      <c r="D1968" s="10"/>
      <c r="E1968" s="10"/>
    </row>
    <row r="1969">
      <c r="A1969" s="10"/>
      <c r="B1969" s="17"/>
      <c r="C1969" s="10"/>
      <c r="D1969" s="10"/>
      <c r="E1969" s="10"/>
    </row>
    <row r="1970">
      <c r="A1970" s="10"/>
      <c r="B1970" s="17"/>
      <c r="C1970" s="10"/>
      <c r="D1970" s="10"/>
      <c r="E1970" s="10"/>
    </row>
    <row r="1971">
      <c r="A1971" s="10"/>
      <c r="B1971" s="17"/>
      <c r="C1971" s="10"/>
      <c r="D1971" s="10"/>
      <c r="E1971" s="10"/>
    </row>
    <row r="1972">
      <c r="A1972" s="10"/>
      <c r="B1972" s="17"/>
      <c r="C1972" s="10"/>
      <c r="D1972" s="10"/>
      <c r="E1972" s="10"/>
    </row>
    <row r="1973">
      <c r="A1973" s="10"/>
      <c r="B1973" s="17"/>
      <c r="C1973" s="10"/>
      <c r="D1973" s="10"/>
      <c r="E1973" s="10"/>
    </row>
    <row r="1974">
      <c r="A1974" s="10"/>
      <c r="B1974" s="17"/>
      <c r="C1974" s="10"/>
      <c r="D1974" s="10"/>
      <c r="E1974" s="10"/>
    </row>
    <row r="1975">
      <c r="A1975" s="10"/>
      <c r="B1975" s="17"/>
      <c r="C1975" s="10"/>
      <c r="D1975" s="10"/>
      <c r="E1975" s="10"/>
    </row>
    <row r="1976">
      <c r="A1976" s="10"/>
      <c r="B1976" s="17"/>
      <c r="C1976" s="10"/>
      <c r="D1976" s="10"/>
      <c r="E1976" s="10"/>
    </row>
    <row r="1977">
      <c r="A1977" s="10"/>
      <c r="B1977" s="17"/>
      <c r="C1977" s="10"/>
      <c r="D1977" s="10"/>
      <c r="E1977" s="10"/>
    </row>
    <row r="1978">
      <c r="A1978" s="10"/>
      <c r="B1978" s="17"/>
      <c r="C1978" s="10"/>
      <c r="D1978" s="10"/>
      <c r="E1978" s="10"/>
    </row>
    <row r="1979">
      <c r="A1979" s="10"/>
      <c r="B1979" s="17"/>
      <c r="C1979" s="10"/>
      <c r="D1979" s="10"/>
      <c r="E1979" s="10"/>
    </row>
    <row r="1980">
      <c r="A1980" s="10"/>
      <c r="B1980" s="17"/>
      <c r="C1980" s="10"/>
      <c r="D1980" s="10"/>
      <c r="E1980" s="10"/>
    </row>
    <row r="1981">
      <c r="A1981" s="10"/>
      <c r="B1981" s="17"/>
      <c r="C1981" s="10"/>
      <c r="D1981" s="10"/>
      <c r="E1981" s="10"/>
    </row>
    <row r="1982">
      <c r="A1982" s="10"/>
      <c r="B1982" s="17"/>
      <c r="C1982" s="10"/>
      <c r="D1982" s="10"/>
      <c r="E1982" s="10"/>
    </row>
    <row r="1983">
      <c r="A1983" s="10"/>
      <c r="B1983" s="17"/>
      <c r="C1983" s="10"/>
      <c r="D1983" s="10"/>
      <c r="E1983" s="10"/>
    </row>
    <row r="1984">
      <c r="A1984" s="10"/>
      <c r="B1984" s="17"/>
      <c r="C1984" s="10"/>
      <c r="D1984" s="10"/>
      <c r="E1984" s="10"/>
    </row>
    <row r="1985">
      <c r="A1985" s="10"/>
      <c r="B1985" s="17"/>
      <c r="C1985" s="10"/>
      <c r="D1985" s="10"/>
      <c r="E1985" s="10"/>
    </row>
    <row r="1986">
      <c r="A1986" s="10"/>
      <c r="B1986" s="17"/>
      <c r="C1986" s="10"/>
      <c r="D1986" s="10"/>
      <c r="E1986" s="10"/>
    </row>
    <row r="1987">
      <c r="A1987" s="10"/>
      <c r="B1987" s="17"/>
      <c r="C1987" s="10"/>
      <c r="D1987" s="10"/>
      <c r="E1987" s="10"/>
    </row>
    <row r="1988">
      <c r="A1988" s="10"/>
      <c r="B1988" s="17"/>
      <c r="C1988" s="10"/>
      <c r="D1988" s="10"/>
      <c r="E1988" s="10"/>
    </row>
    <row r="1989">
      <c r="A1989" s="10"/>
      <c r="B1989" s="17"/>
      <c r="C1989" s="10"/>
      <c r="D1989" s="10"/>
      <c r="E1989" s="10"/>
    </row>
    <row r="1990">
      <c r="A1990" s="10"/>
      <c r="B1990" s="17"/>
      <c r="C1990" s="10"/>
      <c r="D1990" s="10"/>
      <c r="E1990" s="10"/>
    </row>
    <row r="1991">
      <c r="A1991" s="10"/>
      <c r="B1991" s="17"/>
      <c r="C1991" s="10"/>
      <c r="D1991" s="10"/>
      <c r="E1991" s="10"/>
    </row>
    <row r="1992">
      <c r="A1992" s="10"/>
      <c r="B1992" s="17"/>
      <c r="C1992" s="10"/>
      <c r="D1992" s="10"/>
      <c r="E1992" s="10"/>
    </row>
    <row r="1993">
      <c r="A1993" s="10"/>
      <c r="B1993" s="17"/>
      <c r="C1993" s="10"/>
      <c r="D1993" s="10"/>
      <c r="E1993" s="10"/>
    </row>
    <row r="1994">
      <c r="A1994" s="10"/>
      <c r="B1994" s="17"/>
      <c r="C1994" s="10"/>
      <c r="D1994" s="10"/>
      <c r="E1994" s="10"/>
    </row>
    <row r="1995">
      <c r="A1995" s="10"/>
      <c r="B1995" s="17"/>
      <c r="C1995" s="10"/>
      <c r="D1995" s="10"/>
      <c r="E1995" s="10"/>
    </row>
    <row r="1996">
      <c r="A1996" s="10"/>
      <c r="B1996" s="17"/>
      <c r="C1996" s="10"/>
      <c r="D1996" s="10"/>
      <c r="E1996" s="10"/>
    </row>
    <row r="1997">
      <c r="A1997" s="10"/>
      <c r="B1997" s="17"/>
      <c r="C1997" s="10"/>
      <c r="D1997" s="10"/>
      <c r="E1997" s="10"/>
    </row>
    <row r="1998">
      <c r="A1998" s="10"/>
      <c r="B1998" s="17"/>
      <c r="C1998" s="10"/>
      <c r="D1998" s="10"/>
      <c r="E1998" s="10"/>
    </row>
    <row r="1999">
      <c r="A1999" s="10"/>
      <c r="B1999" s="17"/>
      <c r="C1999" s="10"/>
      <c r="D1999" s="10"/>
      <c r="E1999" s="10"/>
    </row>
    <row r="2000">
      <c r="A2000" s="10"/>
      <c r="B2000" s="17"/>
      <c r="C2000" s="10"/>
      <c r="D2000" s="10"/>
      <c r="E2000" s="10"/>
    </row>
    <row r="2001">
      <c r="A2001" s="10"/>
      <c r="B2001" s="17"/>
      <c r="C2001" s="10"/>
      <c r="D2001" s="10"/>
      <c r="E2001" s="10"/>
    </row>
    <row r="2002">
      <c r="A2002" s="10"/>
      <c r="B2002" s="17"/>
      <c r="C2002" s="10"/>
      <c r="D2002" s="10"/>
      <c r="E2002" s="10"/>
    </row>
    <row r="2003">
      <c r="A2003" s="10"/>
      <c r="B2003" s="17"/>
      <c r="C2003" s="10"/>
      <c r="D2003" s="10"/>
      <c r="E2003" s="10"/>
    </row>
    <row r="2004">
      <c r="A2004" s="10"/>
      <c r="B2004" s="17"/>
      <c r="C2004" s="10"/>
      <c r="D2004" s="10"/>
      <c r="E2004" s="10"/>
    </row>
    <row r="2005">
      <c r="A2005" s="10"/>
      <c r="B2005" s="17"/>
      <c r="C2005" s="10"/>
      <c r="D2005" s="10"/>
      <c r="E2005" s="10"/>
    </row>
    <row r="2006">
      <c r="A2006" s="10"/>
      <c r="B2006" s="17"/>
      <c r="C2006" s="10"/>
      <c r="D2006" s="10"/>
      <c r="E2006" s="10"/>
    </row>
    <row r="2007">
      <c r="A2007" s="10"/>
      <c r="B2007" s="17"/>
      <c r="C2007" s="10"/>
      <c r="D2007" s="10"/>
      <c r="E2007" s="10"/>
    </row>
    <row r="2008">
      <c r="A2008" s="10"/>
      <c r="B2008" s="17"/>
      <c r="C2008" s="10"/>
      <c r="D2008" s="10"/>
      <c r="E2008" s="10"/>
    </row>
    <row r="2009">
      <c r="A2009" s="10"/>
      <c r="B2009" s="17"/>
      <c r="C2009" s="10"/>
      <c r="D2009" s="10"/>
      <c r="E2009" s="10"/>
    </row>
    <row r="2010">
      <c r="A2010" s="10"/>
      <c r="B2010" s="17"/>
      <c r="C2010" s="10"/>
      <c r="D2010" s="10"/>
      <c r="E2010" s="10"/>
    </row>
    <row r="2011">
      <c r="A2011" s="10"/>
      <c r="B2011" s="17"/>
      <c r="C2011" s="10"/>
      <c r="D2011" s="10"/>
      <c r="E2011" s="10"/>
    </row>
    <row r="2012">
      <c r="A2012" s="10"/>
      <c r="B2012" s="17"/>
      <c r="C2012" s="10"/>
      <c r="D2012" s="10"/>
      <c r="E2012" s="10"/>
    </row>
    <row r="2013">
      <c r="A2013" s="10"/>
      <c r="B2013" s="17"/>
      <c r="C2013" s="10"/>
      <c r="D2013" s="10"/>
      <c r="E2013" s="10"/>
    </row>
    <row r="2014">
      <c r="A2014" s="10"/>
      <c r="B2014" s="17"/>
      <c r="C2014" s="10"/>
      <c r="D2014" s="10"/>
      <c r="E2014" s="10"/>
    </row>
    <row r="2015">
      <c r="A2015" s="10"/>
      <c r="B2015" s="17"/>
      <c r="C2015" s="10"/>
      <c r="D2015" s="10"/>
      <c r="E2015" s="10"/>
    </row>
    <row r="2016">
      <c r="A2016" s="10"/>
      <c r="B2016" s="17"/>
      <c r="C2016" s="10"/>
      <c r="D2016" s="10"/>
      <c r="E2016" s="10"/>
    </row>
    <row r="2017">
      <c r="A2017" s="10"/>
      <c r="B2017" s="17"/>
      <c r="C2017" s="10"/>
      <c r="D2017" s="10"/>
      <c r="E2017" s="10"/>
    </row>
    <row r="2018">
      <c r="A2018" s="10"/>
      <c r="B2018" s="17"/>
      <c r="C2018" s="10"/>
      <c r="D2018" s="10"/>
      <c r="E2018" s="10"/>
    </row>
    <row r="2019">
      <c r="A2019" s="10"/>
      <c r="B2019" s="17"/>
      <c r="C2019" s="10"/>
      <c r="D2019" s="10"/>
      <c r="E2019" s="10"/>
    </row>
    <row r="2020">
      <c r="A2020" s="10"/>
      <c r="B2020" s="17"/>
      <c r="C2020" s="10"/>
      <c r="D2020" s="10"/>
      <c r="E2020" s="10"/>
    </row>
    <row r="2021">
      <c r="A2021" s="10"/>
      <c r="B2021" s="17"/>
      <c r="C2021" s="10"/>
      <c r="D2021" s="10"/>
      <c r="E2021" s="10"/>
    </row>
    <row r="2022">
      <c r="A2022" s="10"/>
      <c r="B2022" s="17"/>
      <c r="C2022" s="10"/>
      <c r="D2022" s="10"/>
      <c r="E2022" s="10"/>
    </row>
    <row r="2023">
      <c r="A2023" s="10"/>
      <c r="B2023" s="17"/>
      <c r="C2023" s="10"/>
      <c r="D2023" s="10"/>
      <c r="E2023" s="10"/>
    </row>
    <row r="2024">
      <c r="A2024" s="10"/>
      <c r="B2024" s="17"/>
      <c r="C2024" s="10"/>
      <c r="D2024" s="10"/>
      <c r="E2024" s="10"/>
    </row>
    <row r="2025">
      <c r="A2025" s="10"/>
      <c r="B2025" s="17"/>
      <c r="C2025" s="10"/>
      <c r="D2025" s="10"/>
      <c r="E2025" s="10"/>
    </row>
    <row r="2026">
      <c r="A2026" s="10"/>
      <c r="B2026" s="17"/>
      <c r="C2026" s="10"/>
      <c r="D2026" s="10"/>
      <c r="E2026" s="10"/>
    </row>
    <row r="2027">
      <c r="A2027" s="10"/>
      <c r="B2027" s="17"/>
      <c r="C2027" s="10"/>
      <c r="D2027" s="10"/>
      <c r="E2027" s="10"/>
    </row>
    <row r="2028">
      <c r="A2028" s="10"/>
      <c r="B2028" s="17"/>
      <c r="C2028" s="10"/>
      <c r="D2028" s="10"/>
      <c r="E2028" s="10"/>
    </row>
    <row r="2029">
      <c r="A2029" s="10"/>
      <c r="B2029" s="17"/>
      <c r="C2029" s="10"/>
      <c r="D2029" s="10"/>
      <c r="E2029" s="10"/>
    </row>
    <row r="2030">
      <c r="A2030" s="10"/>
      <c r="B2030" s="17"/>
      <c r="C2030" s="10"/>
      <c r="D2030" s="10"/>
      <c r="E2030" s="10"/>
    </row>
    <row r="2031">
      <c r="A2031" s="10"/>
      <c r="B2031" s="17"/>
      <c r="C2031" s="10"/>
      <c r="D2031" s="10"/>
      <c r="E2031" s="10"/>
    </row>
    <row r="2032">
      <c r="A2032" s="10"/>
      <c r="B2032" s="17"/>
      <c r="C2032" s="10"/>
      <c r="D2032" s="10"/>
      <c r="E2032" s="10"/>
    </row>
    <row r="2033">
      <c r="A2033" s="10"/>
      <c r="B2033" s="17"/>
      <c r="C2033" s="10"/>
      <c r="D2033" s="10"/>
      <c r="E2033" s="10"/>
    </row>
    <row r="2034">
      <c r="A2034" s="10"/>
      <c r="B2034" s="17"/>
      <c r="C2034" s="10"/>
      <c r="D2034" s="10"/>
      <c r="E2034" s="10"/>
    </row>
    <row r="2035">
      <c r="A2035" s="10"/>
      <c r="B2035" s="17"/>
      <c r="C2035" s="10"/>
      <c r="D2035" s="10"/>
      <c r="E2035" s="10"/>
    </row>
    <row r="2036">
      <c r="A2036" s="10"/>
      <c r="B2036" s="17"/>
      <c r="C2036" s="10"/>
      <c r="D2036" s="10"/>
      <c r="E2036" s="10"/>
    </row>
    <row r="2037">
      <c r="A2037" s="10"/>
      <c r="B2037" s="17"/>
      <c r="C2037" s="10"/>
      <c r="D2037" s="10"/>
      <c r="E2037" s="10"/>
    </row>
    <row r="2038">
      <c r="A2038" s="10"/>
      <c r="B2038" s="17"/>
      <c r="C2038" s="10"/>
      <c r="D2038" s="10"/>
      <c r="E2038" s="10"/>
    </row>
    <row r="2039">
      <c r="A2039" s="10"/>
      <c r="B2039" s="17"/>
      <c r="C2039" s="10"/>
      <c r="D2039" s="10"/>
      <c r="E2039" s="10"/>
    </row>
    <row r="2040">
      <c r="A2040" s="10"/>
      <c r="B2040" s="17"/>
      <c r="C2040" s="10"/>
      <c r="D2040" s="10"/>
      <c r="E2040" s="10"/>
    </row>
    <row r="2041">
      <c r="A2041" s="10"/>
      <c r="B2041" s="17"/>
      <c r="C2041" s="10"/>
      <c r="D2041" s="10"/>
      <c r="E2041" s="10"/>
    </row>
    <row r="2042">
      <c r="A2042" s="10"/>
      <c r="B2042" s="17"/>
      <c r="C2042" s="10"/>
      <c r="D2042" s="10"/>
      <c r="E2042" s="10"/>
    </row>
    <row r="2043">
      <c r="A2043" s="10"/>
      <c r="B2043" s="17"/>
      <c r="C2043" s="10"/>
      <c r="D2043" s="10"/>
      <c r="E2043" s="10"/>
    </row>
    <row r="2044">
      <c r="A2044" s="10"/>
      <c r="B2044" s="17"/>
      <c r="C2044" s="10"/>
      <c r="D2044" s="10"/>
      <c r="E2044" s="10"/>
    </row>
    <row r="2045">
      <c r="A2045" s="10"/>
      <c r="B2045" s="17"/>
      <c r="C2045" s="10"/>
      <c r="D2045" s="10"/>
      <c r="E2045" s="10"/>
    </row>
    <row r="2046">
      <c r="A2046" s="10"/>
      <c r="B2046" s="17"/>
      <c r="C2046" s="10"/>
      <c r="D2046" s="10"/>
      <c r="E2046" s="10"/>
    </row>
    <row r="2047">
      <c r="A2047" s="10"/>
      <c r="B2047" s="17"/>
      <c r="C2047" s="10"/>
      <c r="D2047" s="10"/>
      <c r="E2047" s="10"/>
    </row>
    <row r="2048">
      <c r="A2048" s="10"/>
      <c r="B2048" s="17"/>
      <c r="C2048" s="10"/>
      <c r="D2048" s="10"/>
      <c r="E2048" s="10"/>
    </row>
    <row r="2049">
      <c r="A2049" s="10"/>
      <c r="B2049" s="17"/>
      <c r="C2049" s="10"/>
      <c r="D2049" s="10"/>
      <c r="E2049" s="10"/>
    </row>
    <row r="2050">
      <c r="A2050" s="10"/>
      <c r="B2050" s="17"/>
      <c r="C2050" s="10"/>
      <c r="D2050" s="10"/>
      <c r="E2050" s="10"/>
    </row>
    <row r="2051">
      <c r="A2051" s="10"/>
      <c r="B2051" s="17"/>
      <c r="C2051" s="10"/>
      <c r="D2051" s="10"/>
      <c r="E2051" s="10"/>
    </row>
    <row r="2052">
      <c r="A2052" s="10"/>
      <c r="B2052" s="17"/>
      <c r="C2052" s="10"/>
      <c r="D2052" s="10"/>
      <c r="E2052" s="10"/>
    </row>
    <row r="2053">
      <c r="A2053" s="10"/>
      <c r="B2053" s="17"/>
      <c r="C2053" s="10"/>
      <c r="D2053" s="10"/>
      <c r="E2053" s="10"/>
    </row>
  </sheetData>
  <drawing r:id="rId1"/>
</worksheet>
</file>